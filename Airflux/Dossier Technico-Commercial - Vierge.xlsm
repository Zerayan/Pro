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ctrlProps/ctrlProp8.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drawings/drawing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threadedComments/threadedComment8.xml" ContentType="application/vnd.ms-excel.threadedcomments+xml"/>
  <Override PartName="/xl/drawings/drawing9.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12.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airfluxonline-my.sharepoint.com/personal/thomat_airflux_fr/Documents/Documents/Fichier Travaux/"/>
    </mc:Choice>
  </mc:AlternateContent>
  <xr:revisionPtr revIDLastSave="638" documentId="13_ncr:1_{6C549D65-5F5B-413C-BA69-2F15CC7DB535}" xr6:coauthVersionLast="47" xr6:coauthVersionMax="47" xr10:uidLastSave="{5A3D2E0A-3C45-4942-B155-19E3609C260C}"/>
  <bookViews>
    <workbookView xWindow="-120" yWindow="-120" windowWidth="29040" windowHeight="15840" tabRatio="935" xr2:uid="{F6CC86A3-AAB0-4DBA-B791-F0F45E27CBA8}"/>
  </bookViews>
  <sheets>
    <sheet name="Projet" sheetId="1" r:id="rId1"/>
    <sheet name="Offre commerciale" sheetId="41" r:id="rId2"/>
    <sheet name="Calculette Réseau" sheetId="90" r:id="rId3"/>
    <sheet name="Eau Glacée" sheetId="2" r:id="rId4"/>
    <sheet name="Air Comprimé" sheetId="3" r:id="rId5"/>
    <sheet name="SSE" sheetId="4" r:id="rId6"/>
    <sheet name="PV de Réception" sheetId="8" r:id="rId7"/>
    <sheet name="Retour d'expérience" sheetId="37" r:id="rId8"/>
    <sheet name="Dde Transport" sheetId="84" r:id="rId9"/>
    <sheet name="Liv Direct" sheetId="85" r:id="rId10"/>
    <sheet name="Garantie Kaeser - Modèle" sheetId="87" r:id="rId11"/>
    <sheet name="Mise en Service" sheetId="86" r:id="rId12"/>
    <sheet name="Modif" sheetId="68" r:id="rId13"/>
    <sheet name="Test" sheetId="13" r:id="rId14"/>
    <sheet name="Descente" sheetId="89" r:id="rId15"/>
    <sheet name="Equivalence" sheetId="91" r:id="rId16"/>
    <sheet name="Information" sheetId="5" r:id="rId17"/>
    <sheet name="BasePrix" sheetId="92" r:id="rId18"/>
    <sheet name="MeS - Page" sheetId="14" r:id="rId19"/>
    <sheet name="MeS - Détail" sheetId="70" r:id="rId20"/>
  </sheets>
  <definedNames>
    <definedName name="Affaire_Div">Projet!$U$8</definedName>
    <definedName name="ChargéAF">Projet!$G$9</definedName>
    <definedName name="Client">Projet!$U$5</definedName>
    <definedName name="Code_Client_Divalto">Projet!$U$7</definedName>
    <definedName name="Commercial">Projet!$G$7</definedName>
    <definedName name="Condition_de_paiement">Information!$X$2:$X$5</definedName>
    <definedName name="DonnéesExternes_1" localSheetId="17" hidden="1">BasePrix!$A$1:$D$2671</definedName>
    <definedName name="Fonc_Interloc">Projet!$F$12</definedName>
    <definedName name="ICA">Projet!$G$8</definedName>
    <definedName name="_xlnm.Print_Titles" localSheetId="18">'MeS - Page'!$1:$10</definedName>
    <definedName name="_xlnm.Print_Titles" localSheetId="11">'Mise en Service'!$1:$10</definedName>
    <definedName name="_xlnm.Print_Titles" localSheetId="0">Projet!$1:$9</definedName>
    <definedName name="_xlnm.Print_Titles" localSheetId="6">'PV de Réception'!$1:$9</definedName>
    <definedName name="_xlnm.Print_Titles" localSheetId="5">SSE!$1:$9</definedName>
    <definedName name="Interlocuteur">Projet!$F$11</definedName>
    <definedName name="L_Adresses">Information!$V$2:$V$7</definedName>
    <definedName name="L_Agence">Information!$U$2:$U$7</definedName>
    <definedName name="L_Charge">Information!$E$2:$E$5</definedName>
    <definedName name="L_Hauteur">Information!$AB$2:$AB$5</definedName>
    <definedName name="L_Huile">Information!$P$2:$P$6</definedName>
    <definedName name="L_Matière_Cuve">Information!$G$2:$G$5</definedName>
    <definedName name="L_Matière_Réseau">Information!$M$2:$M$5</definedName>
    <definedName name="L_Métrologie">Information!$L$2:$L$7</definedName>
    <definedName name="L_Niveau_filtration">Information!$J$2:$J$7</definedName>
    <definedName name="L_OffreàEnvoyer">Information!$R$3:$R$7</definedName>
    <definedName name="L_Oui_Non">Information!$B$2:$B$5</definedName>
    <definedName name="L_Position_Cuve">Information!$H$2:$H$4</definedName>
    <definedName name="L_RécupCalo">Information!$T$2:$T$5</definedName>
    <definedName name="L_Régulation">Information!$K$2:$K$7</definedName>
    <definedName name="L_Repris">Information!$F$2:$F$5</definedName>
    <definedName name="L_Responsabilité">Information!$D$2:$D$4</definedName>
    <definedName name="L_Status">Information!$A$2:$A$5</definedName>
    <definedName name="L_Suiteà">Information!$Q$3:$Q$5</definedName>
    <definedName name="L_Techno_Comp">Information!$O$2:$O$5</definedName>
    <definedName name="L_Techno_Sécheur">Information!$I$2:$I$5</definedName>
    <definedName name="L_Travaux">Information!$C$2:$C$6</definedName>
    <definedName name="L_Type_Installation">Information!$N$2:$N$7</definedName>
    <definedName name="L_TypedeMurs">Information!$S$2:$S$5</definedName>
    <definedName name="L_Vrai_Faux">Information!$Z$2:$Z$4</definedName>
    <definedName name="Num_Devis">Projet!$U$6</definedName>
    <definedName name="Projet_SF">Projet!$U$9</definedName>
    <definedName name="Type_PTG">Information!$W$2:$W$4</definedName>
    <definedName name="_xlnm.Print_Area" localSheetId="4">'Air Comprimé'!$A$1:$AO$57</definedName>
    <definedName name="_xlnm.Print_Area" localSheetId="8">'Dde Transport'!$A$1:$AD$43</definedName>
    <definedName name="_xlnm.Print_Area" localSheetId="3">'Eau Glacée'!$A$1:$AO$49</definedName>
    <definedName name="_xlnm.Print_Area" localSheetId="10">'Garantie Kaeser - Modèle'!$A$1:$AD$47</definedName>
    <definedName name="_xlnm.Print_Area" localSheetId="9">'Liv Direct'!$A$1:$AD$37</definedName>
    <definedName name="_xlnm.Print_Area" localSheetId="19">'MeS - Détail'!$A$1:$AD$30</definedName>
    <definedName name="_xlnm.Print_Area" localSheetId="18">'MeS - Page'!$A$1:$AD$18</definedName>
    <definedName name="_xlnm.Print_Area" localSheetId="11">'Mise en Service'!$A$1:$AD$46</definedName>
    <definedName name="_xlnm.Print_Area" localSheetId="1">'Offre commerciale'!$A$1:$AL$112</definedName>
    <definedName name="_xlnm.Print_Area" localSheetId="0">Projet!$A$1:$AD$75</definedName>
    <definedName name="_xlnm.Print_Area" localSheetId="6">'PV de Réception'!$A$1:$AD$43</definedName>
    <definedName name="_xlnm.Print_Area" localSheetId="7">'Retour d''expérience'!$A$1:$AD$29</definedName>
    <definedName name="_xlnm.Print_Area" localSheetId="5">SSE!$A$1:$AD$28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9" i="90" l="1"/>
  <c r="C10" i="90" s="1" a="1"/>
  <c r="C10" i="90" s="1"/>
  <c r="F51" i="90"/>
  <c r="F22" i="90"/>
  <c r="F48" i="90"/>
  <c r="F47" i="90"/>
  <c r="F46" i="90"/>
  <c r="F45" i="90"/>
  <c r="F44" i="90"/>
  <c r="F43" i="90"/>
  <c r="F42" i="90"/>
  <c r="F38" i="90"/>
  <c r="F37" i="90"/>
  <c r="F36" i="90"/>
  <c r="F35" i="90"/>
  <c r="F34" i="90"/>
  <c r="F33" i="90"/>
  <c r="F32" i="90"/>
  <c r="F30" i="90"/>
  <c r="F29" i="90"/>
  <c r="F27" i="90"/>
  <c r="F26" i="90"/>
  <c r="F25" i="90"/>
  <c r="F24" i="90"/>
  <c r="F23" i="90"/>
  <c r="H52" i="90"/>
  <c r="H21" i="90"/>
  <c r="H16" i="90"/>
  <c r="H15" i="90"/>
  <c r="H13" i="90"/>
  <c r="G21" i="90" l="1"/>
  <c r="F18" i="90"/>
  <c r="H18" i="90" s="1"/>
  <c r="F15" i="90"/>
  <c r="F14" i="90"/>
  <c r="F13" i="90"/>
  <c r="M50" i="91"/>
  <c r="L50" i="91"/>
  <c r="K50" i="91"/>
  <c r="J50" i="91"/>
  <c r="I50" i="91"/>
  <c r="H50" i="91"/>
  <c r="G50" i="91"/>
  <c r="F50" i="91"/>
  <c r="E50" i="91"/>
  <c r="D50" i="91"/>
  <c r="M49" i="91"/>
  <c r="L49" i="91"/>
  <c r="K49" i="91"/>
  <c r="J49" i="91"/>
  <c r="I49" i="91"/>
  <c r="H49" i="91"/>
  <c r="G49" i="91"/>
  <c r="F49" i="91"/>
  <c r="E49" i="91"/>
  <c r="D49" i="91"/>
  <c r="M48" i="91"/>
  <c r="L48" i="91"/>
  <c r="K48" i="91"/>
  <c r="J48" i="91"/>
  <c r="I48" i="91"/>
  <c r="H48" i="91"/>
  <c r="G48" i="91"/>
  <c r="F48" i="91"/>
  <c r="E48" i="91"/>
  <c r="D48" i="91"/>
  <c r="M47" i="91"/>
  <c r="L47" i="91"/>
  <c r="K47" i="91"/>
  <c r="J47" i="91"/>
  <c r="I47" i="91"/>
  <c r="H47" i="91"/>
  <c r="G47" i="91"/>
  <c r="F47" i="91"/>
  <c r="E47" i="91"/>
  <c r="D47" i="91"/>
  <c r="M46" i="91"/>
  <c r="L46" i="91"/>
  <c r="K46" i="91"/>
  <c r="J46" i="91"/>
  <c r="I46" i="91"/>
  <c r="H46" i="91"/>
  <c r="G46" i="91"/>
  <c r="F46" i="91"/>
  <c r="E46" i="91"/>
  <c r="D46" i="91"/>
  <c r="M45" i="91"/>
  <c r="L45" i="91"/>
  <c r="K45" i="91"/>
  <c r="J45" i="91"/>
  <c r="I45" i="91"/>
  <c r="H45" i="91"/>
  <c r="G45" i="91"/>
  <c r="F45" i="91"/>
  <c r="E45" i="91"/>
  <c r="D45" i="91"/>
  <c r="M44" i="91"/>
  <c r="L44" i="91"/>
  <c r="K44" i="91"/>
  <c r="J44" i="91"/>
  <c r="I44" i="91"/>
  <c r="H44" i="91"/>
  <c r="G44" i="91"/>
  <c r="F44" i="91"/>
  <c r="E44" i="91"/>
  <c r="D44" i="91"/>
  <c r="M43" i="91"/>
  <c r="L43" i="91"/>
  <c r="K43" i="91"/>
  <c r="J43" i="91"/>
  <c r="I43" i="91"/>
  <c r="H43" i="91"/>
  <c r="G43" i="91"/>
  <c r="F43" i="91"/>
  <c r="E43" i="91"/>
  <c r="D43" i="91"/>
  <c r="M42" i="91"/>
  <c r="L42" i="91"/>
  <c r="K42" i="91"/>
  <c r="J42" i="91"/>
  <c r="I42" i="91"/>
  <c r="H42" i="91"/>
  <c r="G42" i="91"/>
  <c r="F42" i="91"/>
  <c r="E42" i="91"/>
  <c r="D42" i="91"/>
  <c r="M41" i="91"/>
  <c r="L41" i="91"/>
  <c r="K41" i="91"/>
  <c r="J41" i="91"/>
  <c r="I41" i="91"/>
  <c r="H41" i="91"/>
  <c r="G41" i="91"/>
  <c r="F41" i="91"/>
  <c r="E41" i="91"/>
  <c r="D41" i="91"/>
  <c r="M40" i="91"/>
  <c r="L40" i="91"/>
  <c r="K40" i="91"/>
  <c r="J40" i="91"/>
  <c r="I40" i="91"/>
  <c r="H40" i="91"/>
  <c r="G40" i="91"/>
  <c r="F40" i="91"/>
  <c r="E40" i="91"/>
  <c r="D40" i="91"/>
  <c r="M39" i="91"/>
  <c r="L39" i="91"/>
  <c r="K39" i="91"/>
  <c r="J39" i="91"/>
  <c r="I39" i="91"/>
  <c r="H39" i="91"/>
  <c r="G39" i="91"/>
  <c r="F39" i="91"/>
  <c r="E39" i="91"/>
  <c r="D39" i="91"/>
  <c r="M38" i="91"/>
  <c r="L38" i="91"/>
  <c r="K38" i="91"/>
  <c r="J38" i="91"/>
  <c r="I38" i="91"/>
  <c r="H38" i="91"/>
  <c r="G38" i="91"/>
  <c r="F38" i="91"/>
  <c r="E38" i="91"/>
  <c r="D38" i="91"/>
  <c r="M37" i="91"/>
  <c r="L37" i="91"/>
  <c r="K37" i="91"/>
  <c r="J37" i="91"/>
  <c r="I37" i="91"/>
  <c r="H37" i="91"/>
  <c r="G37" i="91"/>
  <c r="F37" i="91"/>
  <c r="E37" i="91"/>
  <c r="D37" i="91"/>
  <c r="M36" i="91"/>
  <c r="L36" i="91"/>
  <c r="K36" i="91"/>
  <c r="J36" i="91"/>
  <c r="I36" i="91"/>
  <c r="H36" i="91"/>
  <c r="G36" i="91"/>
  <c r="F36" i="91"/>
  <c r="E36" i="91"/>
  <c r="D36" i="91"/>
  <c r="L22" i="91"/>
  <c r="K22" i="91"/>
  <c r="J22" i="91"/>
  <c r="I22" i="91"/>
  <c r="H22" i="91"/>
  <c r="G22" i="91"/>
  <c r="F22" i="91"/>
  <c r="E22" i="91"/>
  <c r="D22" i="91"/>
  <c r="L21" i="91"/>
  <c r="K21" i="91"/>
  <c r="J21" i="91"/>
  <c r="I21" i="91"/>
  <c r="H21" i="91"/>
  <c r="G21" i="91"/>
  <c r="F21" i="91"/>
  <c r="E21" i="91"/>
  <c r="D21" i="91"/>
  <c r="M13" i="91"/>
  <c r="L13" i="91"/>
  <c r="K13" i="91"/>
  <c r="J13" i="91"/>
  <c r="I13" i="91"/>
  <c r="H13" i="91"/>
  <c r="G13" i="91"/>
  <c r="F13" i="91"/>
  <c r="E13" i="91"/>
  <c r="D13" i="91"/>
  <c r="G54" i="90" l="1"/>
  <c r="H54" i="90" s="1"/>
  <c r="G52" i="90"/>
  <c r="G48" i="90"/>
  <c r="G47" i="90"/>
  <c r="G46" i="90"/>
  <c r="H46" i="90" s="1"/>
  <c r="G45" i="90"/>
  <c r="H45" i="90" s="1"/>
  <c r="G44" i="90"/>
  <c r="H44" i="90" s="1"/>
  <c r="G43" i="90"/>
  <c r="H43" i="90" s="1"/>
  <c r="G42" i="90"/>
  <c r="H42" i="90" s="1"/>
  <c r="G41" i="90"/>
  <c r="F41" i="90"/>
  <c r="H41" i="90" s="1"/>
  <c r="G38" i="90"/>
  <c r="H38" i="90" s="1"/>
  <c r="G37" i="90"/>
  <c r="G36" i="90"/>
  <c r="H36" i="90" s="1"/>
  <c r="G35" i="90"/>
  <c r="H35" i="90" s="1"/>
  <c r="G34" i="90"/>
  <c r="H34" i="90" s="1"/>
  <c r="G33" i="90"/>
  <c r="H33" i="90" s="1"/>
  <c r="G32" i="90"/>
  <c r="H32" i="90" s="1"/>
  <c r="G31" i="90"/>
  <c r="F31" i="90"/>
  <c r="H31" i="90" s="1"/>
  <c r="G29" i="90"/>
  <c r="H29" i="90" s="1"/>
  <c r="G28" i="90"/>
  <c r="H28" i="90" s="1"/>
  <c r="G27" i="90"/>
  <c r="H27" i="90" s="1"/>
  <c r="G26" i="90"/>
  <c r="H26" i="90" s="1"/>
  <c r="G25" i="90"/>
  <c r="H25" i="90" s="1"/>
  <c r="G24" i="90"/>
  <c r="H24" i="90" s="1"/>
  <c r="G23" i="90"/>
  <c r="H23" i="90" s="1"/>
  <c r="G22" i="90"/>
  <c r="H22" i="90" s="1"/>
  <c r="I20" i="90"/>
  <c r="I16" i="90"/>
  <c r="I17" i="90" s="1"/>
  <c r="I15" i="90"/>
  <c r="G13" i="90"/>
  <c r="D3" i="89"/>
  <c r="E3" i="89"/>
  <c r="F3" i="89"/>
  <c r="G3" i="89"/>
  <c r="H3" i="89"/>
  <c r="I3" i="89"/>
  <c r="J3" i="89"/>
  <c r="K3" i="89"/>
  <c r="L3" i="89"/>
  <c r="M3" i="89"/>
  <c r="D6" i="89"/>
  <c r="D7" i="89"/>
  <c r="E7" i="89"/>
  <c r="D8" i="89"/>
  <c r="E8" i="89"/>
  <c r="F8" i="89"/>
  <c r="D9" i="89"/>
  <c r="E9" i="89"/>
  <c r="F9" i="89"/>
  <c r="G9" i="89"/>
  <c r="E10" i="89"/>
  <c r="F10" i="89"/>
  <c r="G10" i="89"/>
  <c r="H10" i="89"/>
  <c r="E11" i="89"/>
  <c r="F11" i="89"/>
  <c r="G11" i="89"/>
  <c r="H11" i="89"/>
  <c r="I11" i="89"/>
  <c r="F12" i="89"/>
  <c r="G12" i="89"/>
  <c r="H12" i="89"/>
  <c r="I12" i="89"/>
  <c r="J12" i="89"/>
  <c r="F13" i="89"/>
  <c r="G13" i="89"/>
  <c r="H13" i="89"/>
  <c r="I13" i="89"/>
  <c r="J13" i="89"/>
  <c r="K13" i="89"/>
  <c r="F14" i="89"/>
  <c r="G14" i="89"/>
  <c r="H14" i="89"/>
  <c r="I14" i="89"/>
  <c r="J14" i="89"/>
  <c r="K14" i="89"/>
  <c r="L14" i="89"/>
  <c r="M14" i="89"/>
  <c r="N16" i="89"/>
  <c r="N17" i="89"/>
  <c r="O17" i="89"/>
  <c r="N18" i="89"/>
  <c r="O18" i="89"/>
  <c r="P18" i="89"/>
  <c r="N19" i="89"/>
  <c r="O19" i="89"/>
  <c r="P19" i="89"/>
  <c r="Q19" i="89"/>
  <c r="O20" i="89"/>
  <c r="P20" i="89"/>
  <c r="Q20" i="89"/>
  <c r="R20" i="89"/>
  <c r="O21" i="89"/>
  <c r="P21" i="89"/>
  <c r="Q21" i="89"/>
  <c r="R21" i="89"/>
  <c r="S21" i="89"/>
  <c r="P22" i="89"/>
  <c r="Q22" i="89"/>
  <c r="R22" i="89"/>
  <c r="S22" i="89"/>
  <c r="T22" i="89"/>
  <c r="P23" i="89"/>
  <c r="Q23" i="89"/>
  <c r="R23" i="89"/>
  <c r="S23" i="89"/>
  <c r="T23" i="89"/>
  <c r="U23" i="89"/>
  <c r="P24" i="89"/>
  <c r="Q24" i="89"/>
  <c r="R24" i="89"/>
  <c r="S24" i="89"/>
  <c r="T24" i="89"/>
  <c r="U24" i="89"/>
  <c r="V24" i="89"/>
  <c r="W24" i="89"/>
  <c r="AI12" i="5"/>
  <c r="AI11" i="5"/>
  <c r="AI10" i="5"/>
  <c r="AI9" i="5"/>
  <c r="AI8" i="5"/>
  <c r="AI7" i="5"/>
  <c r="AI6" i="5"/>
  <c r="AI5" i="5"/>
  <c r="AI4" i="5"/>
  <c r="AI3" i="5"/>
  <c r="Z4" i="5"/>
  <c r="Z3" i="5"/>
  <c r="AB25" i="41"/>
  <c r="AB31" i="41"/>
  <c r="AB16" i="41"/>
  <c r="AB17" i="41"/>
  <c r="AK26" i="41"/>
  <c r="AK23" i="41"/>
  <c r="AH23" i="41"/>
  <c r="AB23" i="41"/>
  <c r="AK99" i="41"/>
  <c r="AH99" i="41"/>
  <c r="AB99" i="41"/>
  <c r="F18" i="84"/>
  <c r="F23" i="84"/>
  <c r="P18" i="8"/>
  <c r="Y39" i="87"/>
  <c r="R39" i="87"/>
  <c r="Y37" i="87"/>
  <c r="R37" i="87"/>
  <c r="Y35" i="87"/>
  <c r="R35" i="87"/>
  <c r="Y23" i="87"/>
  <c r="R23" i="87"/>
  <c r="Y21" i="87"/>
  <c r="R21" i="87"/>
  <c r="Y19" i="87"/>
  <c r="R19" i="87"/>
  <c r="E29" i="87"/>
  <c r="A29" i="87"/>
  <c r="A28" i="87"/>
  <c r="A27" i="87"/>
  <c r="A26" i="87"/>
  <c r="E24" i="87"/>
  <c r="A24" i="87"/>
  <c r="A23" i="87"/>
  <c r="A22" i="87"/>
  <c r="A21" i="87"/>
  <c r="H19" i="87"/>
  <c r="H18" i="87"/>
  <c r="E13" i="87"/>
  <c r="A13" i="87"/>
  <c r="A12" i="87"/>
  <c r="A11" i="87"/>
  <c r="A10" i="87"/>
  <c r="H3" i="87"/>
  <c r="E8" i="87"/>
  <c r="A8" i="87"/>
  <c r="A7" i="87"/>
  <c r="A6" i="87"/>
  <c r="A5" i="87"/>
  <c r="H2" i="87"/>
  <c r="D33" i="87"/>
  <c r="Z13" i="86"/>
  <c r="U9" i="86"/>
  <c r="G9" i="86"/>
  <c r="U8" i="86"/>
  <c r="G8" i="86"/>
  <c r="U7" i="86"/>
  <c r="G7" i="86"/>
  <c r="U5" i="86"/>
  <c r="I6" i="13"/>
  <c r="A18" i="8"/>
  <c r="A34" i="85"/>
  <c r="K34" i="85"/>
  <c r="U37" i="85"/>
  <c r="U35" i="85"/>
  <c r="S14" i="85"/>
  <c r="F14" i="85"/>
  <c r="F12" i="85"/>
  <c r="U9" i="85"/>
  <c r="G9" i="85"/>
  <c r="U8" i="85"/>
  <c r="G8" i="85"/>
  <c r="U7" i="85"/>
  <c r="G7" i="85"/>
  <c r="U6" i="85"/>
  <c r="U5" i="85"/>
  <c r="S13" i="84"/>
  <c r="S14" i="84"/>
  <c r="U9" i="84"/>
  <c r="G9" i="84"/>
  <c r="U8" i="84"/>
  <c r="G8" i="84"/>
  <c r="U7" i="84"/>
  <c r="G7" i="84"/>
  <c r="U6" i="84"/>
  <c r="U5" i="84"/>
  <c r="AB101" i="41"/>
  <c r="AK17" i="41"/>
  <c r="AK18" i="41"/>
  <c r="AK19" i="41"/>
  <c r="AK20" i="41"/>
  <c r="AK21" i="41"/>
  <c r="AK22" i="41"/>
  <c r="AK24" i="41"/>
  <c r="AK81" i="41"/>
  <c r="AK77" i="41"/>
  <c r="AK76" i="41"/>
  <c r="AK80" i="41"/>
  <c r="AH81" i="41"/>
  <c r="AH80" i="41"/>
  <c r="AB81" i="41"/>
  <c r="AB80" i="41"/>
  <c r="AK57" i="41"/>
  <c r="AH57" i="41"/>
  <c r="AB57" i="41"/>
  <c r="AK56" i="41"/>
  <c r="AH56" i="41"/>
  <c r="AB56" i="41"/>
  <c r="AK38" i="41"/>
  <c r="AH38" i="41"/>
  <c r="AB38" i="41"/>
  <c r="AK37" i="41"/>
  <c r="AH37" i="41"/>
  <c r="AB37" i="41"/>
  <c r="AK33" i="41"/>
  <c r="AH33" i="41"/>
  <c r="AB33" i="41"/>
  <c r="AK29" i="41"/>
  <c r="AH29" i="41"/>
  <c r="AB29" i="41"/>
  <c r="AK28" i="41"/>
  <c r="AH28" i="41"/>
  <c r="AB28" i="41"/>
  <c r="AH17" i="41"/>
  <c r="AH18" i="41"/>
  <c r="AH19" i="41"/>
  <c r="AH20" i="41"/>
  <c r="AH21" i="41"/>
  <c r="AH22" i="41"/>
  <c r="AB18" i="41"/>
  <c r="AB19" i="41"/>
  <c r="AB20" i="41"/>
  <c r="AB21" i="41"/>
  <c r="AB22" i="41"/>
  <c r="Y7" i="41"/>
  <c r="AH106" i="41"/>
  <c r="AH105" i="41"/>
  <c r="AH104" i="41"/>
  <c r="AH103" i="41"/>
  <c r="Z6" i="2"/>
  <c r="Z7" i="2"/>
  <c r="U7" i="37"/>
  <c r="U6" i="37"/>
  <c r="U5" i="37"/>
  <c r="U7" i="8"/>
  <c r="U6" i="8"/>
  <c r="U5" i="8"/>
  <c r="U7" i="4"/>
  <c r="U6" i="4"/>
  <c r="U5" i="4"/>
  <c r="Z7" i="3"/>
  <c r="Z6" i="3"/>
  <c r="Z5" i="3"/>
  <c r="Z5" i="2"/>
  <c r="Y6" i="41"/>
  <c r="Y5" i="41"/>
  <c r="U29" i="8"/>
  <c r="D37" i="8"/>
  <c r="A29" i="8"/>
  <c r="G40" i="90" l="1"/>
  <c r="H40" i="90" s="1"/>
  <c r="H37" i="90"/>
  <c r="G50" i="90"/>
  <c r="H50" i="90" s="1"/>
  <c r="H47" i="90"/>
  <c r="G49" i="90"/>
  <c r="H49" i="90" s="1"/>
  <c r="H48" i="90"/>
  <c r="I18" i="90"/>
  <c r="G14" i="90"/>
  <c r="H14" i="90" s="1"/>
  <c r="G30" i="90"/>
  <c r="H30" i="90" s="1"/>
  <c r="J40" i="90"/>
  <c r="G39" i="90"/>
  <c r="H39" i="90" s="1"/>
  <c r="G15" i="90"/>
  <c r="AH102" i="41"/>
  <c r="I7" i="13"/>
  <c r="AK16" i="41"/>
  <c r="AK106" i="41"/>
  <c r="AK105" i="41"/>
  <c r="AK104" i="41"/>
  <c r="AK103" i="41"/>
  <c r="AK101" i="41"/>
  <c r="AK100" i="41"/>
  <c r="AK98" i="41"/>
  <c r="AK96" i="41"/>
  <c r="AK95" i="41"/>
  <c r="AK94" i="41"/>
  <c r="AK93" i="41"/>
  <c r="AK91" i="41"/>
  <c r="AK90" i="41"/>
  <c r="AK89" i="41"/>
  <c r="AK88" i="41"/>
  <c r="AK87" i="41"/>
  <c r="AK86" i="41"/>
  <c r="AK85" i="41"/>
  <c r="AK84" i="41"/>
  <c r="AK82" i="41"/>
  <c r="AK79" i="41"/>
  <c r="AK75" i="41"/>
  <c r="AK73" i="41"/>
  <c r="AK72" i="41"/>
  <c r="AK71" i="41"/>
  <c r="AK69" i="41"/>
  <c r="AK68" i="41"/>
  <c r="AK67" i="41"/>
  <c r="AK66" i="41"/>
  <c r="AK65" i="41"/>
  <c r="AK64" i="41"/>
  <c r="AK62" i="41"/>
  <c r="AK61" i="41"/>
  <c r="AK60" i="41"/>
  <c r="AK58" i="41"/>
  <c r="AK54" i="41"/>
  <c r="AK53" i="41"/>
  <c r="AK52" i="41"/>
  <c r="AK50" i="41"/>
  <c r="AK49" i="41"/>
  <c r="AK48" i="41"/>
  <c r="AK47" i="41"/>
  <c r="AK45" i="41"/>
  <c r="AK43" i="41"/>
  <c r="AK42" i="41"/>
  <c r="AK41" i="41"/>
  <c r="AK39" i="41"/>
  <c r="AK36" i="41"/>
  <c r="AK34" i="41"/>
  <c r="AK32" i="41"/>
  <c r="AK30" i="41"/>
  <c r="AK27" i="41"/>
  <c r="AB90" i="41"/>
  <c r="AH101" i="41"/>
  <c r="AH100" i="41"/>
  <c r="AH98" i="41"/>
  <c r="AB98" i="41"/>
  <c r="AH96" i="41"/>
  <c r="AB96" i="41"/>
  <c r="AH95" i="41"/>
  <c r="AB95" i="41"/>
  <c r="AH94" i="41"/>
  <c r="AB94" i="41"/>
  <c r="AH93" i="41"/>
  <c r="AB93" i="41"/>
  <c r="AH91" i="41"/>
  <c r="AH90" i="41"/>
  <c r="AH89" i="41"/>
  <c r="AB89" i="41"/>
  <c r="AH88" i="41"/>
  <c r="AB88" i="41"/>
  <c r="AH87" i="41"/>
  <c r="AB87" i="41"/>
  <c r="AH86" i="41"/>
  <c r="AB86" i="41"/>
  <c r="AH85" i="41"/>
  <c r="AB85" i="41"/>
  <c r="AH84" i="41"/>
  <c r="AB84" i="41"/>
  <c r="AH82" i="41"/>
  <c r="AB82" i="41"/>
  <c r="AH79" i="41"/>
  <c r="AH78" i="41" s="1"/>
  <c r="AB79" i="41"/>
  <c r="AH77" i="41"/>
  <c r="AB77" i="41"/>
  <c r="AH76" i="41"/>
  <c r="AB76" i="41"/>
  <c r="AH75" i="41"/>
  <c r="AB75" i="41"/>
  <c r="AH73" i="41"/>
  <c r="AB73" i="41"/>
  <c r="AH72" i="41"/>
  <c r="AB72" i="41"/>
  <c r="AH71" i="41"/>
  <c r="AB71" i="41"/>
  <c r="AH69" i="41"/>
  <c r="AB69" i="41"/>
  <c r="AH68" i="41"/>
  <c r="AB68" i="41"/>
  <c r="AH67" i="41"/>
  <c r="AB67" i="41"/>
  <c r="AH66" i="41"/>
  <c r="AB66" i="41"/>
  <c r="AH65" i="41"/>
  <c r="AB65" i="41"/>
  <c r="AH64" i="41"/>
  <c r="AB64" i="41"/>
  <c r="AH62" i="41"/>
  <c r="AB62" i="41"/>
  <c r="AH61" i="41"/>
  <c r="AB61" i="41"/>
  <c r="AH60" i="41"/>
  <c r="AB60" i="41"/>
  <c r="AH58" i="41"/>
  <c r="AH55" i="41" s="1"/>
  <c r="AB58" i="41"/>
  <c r="AB55" i="41" s="1"/>
  <c r="AH54" i="41"/>
  <c r="AB54" i="41"/>
  <c r="AH53" i="41"/>
  <c r="AB53" i="41"/>
  <c r="AH52" i="41"/>
  <c r="AB52" i="41"/>
  <c r="AH50" i="41"/>
  <c r="AB50" i="41"/>
  <c r="AH49" i="41"/>
  <c r="AB49" i="41"/>
  <c r="AH48" i="41"/>
  <c r="AB48" i="41"/>
  <c r="AH47" i="41"/>
  <c r="AB47" i="41"/>
  <c r="AH45" i="41"/>
  <c r="AH44" i="41" s="1"/>
  <c r="AB45" i="41"/>
  <c r="AB44" i="41" s="1"/>
  <c r="AH39" i="41"/>
  <c r="AB39" i="41"/>
  <c r="AH36" i="41"/>
  <c r="AB36" i="41"/>
  <c r="AH43" i="41"/>
  <c r="AB43" i="41"/>
  <c r="AH42" i="41"/>
  <c r="AB42" i="41"/>
  <c r="AH41" i="41"/>
  <c r="AB41" i="41"/>
  <c r="AH27" i="41"/>
  <c r="AB27" i="41"/>
  <c r="AH34" i="41"/>
  <c r="AB34" i="41"/>
  <c r="AH32" i="41"/>
  <c r="AB32" i="41"/>
  <c r="AH30" i="41"/>
  <c r="AB30" i="41"/>
  <c r="AH26" i="41"/>
  <c r="AB26" i="41"/>
  <c r="AH24" i="41"/>
  <c r="AB24" i="41"/>
  <c r="AB15" i="41" s="1"/>
  <c r="AH16" i="41"/>
  <c r="Y9" i="41"/>
  <c r="K9" i="41"/>
  <c r="Y8" i="41"/>
  <c r="K8" i="41"/>
  <c r="K7" i="41"/>
  <c r="U9" i="37"/>
  <c r="G9" i="37"/>
  <c r="U8" i="37"/>
  <c r="G8" i="37"/>
  <c r="G7" i="37"/>
  <c r="U9" i="14"/>
  <c r="G9" i="14"/>
  <c r="U8" i="14"/>
  <c r="G8" i="14"/>
  <c r="U7" i="14"/>
  <c r="G7" i="14"/>
  <c r="U5" i="14"/>
  <c r="U9" i="8"/>
  <c r="G9" i="8"/>
  <c r="U8" i="8"/>
  <c r="G8" i="8"/>
  <c r="G7" i="8"/>
  <c r="G8" i="4"/>
  <c r="Z9" i="3"/>
  <c r="L9" i="3"/>
  <c r="Z8" i="3"/>
  <c r="L8" i="3"/>
  <c r="L7" i="3"/>
  <c r="L8" i="2"/>
  <c r="G53" i="90" l="1"/>
  <c r="H53" i="90" s="1"/>
  <c r="J50" i="90"/>
  <c r="G18" i="90"/>
  <c r="G20" i="90"/>
  <c r="H20" i="90" s="1"/>
  <c r="G19" i="90"/>
  <c r="H19" i="90" s="1"/>
  <c r="G16" i="90"/>
  <c r="AB35" i="41"/>
  <c r="AK44" i="41"/>
  <c r="AH25" i="41"/>
  <c r="AH35" i="41"/>
  <c r="AK35" i="41" s="1"/>
  <c r="AB78" i="41"/>
  <c r="AK78" i="41" s="1"/>
  <c r="AH15" i="41"/>
  <c r="AH31" i="41"/>
  <c r="AK102" i="41"/>
  <c r="AH74" i="41"/>
  <c r="AH92" i="41"/>
  <c r="AH51" i="41"/>
  <c r="AB40" i="41"/>
  <c r="AH70" i="41"/>
  <c r="AH83" i="41"/>
  <c r="AH97" i="41"/>
  <c r="AH46" i="41"/>
  <c r="AB59" i="41"/>
  <c r="AB70" i="41"/>
  <c r="AH40" i="41"/>
  <c r="AH59" i="41"/>
  <c r="AB63" i="41"/>
  <c r="AH63" i="41"/>
  <c r="AB46" i="41"/>
  <c r="AB51" i="41"/>
  <c r="AB74" i="41"/>
  <c r="AB92" i="41"/>
  <c r="AK55" i="41"/>
  <c r="AB91" i="41"/>
  <c r="AB83" i="41" s="1"/>
  <c r="AB100" i="41"/>
  <c r="I4" i="13"/>
  <c r="I3" i="13"/>
  <c r="I2" i="13"/>
  <c r="I5" i="13" a="1"/>
  <c r="I5" i="13" s="1"/>
  <c r="C3" i="13"/>
  <c r="B3" i="13" s="1"/>
  <c r="C2" i="13"/>
  <c r="B2" i="13" s="1"/>
  <c r="G55" i="90" l="1"/>
  <c r="H55" i="90" s="1"/>
  <c r="G57" i="90"/>
  <c r="G17" i="90"/>
  <c r="H17" i="90" s="1"/>
  <c r="AK46" i="41"/>
  <c r="AK70" i="41"/>
  <c r="AK63" i="41"/>
  <c r="AK83" i="41"/>
  <c r="AK59" i="41"/>
  <c r="AK40" i="41"/>
  <c r="AK51" i="41"/>
  <c r="AK92" i="41"/>
  <c r="AK25" i="41"/>
  <c r="AK74" i="41"/>
  <c r="AK31" i="41"/>
  <c r="AB107" i="41"/>
  <c r="V34" i="1" s="1"/>
  <c r="AB97" i="41"/>
  <c r="AB109" i="41" s="1"/>
  <c r="AB110" i="41" s="1"/>
  <c r="AK15" i="41"/>
  <c r="U43" i="8"/>
  <c r="D36" i="8"/>
  <c r="U41" i="8" s="1"/>
  <c r="S37" i="8"/>
  <c r="S36" i="8"/>
  <c r="A41" i="8" s="1"/>
  <c r="Z34" i="8"/>
  <c r="K40" i="8"/>
  <c r="A37" i="8"/>
  <c r="A36" i="8"/>
  <c r="A25" i="8"/>
  <c r="A24" i="8"/>
  <c r="K28" i="8"/>
  <c r="U8" i="4"/>
  <c r="U9" i="4"/>
  <c r="Z9" i="2"/>
  <c r="L9" i="2"/>
  <c r="Z8" i="2"/>
  <c r="L7" i="2"/>
  <c r="G58" i="90" l="1"/>
  <c r="H58" i="90" s="1"/>
  <c r="G51" i="90"/>
  <c r="G59" i="90"/>
  <c r="H59" i="90" s="1"/>
  <c r="G56" i="90"/>
  <c r="H56" i="90" s="1"/>
  <c r="H57" i="90"/>
  <c r="H51" i="90"/>
  <c r="C71" i="90" s="1"/>
  <c r="C78" i="90" s="1"/>
  <c r="G66" i="90"/>
  <c r="H66" i="90" s="1"/>
  <c r="G65" i="90"/>
  <c r="H65" i="90" s="1"/>
  <c r="G67" i="90"/>
  <c r="H67" i="90" s="1"/>
  <c r="AH107" i="41"/>
  <c r="AH108" i="41"/>
  <c r="AB111" i="41"/>
  <c r="AK97" i="41"/>
  <c r="Z13" i="14"/>
  <c r="G9" i="4"/>
  <c r="G7" i="4"/>
  <c r="G64" i="90" l="1"/>
  <c r="H64" i="90" s="1"/>
  <c r="C70" i="90" s="1"/>
  <c r="C77" i="90" s="1"/>
  <c r="G63" i="90"/>
  <c r="H63" i="90" s="1"/>
  <c r="G61" i="90"/>
  <c r="H61" i="90" s="1"/>
  <c r="G62" i="90"/>
  <c r="H62" i="90" s="1"/>
  <c r="V33" i="1"/>
  <c r="G60" i="90" l="1"/>
  <c r="H60" i="90" s="1"/>
  <c r="C69" i="90" s="1"/>
  <c r="C72" i="90" l="1"/>
  <c r="C79" i="90"/>
  <c r="C76" i="9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tc={48C73C8D-1253-4C6F-A7C7-649B41B05606}</author>
    <author>tc={64CCCCB4-110E-4364-AC87-14F3E016284B}</author>
    <author>tc={C2CBF009-C811-4A5D-9186-7E3C6F80F7F3}</author>
    <author>tc={92DBBE1E-C677-409C-9E05-4FEE316BAAE9}</author>
    <author>tc={7C187831-69F8-4D06-ACD2-BBE2992DAE4E}</author>
    <author>tc={2EA74019-405E-4B96-891F-FF0570F04C05}</author>
    <author>tc={C2F5DD17-898D-4F24-AD1F-37479881DA2F}</author>
    <author>tc={BDF96282-D2FD-42F6-ABBD-3D3705A26D4C}</author>
    <author>tc={9C49EE9D-3C2B-4E2C-9A1D-21E66E757B78}</author>
    <author>tc={B041169B-34D2-46B9-91D6-D2E1318FDF35}</author>
    <author>tc={D40CFF7E-5314-4265-AAF2-60FF8FC141BD}</author>
    <author>tc={37DFBFC8-90D5-4386-8802-40CC3E3ECD01}</author>
    <author>tc={D8720C31-FB82-403D-BD51-F2BC9CF5EA31}</author>
    <author>tc={E5013C39-AA30-475D-AD63-8BA5EA559AE6}</author>
    <author>tc={598D800A-983B-4E29-8FA4-823C288F5C68}</author>
    <author>tc={D74F6FB1-DE6E-482C-A7BB-D9DD9EEA7E8F}</author>
    <author>tc={DFEF150F-BB49-42D2-9B42-9622AA4EE2C6}</author>
    <author>tc={752AE5D6-82B4-418B-8E15-E4573F2DCBEF}</author>
    <author>tc={144A290E-FE08-478D-B309-506E4F794B99}</author>
    <author>tc={C922B554-DBCE-4A6B-BA88-27DBF2F38F86}</author>
    <author>tc={04C5BCC5-CC58-4788-ACA7-676BB5205C7E}</author>
    <author>tc={E7960981-4AF6-45FE-878F-B0DEE61782D5}</author>
    <author>tc={B6764F61-1F84-49CD-B908-87C702877381}</author>
    <author>tc={23A8131E-B157-427A-A81A-5715DB43AEC1}</author>
    <author>tc={5EC8D3F3-C638-493F-8ED4-5FD323030CB8}</author>
    <author>tc={5AACEB12-3E98-463A-8AB3-5EE40E9A6251}</author>
    <author>tc={A82E2DE9-05E6-4BA6-995C-CBA84DAAF0CF}</author>
    <author>tc={085F5364-2496-413B-8A86-087BA1A1D7EA}</author>
  </authors>
  <commentList>
    <comment ref="U5" authorId="0" shapeId="0" xr:uid="{48C73C8D-1253-4C6F-A7C7-649B41B0560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64CCCCB4-110E-4364-AC87-14F3E01628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C2CBF009-C811-4A5D-9186-7E3C6F80F7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92DBBE1E-C677-409C-9E05-4FEE316BAA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7C187831-69F8-4D06-ACD2-BBE2992DAE4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5" authorId="5" shapeId="0" xr:uid="{2EA74019-405E-4B96-891F-FF0570F04C0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P15" authorId="6" shapeId="0" xr:uid="{C2F5DD17-898D-4F24-AD1F-37479881D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Seulement si différent de l'adresse ci-dessus</t>
      </text>
    </comment>
    <comment ref="A23" authorId="7" shapeId="0" xr:uid="{BDF96282-D2FD-42F6-ABBD-3D3705A26D4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4" authorId="8" shapeId="0" xr:uid="{9C49EE9D-3C2B-4E2C-9A1D-21E66E757B7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5" authorId="9" shapeId="0" xr:uid="{B041169B-34D2-46B9-91D6-D2E1318FDF3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6" authorId="10" shapeId="0" xr:uid="{D40CFF7E-5314-4265-AAF2-60FF8FC141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A27" authorId="11" shapeId="0" xr:uid="{37DFBFC8-90D5-4386-8802-40CC3E3ECD0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28" authorId="12" shapeId="0" xr:uid="{D8720C31-FB82-403D-BD51-F2BC9CF5EA3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projet chez le client</t>
      </text>
    </comment>
    <comment ref="G32" authorId="13" shapeId="0" xr:uid="{E5013C39-AA30-475D-AD63-8BA5EA559AE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du devis divalto si existant ou statut du devis.</t>
      </text>
    </comment>
    <comment ref="G33" authorId="14" shapeId="0" xr:uid="{598D800A-983B-4E29-8FA4-823C288F5C6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Estimation de la durée du chantier en jh</t>
      </text>
    </comment>
    <comment ref="G34" authorId="15" shapeId="0" xr:uid="{D74F6FB1-DE6E-482C-A7BB-D9DD9EEA7E8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de démarrage en production souhaité par le client.</t>
      </text>
    </comment>
    <comment ref="V34" authorId="16" shapeId="0" xr:uid="{DFEF150F-BB49-42D2-9B42-9622AA4EE2C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total du projet HT</t>
      </text>
    </comment>
    <comment ref="G35" authorId="17" shapeId="0" xr:uid="{752AE5D6-82B4-418B-8E15-E4573F2DCBE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Valitation d'un représentannt BE</t>
      </text>
    </comment>
    <comment ref="V35" authorId="18" shapeId="0" xr:uid="{144A290E-FE08-478D-B309-506E4F794B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CVR avant la rédaction finale de l'offre.</t>
      </text>
    </comment>
    <comment ref="A39" authorId="19" shapeId="0" xr:uid="{C922B554-DBCE-4A6B-BA88-27DBF2F38F8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P39" authorId="20" shapeId="0" xr:uid="{04C5BCC5-CC58-4788-ACA7-676BB5205C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Vérification à faire par Mélanie pour la SFAC, négociation avec la compta (Catherine).</t>
      </text>
    </comment>
    <comment ref="F45" authorId="21" shapeId="0" xr:uid="{E7960981-4AF6-45FE-878F-B0DEE61782D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Si organisme de financement, merci de mettre le nom.</t>
      </text>
    </comment>
    <comment ref="F46" authorId="22" shapeId="0" xr:uid="{B6764F61-1F84-49CD-B908-87C70287738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prime CEE</t>
      </text>
    </comment>
    <comment ref="F47" authorId="23" shapeId="0" xr:uid="{23A8131E-B157-427A-A81A-5715DB43AEC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Organisme de financement CEE</t>
      </text>
    </comment>
    <comment ref="V47" authorId="24" shapeId="0" xr:uid="{5EC8D3F3-C638-493F-8ED4-5FD323030CB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Validation du CVR / DR / Compta selon le cas.</t>
      </text>
    </comment>
    <comment ref="F48" authorId="25" shapeId="0" xr:uid="{5AACEB12-3E98-463A-8AB3-5EE40E9A62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Versement de la prime au client ou Airflux</t>
      </text>
    </comment>
    <comment ref="A49" authorId="26" shapeId="0" xr:uid="{A82E2DE9-05E6-4BA6-995C-CBA84DAAF0C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Termes de paiement négociés avec le client</t>
      </text>
    </comment>
    <comment ref="A64" authorId="27" shapeId="0" xr:uid="{085F5364-2496-413B-8A86-087BA1A1D7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tc={597034F6-F48E-4876-9FEB-68A171EF3A2F}</author>
    <author>tc={4166572D-7958-4817-BB63-51D8B6AE692B}</author>
    <author>tc={53DDD482-FE01-4C3B-9BC0-2BFE5FBB1F44}</author>
    <author>tc={44A20BEC-F8CA-42D4-8D43-E408EBDB27E5}</author>
    <author>tc={8F9C13F7-0901-437D-931F-E5DC25322847}</author>
    <author>tc={4C30EF6F-C462-4C52-BAB2-4A855901302A}</author>
    <author>tc={30CCB22C-4D81-45D0-8F7E-6C2854247CA8}</author>
    <author>tc={EA7354F8-48D8-4BD2-A90B-3EA02F3E1299}</author>
  </authors>
  <commentList>
    <comment ref="Y5" authorId="0" shapeId="0" xr:uid="{597034F6-F48E-4876-9FEB-68A171EF3A2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Y6" authorId="1" shapeId="0" xr:uid="{4166572D-7958-4817-BB63-51D8B6AE692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Y7" authorId="2" shapeId="0" xr:uid="{53DDD482-FE01-4C3B-9BC0-2BFE5FBB1F4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Y8" authorId="3" shapeId="0" xr:uid="{44A20BEC-F8CA-42D4-8D43-E408EBDB27E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Y9" authorId="4" shapeId="0" xr:uid="{8F9C13F7-0901-437D-931F-E5DC2532284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T107" authorId="5" shapeId="0" xr:uid="{4C30EF6F-C462-4C52-BAB2-4A855901302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des PV (Colonnes AH-AJ)</t>
      </text>
    </comment>
    <comment ref="T108" authorId="6" shapeId="0" xr:uid="{30CCB22C-4D81-45D0-8F7E-6C2854247CA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de la vente</t>
      </text>
    </comment>
    <comment ref="T109" authorId="7" shapeId="0" xr:uid="{EA7354F8-48D8-4BD2-A90B-3EA02F3E129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Total PA (Colonnes AB-AD)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tc={7A82EA3B-A85E-4E47-86C1-23D32228F528}</author>
    <author>tc={CD7AB528-EFBD-40F1-A0AF-F93122160E2C}</author>
    <author>tc={D20E56BD-CFDC-4B71-9120-BD2913CE0874}</author>
    <author>tc={4EB3E86E-0AD6-450A-8447-362254C7B9BA}</author>
    <author>tc={FC2EA202-4258-4D0B-95D4-B7D9DF4BBC74}</author>
    <author>tc={51CD7C1A-D9D6-441F-8456-C254721DF0AF}</author>
    <author>tc={5FF64506-2862-41F9-BB65-C61E6BE24290}</author>
    <author>tc={C92AA76E-FFAC-4D0C-9554-E3EE11B32859}</author>
    <author>tc={A96BA3DE-FAEE-41DB-93F3-2E9784E30632}</author>
  </authors>
  <commentList>
    <comment ref="Z5" authorId="0" shapeId="0" xr:uid="{7A82EA3B-A85E-4E47-86C1-23D32228F52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CD7AB528-EFBD-40F1-A0AF-F93122160E2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D20E56BD-CFDC-4B71-9120-BD2913CE08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4EB3E86E-0AD6-450A-8447-362254C7B9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C2EA202-4258-4D0B-95D4-B7D9DF4BBC7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F11" authorId="5" shapeId="0" xr:uid="{51CD7C1A-D9D6-441F-8456-C254721DF0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Fiche de Jérémy Versari</t>
      </text>
    </comment>
    <comment ref="H28" authorId="6" shapeId="0" xr:uid="{5FF64506-2862-41F9-BB65-C61E6BE2429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30" authorId="7" shapeId="0" xr:uid="{C92AA76E-FFAC-4D0C-9554-E3EE11B3285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Diamètre de raccordement</t>
      </text>
    </comment>
    <comment ref="O40" authorId="8" shapeId="0" xr:uid="{A96BA3DE-FAEE-41DB-93F3-2E9784E306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Hauteur manomètrique Totale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tc={B2B00BAB-52FA-4E30-821A-0D3BB17F33F0}</author>
    <author>tc={507F88D5-81A0-4C5C-808F-D41B67B2F751}</author>
    <author>tc={9040DC1D-5E16-47F9-9108-7DABE9CE7E21}</author>
    <author>tc={36396C0F-E6B4-4529-8911-17E64F163327}</author>
    <author>tc={F24582F3-F04E-4399-AF93-6838597ED3BC}</author>
    <author>tc={884E92FE-49CD-4522-B3C7-771771F31E46}</author>
    <author>tc={4326CAA7-AD2F-4FD8-B1D5-4CD89178F00D}</author>
    <author>tc={D66F5670-74F2-487A-97D1-7AFDD3C03A9D}</author>
    <author>tc={643F4ABD-DA0E-4978-8FFA-B5A78A255485}</author>
    <author>tc={879E7B15-4586-4EFC-9523-4AE60F7E32C0}</author>
  </authors>
  <commentList>
    <comment ref="Z5" authorId="0" shapeId="0" xr:uid="{B2B00BAB-52FA-4E30-821A-0D3BB17F33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Z6" authorId="1" shapeId="0" xr:uid="{507F88D5-81A0-4C5C-808F-D41B67B2F75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Z7" authorId="2" shapeId="0" xr:uid="{9040DC1D-5E16-47F9-9108-7DABE9CE7E2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Z8" authorId="3" shapeId="0" xr:uid="{36396C0F-E6B4-4529-8911-17E64F16332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Z9" authorId="4" shapeId="0" xr:uid="{F24582F3-F04E-4399-AF93-6838597ED3B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H21" authorId="5" shapeId="0" xr:uid="{884E92FE-49CD-4522-B3C7-771771F31E4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Indiquer les matériels exitants à supprimier réutiliser et les matériels determinés à ajouter.</t>
      </text>
    </comment>
    <comment ref="AK23" authorId="6" shapeId="0" xr:uid="{4326CAA7-AD2F-4FD8-B1D5-4CD89178F00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Raccordement</t>
      </text>
    </comment>
    <comment ref="V56" authorId="7" shapeId="0" xr:uid="{D66F5670-74F2-487A-97D1-7AFDD3C03A9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Doit-on prévoir un retour de compresseur ? A signaler à Chantal pour le sortir de l'affaire.</t>
      </text>
    </comment>
    <comment ref="A57" authorId="8" shapeId="0" xr:uid="{643F4ABD-DA0E-4978-8FFA-B5A78A25548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Etude de récup calorie à réaliser.</t>
      </text>
    </comment>
    <comment ref="V57" authorId="9" shapeId="0" xr:uid="{879E7B15-4586-4EFC-9523-4AE60F7E32C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Le cas échéant remplir la feuille de reprise pour Second'Air.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tc={042D53B0-6A57-47E4-B311-81283265AE69}</author>
    <author>tc={A3EBD57D-DEFF-4ACC-8258-2CB55E0F8EBF}</author>
    <author>tc={632927AB-9C81-4AA5-A6DB-AC7C0887A988}</author>
    <author>tc={7FB2B523-B38B-4529-9A9D-F6C59F0BD334}</author>
    <author>tc={1CEF8C32-E02A-4660-B720-E9BA31BDEE03}</author>
    <author>tc={8C8A688D-385C-4AAF-8248-620B2A03A222}</author>
    <author>tc={72CA6EED-7964-4695-A96E-97057CA327EE}</author>
  </authors>
  <commentList>
    <comment ref="U5" authorId="0" shapeId="0" xr:uid="{042D53B0-6A57-47E4-B311-81283265AE6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A3EBD57D-DEFF-4ACC-8258-2CB55E0F8EB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632927AB-9C81-4AA5-A6DB-AC7C0887A9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FB2B523-B38B-4529-9A9D-F6C59F0BD33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1CEF8C32-E02A-4660-B720-E9BA31BDEE0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 ref="A19" authorId="5" shapeId="0" xr:uid="{8C8A688D-385C-4AAF-8248-620B2A03A22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 d'accès en hauteur, nécessite Casses</t>
      </text>
    </comment>
    <comment ref="A27" authorId="6" shapeId="0" xr:uid="{72CA6EED-7964-4695-A96E-97057CA327E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Merci d'ajouter tous les commentaires non prévu ci-dessus.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tc={C45F2740-1092-4206-9E6F-764AD3274BB2}</author>
    <author>tc={214DA2A0-1DD7-48EC-B3C7-B858C74EA5AF}</author>
    <author>tc={9FB2BF58-4C21-4AD4-AD5C-A135E00914B9}</author>
    <author>tc={1EF9ACAD-4994-4253-95E9-73AC2359D52D}</author>
    <author>tc={D771AE50-B026-4869-A2A7-5ABEC22B1520}</author>
  </authors>
  <commentList>
    <comment ref="U5" authorId="0" shapeId="0" xr:uid="{C45F2740-1092-4206-9E6F-764AD3274BB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214DA2A0-1DD7-48EC-B3C7-B858C74EA5A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9FB2BF58-4C21-4AD4-AD5C-A135E00914B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1EF9ACAD-4994-4253-95E9-73AC2359D52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771AE50-B026-4869-A2A7-5ABEC22B15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tc={89924D3F-2DD3-4C08-A65F-A4343DFB4BBA}</author>
    <author>tc={341B20E2-03EF-424E-8DBF-1E03D7CD14C3}</author>
    <author>tc={2225187F-A6F5-4A29-978F-3F72766C6804}</author>
    <author>tc={BF6B29C5-1118-4AEC-B91F-3DAAA981ACBD}</author>
    <author>tc={D983094A-A6F4-4DED-A2A7-D1924F472BB4}</author>
  </authors>
  <commentList>
    <comment ref="U5" authorId="0" shapeId="0" xr:uid="{89924D3F-2DD3-4C08-A65F-A4343DFB4B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341B20E2-03EF-424E-8DBF-1E03D7CD14C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2225187F-A6F5-4A29-978F-3F72766C680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F6B29C5-1118-4AEC-B91F-3DAAA981ACB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D983094A-A6F4-4DED-A2A7-D1924F472BB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tc={9F845057-08D4-4EF6-A239-BF40DB8535D2}</author>
    <author>tc={E9BBD9AF-41A8-478F-93B6-B441B05E87DD}</author>
    <author>tc={8F90C4A1-CA35-464B-BFAB-CF7591A19F09}</author>
    <author>tc={7400772E-CAA9-4CAD-8773-6CF1FA92E2CB}</author>
    <author>tc={3635A72D-B4E7-4304-99A3-ECECEF26F983}</author>
  </authors>
  <commentList>
    <comment ref="U5" authorId="0" shapeId="0" xr:uid="{9F845057-08D4-4EF6-A239-BF40DB8535D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E9BBD9AF-41A8-478F-93B6-B441B05E87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8F90C4A1-CA35-464B-BFAB-CF7591A19F0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7400772E-CAA9-4CAD-8773-6CF1FA92E2C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635A72D-B4E7-4304-99A3-ECECEF26F98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tc={D94C7AF5-DC69-44D6-92FE-1A9E5B1A83A6}</author>
    <author>tc={78EC980D-9313-420E-BCD4-EE089263E767}</author>
    <author>tc={D8679B24-585B-440A-96E6-1019C3A4B6F2}</author>
    <author>tc={B0BCE266-1A69-4081-ACA6-9C6AA546C620}</author>
    <author>tc={3F65A82F-3C6D-4495-B02C-90A0270F68F2}</author>
  </authors>
  <commentList>
    <comment ref="U5" authorId="0" shapeId="0" xr:uid="{D94C7AF5-DC69-44D6-92FE-1A9E5B1A83A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6" authorId="1" shapeId="0" xr:uid="{78EC980D-9313-420E-BCD4-EE089263E76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de devis Divalto ou devis Commercial pour suivi.</t>
      </text>
    </comment>
    <comment ref="U7" authorId="2" shapeId="0" xr:uid="{D8679B24-585B-440A-96E6-1019C3A4B6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
Si nouveau client, le signaler et préparer la fiche d'ouverture de compte client.</t>
      </text>
    </comment>
    <comment ref="U8" authorId="3" shapeId="0" xr:uid="{B0BCE266-1A69-4081-ACA6-9C6AA546C6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4" shapeId="0" xr:uid="{3F65A82F-3C6D-4495-B02C-90A0270F68F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tc={19DEE1D8-F077-49BC-9AD7-6F5735FB5588}</author>
    <author>tc={84A043C3-9713-4CB6-B9E0-BF69FDEA5FFC}</author>
    <author>tc={E4C4D689-6D02-4951-BF5E-8677C27ACBF3}</author>
    <author>tc={F27F9C34-FE17-4663-B343-AFF3593AE5DD}</author>
  </authors>
  <commentList>
    <comment ref="U5" authorId="0" shapeId="0" xr:uid="{19DEE1D8-F077-49BC-9AD7-6F5735FB558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84A043C3-9713-4CB6-B9E0-BF69FDEA5FF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E4C4D689-6D02-4951-BF5E-8677C27ACBF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F27F9C34-FE17-4663-B343-AFF3593AE5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tc={B2911AE8-FBCD-4118-8AE3-0AEB546C0C32}</author>
    <author>tc={9D79CE1D-D8A2-4E14-A1FC-71A1C63950CD}</author>
    <author>tc={7FA4C144-CFF0-4410-A7C1-8B093F2B554B}</author>
    <author>tc={3BD079C2-85B2-4A8D-B670-5BF914748160}</author>
  </authors>
  <commentList>
    <comment ref="U5" authorId="0" shapeId="0" xr:uid="{B2911AE8-FBCD-4118-8AE3-0AEB546C0C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du client</t>
      </text>
    </comment>
    <comment ref="U7" authorId="1" shapeId="0" xr:uid="{9D79CE1D-D8A2-4E14-A1FC-71A1C63950C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C00xxxxx</t>
      </text>
    </comment>
    <comment ref="U8" authorId="2" shapeId="0" xr:uid="{7FA4C144-CFF0-4410-A7C1-8B093F2B554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Numéro d'affaire 08xxxxxx</t>
      </text>
    </comment>
    <comment ref="U9" authorId="3" shapeId="0" xr:uid="{3BD079C2-85B2-4A8D-B670-5BF91474816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Code à 5 chiffres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tc={E0B1C3DB-57EA-457C-B510-1BD9B61C1020}</author>
    <author>tc={9A2D3883-5900-4EE9-A9D0-3E8F3D1477E9}</author>
    <author>tc={E2A45AC3-CBC7-4294-892B-34437791BB12}</author>
    <author>tc={35D8D53A-5773-4F2F-9AC5-99DF8A09A3E4}</author>
  </authors>
  <commentList>
    <comment ref="O1" authorId="0" shapeId="0" xr:uid="{E0B1C3DB-57EA-457C-B510-1BD9B61C10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CDS125</t>
      </text>
    </comment>
    <comment ref="X3" authorId="1" shapeId="0" xr:uid="{9A2D3883-5900-4EE9-A9D0-3E8F3D1477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CSDX.3</t>
      </text>
    </comment>
    <comment ref="J4" authorId="2" shapeId="0" xr:uid="{E2A45AC3-CBC7-4294-892B-34437791BB1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SIGMA 37</t>
      </text>
    </comment>
    <comment ref="J5" authorId="3" shapeId="0" xr:uid="{35D8D53A-5773-4F2F-9AC5-99DF8A09A3E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Ex : UCxxxxxx</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F431FD-769C-4936-B581-74D5FA9D236C}" keepAlive="1" name="Requête - BasePrix" description="Connexion à la requête « BasePrix » dans le classeur." type="5" refreshedVersion="8" background="1" saveData="1">
    <dbPr connection="Provider=Microsoft.Mashup.OleDb.1;Data Source=$Workbook$;Location=BasePrix;Extended Properties=&quot;&quot;" command="SELECT * FROM [BasePrix]"/>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<sst xmlns="http://schemas.openxmlformats.org/spreadsheetml/2006/main" count="4995" uniqueCount="3617">
  <si>
    <t>Dossier Technico-Commercial S2
 Projet</t>
  </si>
  <si>
    <t>Informations Générales</t>
  </si>
  <si>
    <t>Client :</t>
  </si>
  <si>
    <t>Devis :</t>
  </si>
  <si>
    <t>Commercial :</t>
  </si>
  <si>
    <t>Code client :</t>
  </si>
  <si>
    <t>ICA :</t>
  </si>
  <si>
    <t>N° Affaire :</t>
  </si>
  <si>
    <t>Chargé d'affaire BE :</t>
  </si>
  <si>
    <t>Ref Projet SF :</t>
  </si>
  <si>
    <t>Coordonnées :</t>
  </si>
  <si>
    <t>Adresse :</t>
  </si>
  <si>
    <t>Interlocuteur :</t>
  </si>
  <si>
    <t>Rue :</t>
  </si>
  <si>
    <t>Fonction :</t>
  </si>
  <si>
    <t>Téléphone :</t>
  </si>
  <si>
    <t>Mail :</t>
  </si>
  <si>
    <t>CP :</t>
  </si>
  <si>
    <t>Ville :</t>
  </si>
  <si>
    <t>Adresse de facturation :</t>
  </si>
  <si>
    <t>Adresse de livraison:</t>
  </si>
  <si>
    <t>Légende pour le remplissage :</t>
  </si>
  <si>
    <t xml:space="preserve">Rose </t>
  </si>
  <si>
    <t>Equipe Commerciale</t>
  </si>
  <si>
    <t>Vert</t>
  </si>
  <si>
    <t>Equipe Administrative</t>
  </si>
  <si>
    <t>Bleu</t>
  </si>
  <si>
    <t>Equipe BE</t>
  </si>
  <si>
    <t>Détail du projet</t>
  </si>
  <si>
    <t>Nom du projet</t>
  </si>
  <si>
    <t>Situation actuelle :</t>
  </si>
  <si>
    <t>Nature du besoin et solution proposée :</t>
  </si>
  <si>
    <t>Proposition commerciale</t>
  </si>
  <si>
    <t>Suite à :</t>
  </si>
  <si>
    <t>Offre à envoyer :</t>
  </si>
  <si>
    <t>BE :</t>
  </si>
  <si>
    <t>Devis BE :</t>
  </si>
  <si>
    <t>Revue com :</t>
  </si>
  <si>
    <t>Durée du chantier :</t>
  </si>
  <si>
    <t>Marge Prév. :</t>
  </si>
  <si>
    <t>Date de mise en service souhaitée :</t>
  </si>
  <si>
    <t>Montant
du projet :</t>
  </si>
  <si>
    <t>Validation BE :</t>
  </si>
  <si>
    <t>Validation Com. :</t>
  </si>
  <si>
    <t>Paiement</t>
  </si>
  <si>
    <t>Conditions :</t>
  </si>
  <si>
    <t>30j fin de mois</t>
  </si>
  <si>
    <t>Assurance Crédit :</t>
  </si>
  <si>
    <t>%</t>
  </si>
  <si>
    <t>Acompte à la commande</t>
  </si>
  <si>
    <t>SFAC :</t>
  </si>
  <si>
    <t>Oui</t>
  </si>
  <si>
    <t>Non</t>
  </si>
  <si>
    <t>A la livraison des matériels</t>
  </si>
  <si>
    <t>Encours dispo:</t>
  </si>
  <si>
    <t>Au début des travaux</t>
  </si>
  <si>
    <t>A la mise en service</t>
  </si>
  <si>
    <t>Date :</t>
  </si>
  <si>
    <t>Solde</t>
  </si>
  <si>
    <t>A la levée des réserves</t>
  </si>
  <si>
    <t>Montant Accordé :</t>
  </si>
  <si>
    <t>Org. de financ. :</t>
  </si>
  <si>
    <t>Primes CEE</t>
  </si>
  <si>
    <t>Montant :</t>
  </si>
  <si>
    <t>Organisme :</t>
  </si>
  <si>
    <t>Validation 
Finance :</t>
  </si>
  <si>
    <t>Versement :</t>
  </si>
  <si>
    <t>Client</t>
  </si>
  <si>
    <t>Locations</t>
  </si>
  <si>
    <t>Location avec option d'achat</t>
  </si>
  <si>
    <t>Location financière</t>
  </si>
  <si>
    <t>Durée de location :</t>
  </si>
  <si>
    <t>mois</t>
  </si>
  <si>
    <t>Loyer :</t>
  </si>
  <si>
    <t>€HT / mois</t>
  </si>
  <si>
    <t>Valeur de rachat :</t>
  </si>
  <si>
    <t>€HT</t>
  </si>
  <si>
    <t>Résumé de prestation :</t>
  </si>
  <si>
    <t>Livraison seule :</t>
  </si>
  <si>
    <t>Oui ( Voir conditions de livraison en première page )</t>
  </si>
  <si>
    <t>Instal. centrale :</t>
  </si>
  <si>
    <t>Charge AF ( Fourn. schéma mise en place )</t>
  </si>
  <si>
    <t>Charge client</t>
  </si>
  <si>
    <t>Racc. au réseau :</t>
  </si>
  <si>
    <t>Charge AF ( Fournir descriptif détaillé )</t>
  </si>
  <si>
    <t>Instal. réseau :</t>
  </si>
  <si>
    <t>Charge AF ( Fournir plan de réseau )</t>
  </si>
  <si>
    <t>Instal. électrique :</t>
  </si>
  <si>
    <t>Racc. électrique :</t>
  </si>
  <si>
    <t>Charge AF</t>
  </si>
  <si>
    <t>Mise en service :</t>
  </si>
  <si>
    <t>Garantie :</t>
  </si>
  <si>
    <t>Autre: 6 mois matériels d'occasion; 1 an matériels neufs</t>
  </si>
  <si>
    <t>Constructeur</t>
  </si>
  <si>
    <t>Spécifications prises en accord avec le client :</t>
  </si>
  <si>
    <t xml:space="preserve">Liasse Documentaire à joindre : </t>
  </si>
  <si>
    <t>Devis Airflux (daté, signé, paraphé) :</t>
  </si>
  <si>
    <t>Commande Client :</t>
  </si>
  <si>
    <t>CGV Airflux (paraphée) :</t>
  </si>
  <si>
    <t>Prime CEE signé AF/CEE si versement AF :</t>
  </si>
  <si>
    <t>Dossier Financement :</t>
  </si>
  <si>
    <t>Bilan financier (Onglet Offre commerciale) :</t>
  </si>
  <si>
    <t>Dossier Technique complété :</t>
  </si>
  <si>
    <t>Demande d'appro hors devis Divalto :</t>
  </si>
  <si>
    <t>Offre de prix fournisseur (tous les AG + PF):</t>
  </si>
  <si>
    <t>Observations :</t>
  </si>
  <si>
    <t>Dossier Technico-Commercial S2
Offre commerciale</t>
  </si>
  <si>
    <t>Chargé d'affaire :</t>
  </si>
  <si>
    <t>Constitution de la centrale :</t>
  </si>
  <si>
    <t>Débit total hors secours :</t>
  </si>
  <si>
    <t>m3/h</t>
  </si>
  <si>
    <t>Pression d'utilisation :</t>
  </si>
  <si>
    <t>Bars</t>
  </si>
  <si>
    <t>Tension :</t>
  </si>
  <si>
    <t>V</t>
  </si>
  <si>
    <t>Phases</t>
  </si>
  <si>
    <t>Hz</t>
  </si>
  <si>
    <t>Désignation du matériel</t>
  </si>
  <si>
    <t>Marque</t>
  </si>
  <si>
    <t>Type</t>
  </si>
  <si>
    <t>Débit
m3/h</t>
  </si>
  <si>
    <t>Puiss
kW</t>
  </si>
  <si>
    <t>Diam</t>
  </si>
  <si>
    <t>Charge</t>
  </si>
  <si>
    <t>Qté</t>
  </si>
  <si>
    <t>PA Unit
€HT</t>
  </si>
  <si>
    <t>PA Tot.
€HT</t>
  </si>
  <si>
    <t>PV Unit
€HT</t>
  </si>
  <si>
    <t>PV Tot.
€HT</t>
  </si>
  <si>
    <t>Marge
%</t>
  </si>
  <si>
    <t>0- Type de local</t>
  </si>
  <si>
    <t>Type de murs :</t>
  </si>
  <si>
    <t>Parpaing</t>
  </si>
  <si>
    <t>Dimensions :</t>
  </si>
  <si>
    <t>1- Centrale de production d'air comprimé</t>
  </si>
  <si>
    <t>Compresseur 1</t>
  </si>
  <si>
    <t>AF- Client</t>
  </si>
  <si>
    <t>Compresseur 2</t>
  </si>
  <si>
    <t>Compresseur 3</t>
  </si>
  <si>
    <t>Compresseur 4</t>
  </si>
  <si>
    <t>Compresseur 5</t>
  </si>
  <si>
    <t>Compresseur 6</t>
  </si>
  <si>
    <t>Options</t>
  </si>
  <si>
    <t>Régime IT</t>
  </si>
  <si>
    <t>Compresseur de secours</t>
  </si>
  <si>
    <t>2- Réservoir de stockage d'air comprimé</t>
  </si>
  <si>
    <t>Réservoir 1</t>
  </si>
  <si>
    <t>Réservoir 2</t>
  </si>
  <si>
    <t>Réservoir 3</t>
  </si>
  <si>
    <t>Equipements</t>
  </si>
  <si>
    <t>3- Chaîne de filtration première phase</t>
  </si>
  <si>
    <t xml:space="preserve">Pré filtre micronique </t>
  </si>
  <si>
    <t>Filtre submicronique</t>
  </si>
  <si>
    <t xml:space="preserve">Filtre à charbon actif </t>
  </si>
  <si>
    <t>4- Sécheur d'air comprimé</t>
  </si>
  <si>
    <t>Sécheur frigorifique</t>
  </si>
  <si>
    <t xml:space="preserve">Sécheur à adsorption </t>
  </si>
  <si>
    <t>5- Chaîne de filtration seconde phase</t>
  </si>
  <si>
    <t>6- Contrôle perte de charge</t>
  </si>
  <si>
    <t>Capteur Delta P</t>
  </si>
  <si>
    <t>7- Purgeurs à détection capacitive</t>
  </si>
  <si>
    <t>Purgeurs à détection capacitive</t>
  </si>
  <si>
    <t>Beko</t>
  </si>
  <si>
    <t>Beko 21</t>
  </si>
  <si>
    <t>Beko 12</t>
  </si>
  <si>
    <t>Beko 13</t>
  </si>
  <si>
    <t>Beko 14</t>
  </si>
  <si>
    <t>8- Séparateur de condensats</t>
  </si>
  <si>
    <t>Séparateur condensats</t>
  </si>
  <si>
    <t>Chauffage hors gel</t>
  </si>
  <si>
    <t>Bac de rétention</t>
  </si>
  <si>
    <t>9- Contrôle couplage &amp; régulation de la production</t>
  </si>
  <si>
    <t>Air Leader / SAM4.0</t>
  </si>
  <si>
    <t>AF Connect LAN</t>
  </si>
  <si>
    <t>AF Connect GSM</t>
  </si>
  <si>
    <t>10- Installation électrique de la centrale</t>
  </si>
  <si>
    <t>Arrivée de puissance électrique</t>
  </si>
  <si>
    <t>Armoires de protection puissance</t>
  </si>
  <si>
    <t>Raccordement électrique HN</t>
  </si>
  <si>
    <t>11- Raccordement pneumatique de centrale</t>
  </si>
  <si>
    <t>Tuyauterie centrale</t>
  </si>
  <si>
    <t>Bypass réservoir</t>
  </si>
  <si>
    <t>Bypass traitement</t>
  </si>
  <si>
    <t>Tuyauterie purges</t>
  </si>
  <si>
    <t>Alimentation et raccordement régulation</t>
  </si>
  <si>
    <t>Départ réseau général usine HT</t>
  </si>
  <si>
    <t>12- Gainage &amp; ventilation</t>
  </si>
  <si>
    <t>Évacuation compresseur</t>
  </si>
  <si>
    <t>Registre de récupération</t>
  </si>
  <si>
    <t>Grille d'insufflation</t>
  </si>
  <si>
    <t>13- Installation du réseau de distribution</t>
  </si>
  <si>
    <t>Réseau principal</t>
  </si>
  <si>
    <t>Réseau secondaire</t>
  </si>
  <si>
    <t xml:space="preserve">Ensemble FRL </t>
  </si>
  <si>
    <t>14- Travaux Divers</t>
  </si>
  <si>
    <t>Débitmètre sationnaire avec enregistreur de ddonnées pour 1 million de valeurs</t>
  </si>
  <si>
    <t>Autre</t>
  </si>
  <si>
    <t>15- Location de centrale</t>
  </si>
  <si>
    <t xml:space="preserve"> Location mois compresseur</t>
  </si>
  <si>
    <t>Location filtre</t>
  </si>
  <si>
    <t>Loc. accessoires de raccordement</t>
  </si>
  <si>
    <t>Transport</t>
  </si>
  <si>
    <t>Location chariot élévateur</t>
  </si>
  <si>
    <t>Location grue</t>
  </si>
  <si>
    <t>Instal. matériels de loc. HN</t>
  </si>
  <si>
    <t>Déplacement A/R (KMVA)</t>
  </si>
  <si>
    <t>16-Manutention, déchargement &amp; transport</t>
  </si>
  <si>
    <t>Transport des matériels chez le client</t>
  </si>
  <si>
    <t>Loc. chariot élévateur</t>
  </si>
  <si>
    <t>Déchargement</t>
  </si>
  <si>
    <t>17- Mise en service de l'installation (Màj 01/2022)</t>
  </si>
  <si>
    <t>MeS de l'installation (HN)</t>
  </si>
  <si>
    <t>Frais de repas (FR)</t>
  </si>
  <si>
    <t>18- Reprises de matériels</t>
  </si>
  <si>
    <t>Reprise (Joindre fiche)</t>
  </si>
  <si>
    <t>Total VENTE HT :</t>
  </si>
  <si>
    <t>Montant VENTE HT :</t>
  </si>
  <si>
    <t>Total ACHAT HT :</t>
  </si>
  <si>
    <t>Montant vente idéal HT :</t>
  </si>
  <si>
    <t>Montant vente mini HT :</t>
  </si>
  <si>
    <t>FOR CIAL03 révision 02</t>
  </si>
  <si>
    <t>Dossier Technico-Commercial S2
Eau Glacée</t>
  </si>
  <si>
    <t xml:space="preserve"> Informations préliminaires
pour projet centrale d'eau glacée</t>
  </si>
  <si>
    <t xml:space="preserve">Pression  d'eau </t>
  </si>
  <si>
    <t>Bar</t>
  </si>
  <si>
    <t>Circuit d'eau ouvert</t>
  </si>
  <si>
    <t>O /N</t>
  </si>
  <si>
    <t>Qualité de l'eau</t>
  </si>
  <si>
    <t>Circuit d'eau fermé</t>
  </si>
  <si>
    <t>Débit du circuit maxi</t>
  </si>
  <si>
    <t>Pompe integrée</t>
  </si>
  <si>
    <t>Régime d'eau de sortie</t>
  </si>
  <si>
    <t>°C</t>
  </si>
  <si>
    <t xml:space="preserve">Pression disponible necessaire  </t>
  </si>
  <si>
    <t>mCE</t>
  </si>
  <si>
    <t>Régime d'eau de retour</t>
  </si>
  <si>
    <t xml:space="preserve">Voulez vous sécuriser la Pompe </t>
  </si>
  <si>
    <t>Installation exterieur</t>
  </si>
  <si>
    <t>Voulez vous sécuriser le groupe</t>
  </si>
  <si>
    <t>Température ambiance mini</t>
  </si>
  <si>
    <t>Heures d'utilisation</t>
  </si>
  <si>
    <t>Heures / ans</t>
  </si>
  <si>
    <t>Température ambiance  maxi</t>
  </si>
  <si>
    <t>Puissance du groupe (si déjà ext)</t>
  </si>
  <si>
    <t>KW</t>
  </si>
  <si>
    <t>Bache ouverte</t>
  </si>
  <si>
    <t>Récupération de calorie</t>
  </si>
  <si>
    <t xml:space="preserve">O /N </t>
  </si>
  <si>
    <t xml:space="preserve">Utilisation de la production de froid </t>
  </si>
  <si>
    <t>Usage de la récup. de calorie</t>
  </si>
  <si>
    <t>Capacité de la bache</t>
  </si>
  <si>
    <t>m3</t>
  </si>
  <si>
    <t>Dépollution ancien groupe</t>
  </si>
  <si>
    <t>Commentaires :</t>
  </si>
  <si>
    <t>Num.</t>
  </si>
  <si>
    <t>Staut</t>
  </si>
  <si>
    <t>Liv</t>
  </si>
  <si>
    <t>Eau Glacée : Matériels</t>
  </si>
  <si>
    <t>Groupe EG</t>
  </si>
  <si>
    <t>Marque :</t>
  </si>
  <si>
    <t>Modèle :</t>
  </si>
  <si>
    <t>Puissance :</t>
  </si>
  <si>
    <t>kW</t>
  </si>
  <si>
    <t>P :</t>
  </si>
  <si>
    <t>T</t>
  </si>
  <si>
    <t>Gaz :</t>
  </si>
  <si>
    <t>Rdt :</t>
  </si>
  <si>
    <t>Echangeur</t>
  </si>
  <si>
    <t>Régime T° :</t>
  </si>
  <si>
    <t>Techno :</t>
  </si>
  <si>
    <t>Pompes</t>
  </si>
  <si>
    <t>Débit :</t>
  </si>
  <si>
    <t>HMT :</t>
  </si>
  <si>
    <t>m</t>
  </si>
  <si>
    <t>Cuve</t>
  </si>
  <si>
    <t>Matière :</t>
  </si>
  <si>
    <t>Isolation :</t>
  </si>
  <si>
    <t>Volume :</t>
  </si>
  <si>
    <t>L</t>
  </si>
  <si>
    <t>Isolation Tuy. :</t>
  </si>
  <si>
    <t>Tracage :</t>
  </si>
  <si>
    <t>Gainage :</t>
  </si>
  <si>
    <t>Récup. Calo :</t>
  </si>
  <si>
    <t>Retour de Loc :</t>
  </si>
  <si>
    <t>Reprise Mat. :</t>
  </si>
  <si>
    <t>Dossier Technico-Commercial S2
Air Comprimé</t>
  </si>
  <si>
    <t>Informations Préliminaires Air Comprimé</t>
  </si>
  <si>
    <t>Pression d'air circuit 1</t>
  </si>
  <si>
    <t>Débit maximal</t>
  </si>
  <si>
    <t>Qualité d'air circuit 1</t>
  </si>
  <si>
    <t>Nombre d'heure / an</t>
  </si>
  <si>
    <t>h</t>
  </si>
  <si>
    <t>Pression d'air circuit 2</t>
  </si>
  <si>
    <t>Qualité d'air circuit 2</t>
  </si>
  <si>
    <t>Puissance installée</t>
  </si>
  <si>
    <t>Air Comprimé : Matériels</t>
  </si>
  <si>
    <t>Compresseurs</t>
  </si>
  <si>
    <t>Ajout</t>
  </si>
  <si>
    <t>Kaeser</t>
  </si>
  <si>
    <t>CSD111</t>
  </si>
  <si>
    <t>Puiss. :</t>
  </si>
  <si>
    <t>Poids :</t>
  </si>
  <si>
    <t>Pression :</t>
  </si>
  <si>
    <t>b</t>
  </si>
  <si>
    <t>N° Série :</t>
  </si>
  <si>
    <t>Existant</t>
  </si>
  <si>
    <t>Supprimé</t>
  </si>
  <si>
    <t>Position :</t>
  </si>
  <si>
    <t>Air :</t>
  </si>
  <si>
    <t>Année :</t>
  </si>
  <si>
    <t>Sécheur</t>
  </si>
  <si>
    <t>Filtration</t>
  </si>
  <si>
    <t>Quantité :</t>
  </si>
  <si>
    <t>Indiquer la quantité pour la mise en service</t>
  </si>
  <si>
    <t>Purges</t>
  </si>
  <si>
    <t>Collecteur</t>
  </si>
  <si>
    <t>Purgeur</t>
  </si>
  <si>
    <t>Séparateur</t>
  </si>
  <si>
    <t>Bac de rétention :</t>
  </si>
  <si>
    <t>Réseau</t>
  </si>
  <si>
    <t>Réseau 1</t>
  </si>
  <si>
    <t>Métrologie :</t>
  </si>
  <si>
    <t>Régulation :</t>
  </si>
  <si>
    <t>Longueur Tot. :</t>
  </si>
  <si>
    <t>Longueur modifiée :</t>
  </si>
  <si>
    <t>Piquage en attente :</t>
  </si>
  <si>
    <t>Réseau 2</t>
  </si>
  <si>
    <t>Gaine de refoulement air :</t>
  </si>
  <si>
    <t>Retour de Location :</t>
  </si>
  <si>
    <t>Récupération Calorie :</t>
  </si>
  <si>
    <t>Reprise de matériel :</t>
  </si>
  <si>
    <t>Destruction</t>
  </si>
  <si>
    <t>Dossier Technico-Commercial S2
SSE</t>
  </si>
  <si>
    <t>Critère SSE</t>
  </si>
  <si>
    <t>Conditions d'Acces au site :</t>
  </si>
  <si>
    <t>Accueil Sécurité :</t>
  </si>
  <si>
    <t>PDP :</t>
  </si>
  <si>
    <t>Risques chim. :</t>
  </si>
  <si>
    <t>Moyens Materiel :</t>
  </si>
  <si>
    <t>Travail en hauteur :</t>
  </si>
  <si>
    <t>m (maxi)</t>
  </si>
  <si>
    <t>Nacelle</t>
  </si>
  <si>
    <t>Type :</t>
  </si>
  <si>
    <t>A charge :</t>
  </si>
  <si>
    <t>Cmd :</t>
  </si>
  <si>
    <t>Fourn. :</t>
  </si>
  <si>
    <t>Levage</t>
  </si>
  <si>
    <t>Manut.</t>
  </si>
  <si>
    <t>Gazelle</t>
  </si>
  <si>
    <t>Taille :</t>
  </si>
  <si>
    <t>Stockage</t>
  </si>
  <si>
    <t>EPI Particuliers à préciser (Masques - Combinaisons ---- ) :</t>
  </si>
  <si>
    <t>Dossier Technico-Commercial S2
PV de réception</t>
  </si>
  <si>
    <t>Nature des travaux :</t>
  </si>
  <si>
    <t>Air comprimé :</t>
  </si>
  <si>
    <t>Eau glacée :</t>
  </si>
  <si>
    <t>Vide :</t>
  </si>
  <si>
    <t>Azote :</t>
  </si>
  <si>
    <t>Montage d'une centrale :</t>
  </si>
  <si>
    <t>Création d'un réseau :</t>
  </si>
  <si>
    <t>Déplacement d'une centrale :</t>
  </si>
  <si>
    <t>Prolongation d'un réseau :</t>
  </si>
  <si>
    <t xml:space="preserve">Gainage : </t>
  </si>
  <si>
    <t>Modification d'un réseau :</t>
  </si>
  <si>
    <t>Récupération d'energie :</t>
  </si>
  <si>
    <t>Télésurveillance (AF Connect) :</t>
  </si>
  <si>
    <t>Ligne conditionné au reprise de matériel, voir onglé Air Comprimé</t>
  </si>
  <si>
    <t>Procès Verbal Intermédiaire : Mise en service</t>
  </si>
  <si>
    <t>Date :</t>
  </si>
  <si>
    <t>Bon d'intervention :</t>
  </si>
  <si>
    <t>Type d'Installation :</t>
  </si>
  <si>
    <t xml:space="preserve">Remise de la documentatioin technique ( notices, certificats d'épreuve, tarage) : </t>
  </si>
  <si>
    <t>Personnes présentes :</t>
  </si>
  <si>
    <t>Airflux :</t>
  </si>
  <si>
    <t>Signature Airflux :</t>
  </si>
  <si>
    <t>Nom :</t>
  </si>
  <si>
    <t>Qualité :</t>
  </si>
  <si>
    <t>Procès Verbal de Réception</t>
  </si>
  <si>
    <t>Dossier Technico-Commercial S2
Retour d'expérience</t>
  </si>
  <si>
    <t>Retour d'expérience</t>
  </si>
  <si>
    <t>Sécurité</t>
  </si>
  <si>
    <t>Aléa Organisationnel :</t>
  </si>
  <si>
    <t>Aléa Humain :</t>
  </si>
  <si>
    <t>Aléa Technique :</t>
  </si>
  <si>
    <t>Situation dangeureuse à remonter :</t>
  </si>
  <si>
    <t>Bonne pratique à diffuser :</t>
  </si>
  <si>
    <t>Qualité</t>
  </si>
  <si>
    <t>Satisfaction client :</t>
  </si>
  <si>
    <t>Respect des procédures :</t>
  </si>
  <si>
    <t>Dossier Technico-Commercial S2
Demande de Transport</t>
  </si>
  <si>
    <t>Formulaire :</t>
  </si>
  <si>
    <t>FOR LOGI-01</t>
  </si>
  <si>
    <t>Résivion :</t>
  </si>
  <si>
    <t>INFORMATION AIRFLUX</t>
  </si>
  <si>
    <t>Agence :</t>
  </si>
  <si>
    <t>Démandé le :</t>
  </si>
  <si>
    <t>Par :</t>
  </si>
  <si>
    <t>INFORMATION ENLEVEMENT</t>
  </si>
  <si>
    <t>Date demandée :</t>
  </si>
  <si>
    <t>Heure :</t>
  </si>
  <si>
    <t>Contact :</t>
  </si>
  <si>
    <t>Tél :</t>
  </si>
  <si>
    <t>INFORMATION LIVRAISON</t>
  </si>
  <si>
    <t>Reims</t>
  </si>
  <si>
    <t>Adressage automatique si agence</t>
  </si>
  <si>
    <t>INFORMATION TRANSPORT</t>
  </si>
  <si>
    <t>Type d'envoie :</t>
  </si>
  <si>
    <t>Expresse avant 15h (livraison J+1) :</t>
  </si>
  <si>
    <t>Commentaires particuliers (horaires, moyen de levages particuliers, hayon, plateau, camion grue, …) :</t>
  </si>
  <si>
    <t>Type de matériel</t>
  </si>
  <si>
    <t>Désignation précise (type de marchandise, N° série…):</t>
  </si>
  <si>
    <t>Dimenssions</t>
  </si>
  <si>
    <t>Poids Tot.</t>
  </si>
  <si>
    <t>Valeur</t>
  </si>
  <si>
    <t>Transporteur :</t>
  </si>
  <si>
    <t>Référence du transport :</t>
  </si>
  <si>
    <t>Prix proposé :</t>
  </si>
  <si>
    <t xml:space="preserve">Bon pour accord : </t>
  </si>
  <si>
    <t>Condition d'accès (heures, etc …) :</t>
  </si>
  <si>
    <t xml:space="preserve">Matériel indispensable à son déchargement (chariot élévateur…) : </t>
  </si>
  <si>
    <t>Date</t>
  </si>
  <si>
    <t>INFORMATION CLIENT</t>
  </si>
  <si>
    <t>Acceptez-vous la livraison directe du ou des matériels cités ci-dessus ?</t>
  </si>
  <si>
    <t>Assurez-vous la réception et déchargement du ou des matériels cités ci-dessus ?</t>
  </si>
  <si>
    <t>Assurez-vous le stockage et manutention du ou des matériels cités ci-dessus ?</t>
  </si>
  <si>
    <t>Pour chaque livraison, vous vous engagez à nous fournir le bon de livraison ainsi qu'en cas de litige le bon de transport avec vos réserves.</t>
  </si>
  <si>
    <t>En acceptant la livraison directe du matériel, vous vous engagez à contrôler les matériels et lister les éventuelles réserves nécessaire avant déchargement. La responsabilité Airflux ne saurait-etre engagées en cas de domage sur le matériel survenu lors de ces opérations. Sans réserves de votre part, nous serons dans l’impossibilité d’effectuer un recours auprès du transporteur ou du fournisseur et l'impact sur votre matériel vous sera imputé.</t>
  </si>
  <si>
    <t xml:space="preserve">A </t>
  </si>
  <si>
    <t>N°</t>
  </si>
  <si>
    <t>A retourner à
Please retyun to</t>
  </si>
  <si>
    <t>Client utilisateur / Client :</t>
  </si>
  <si>
    <t>Machine</t>
  </si>
  <si>
    <t>Nom / Name :</t>
  </si>
  <si>
    <t>N° :</t>
  </si>
  <si>
    <t>Nom complète / Full address :</t>
  </si>
  <si>
    <t>Compresseur / Compressor</t>
  </si>
  <si>
    <t>Moteur / Motor</t>
  </si>
  <si>
    <t>Distributeur/Distributor</t>
  </si>
  <si>
    <t>Lieu d'utilisation / Working site :</t>
  </si>
  <si>
    <t>Date de mise en service /Starting date to working</t>
  </si>
  <si>
    <t>Livraison / Delivery</t>
  </si>
  <si>
    <t>Signature</t>
  </si>
  <si>
    <t>B</t>
  </si>
  <si>
    <t>A conserver par le DISTRIBUTEUR
To  be kept by DISTRIBUTOR</t>
  </si>
  <si>
    <t>C</t>
  </si>
  <si>
    <t>A conserver par l'utilisateur
To be kept by purchaser</t>
  </si>
  <si>
    <t xml:space="preserve">La machine que vous venez d'acquérir est construite pour le meilleur service.
Pour en profiter pleinement, respectez les prescriptions de la notice qui l'accompagne.
Le distributeur auquel vous vous êtes adressé pour cet achat est compétent.Consultez-le.
Pour vos copmmandes de piècesde rechange, rappelez toujours le numéro et le type de la machine.
Pour ne pas perdre le bénéfice de la garantie, retournez-nous le volet Ade cette carte, complété et signé, dès la mise en service de votre machine.
Our machines are built to last.
Read carefully the maintenance manuel.Stick to the prescriptions. Do not hesitate to contact our distributor.
When ordering spare parts specity number and type of your machine.
Please return th A sheet of guarantee card duly signed and filled to benefit fully guarantee at the starting date of working. </t>
  </si>
  <si>
    <t>Dossier Technico-Commercial S2
PV de mise en service</t>
  </si>
  <si>
    <t>Code client Divalto :</t>
  </si>
  <si>
    <r>
      <rPr>
        <b/>
        <sz val="14"/>
        <color theme="0"/>
        <rFont val="Colibri"/>
      </rPr>
      <t>ENREGISTREMENTS ET TESTS DE FONCTIONNEMENT</t>
    </r>
    <r>
      <rPr>
        <sz val="14"/>
        <color theme="0"/>
        <rFont val="Colibri"/>
      </rPr>
      <t xml:space="preserve">
</t>
    </r>
    <r>
      <rPr>
        <sz val="8"/>
        <color theme="0"/>
        <rFont val="Colibri"/>
      </rPr>
      <t xml:space="preserve">MERCI DE LISTER L'INTEGRALITE LE MATERIEL INSTALLE (compresseur, cuve, sécheur, filtres réseau….)       </t>
    </r>
    <r>
      <rPr>
        <sz val="14"/>
        <color theme="0"/>
        <rFont val="Colibri"/>
      </rPr>
      <t xml:space="preserve">                                                                                                                                   </t>
    </r>
  </si>
  <si>
    <t>ATTENTION : DES FORMULAIRES "CONSTRUCTEURS" DE MISE EN SERVICE SONT EGALEMENT OBLIGATOIREMENT A REMPLIR(COMPAIR, KAESER, BEKO, EKOMAK, MATTEI, PARKER)</t>
  </si>
  <si>
    <t>Check List Avant
Mise en service</t>
  </si>
  <si>
    <t>Contrôle serrage des câbles</t>
  </si>
  <si>
    <t>Amorcage éléments de compression</t>
  </si>
  <si>
    <t>Contrôle des protections thermiques</t>
  </si>
  <si>
    <t>Démontage cales de transport</t>
  </si>
  <si>
    <t>Vérification tension réseau</t>
  </si>
  <si>
    <t>Contrôle niveau d'huile</t>
  </si>
  <si>
    <t>Vérification tension machine</t>
  </si>
  <si>
    <t>Contrôle tension des courroies</t>
  </si>
  <si>
    <t>Compresseur</t>
  </si>
  <si>
    <t>Huile :</t>
  </si>
  <si>
    <t>Technologie :</t>
  </si>
  <si>
    <t>Numéro de série :</t>
  </si>
  <si>
    <t>Merci de prendre à minima des photos de :</t>
  </si>
  <si>
    <t>Contrôle du sens de rotation</t>
  </si>
  <si>
    <t>N° de Bloc VIS</t>
  </si>
  <si>
    <t>Plaque du compresseur</t>
  </si>
  <si>
    <t>N° de série Moteur</t>
  </si>
  <si>
    <t>N° de série Variateur</t>
  </si>
  <si>
    <t>Plaque du bloc vis</t>
  </si>
  <si>
    <t>Contrôle intensité</t>
  </si>
  <si>
    <t>Contrôle Thermique Moteur</t>
  </si>
  <si>
    <t>Plaque signalétique du moteur</t>
  </si>
  <si>
    <t>Contrôle des seuils de pression</t>
  </si>
  <si>
    <t>Contrôle réglage pression</t>
  </si>
  <si>
    <t>Plaque signalétique du variateur</t>
  </si>
  <si>
    <t>Ampérage</t>
  </si>
  <si>
    <t>Tension</t>
  </si>
  <si>
    <t>A vide</t>
  </si>
  <si>
    <t>En charge</t>
  </si>
  <si>
    <t>Phase 1 :</t>
  </si>
  <si>
    <t>Phase 2 :</t>
  </si>
  <si>
    <t>Phase 3 :</t>
  </si>
  <si>
    <t>Réglage du thermique:</t>
  </si>
  <si>
    <t>Filtration, Purgeurs et Traitement de condensats</t>
  </si>
  <si>
    <t>Merci de prendre à minima des photos des plaques</t>
  </si>
  <si>
    <t>Filtre</t>
  </si>
  <si>
    <t>Référence :</t>
  </si>
  <si>
    <t>Condensats</t>
  </si>
  <si>
    <t>Ou dimensions</t>
  </si>
  <si>
    <t>Modifs</t>
  </si>
  <si>
    <t>Ajout de deux filtration</t>
  </si>
  <si>
    <t>Modification de la gestion mise en service de la partie purge filtration</t>
  </si>
  <si>
    <t>Correction du décallage sur compresseur et sécheur</t>
  </si>
  <si>
    <t>Verrouillage des cellules</t>
  </si>
  <si>
    <t>Déplacement de la partie Nature des travaux dans le PV de réception</t>
  </si>
  <si>
    <t>Ajout dans la nature des travaux des élément AC / EG / Vide / Azote</t>
  </si>
  <si>
    <t>La Croisette
54330 Vézelise</t>
  </si>
  <si>
    <t>Verouillage des cellules sur la page SSE corrigée</t>
  </si>
  <si>
    <t>Ajout du type de sécheur "Hybride"</t>
  </si>
  <si>
    <t>Changement de la gestion des sécheurs pour avoir des infos pertinente en fonction du type de sécheur</t>
  </si>
  <si>
    <t>Ajout du numéro de devis commercial dans l'entête</t>
  </si>
  <si>
    <t>Ajout de la recup calorie "eau" pour point d'attention</t>
  </si>
  <si>
    <t>Changement des titres de pages et paramètres d'impression sur le PV de mise en service</t>
  </si>
  <si>
    <t>Ajout des formats spé sur les cellules</t>
  </si>
  <si>
    <t>Modification de l'impression, en cas d'erreur sur le paramètrage, continue avec la suite. C'est la mise en page qui bug, il faut la faire à la main.</t>
  </si>
  <si>
    <t>Protection de la feuille offre commeciale</t>
  </si>
  <si>
    <t>Ajout des filtres cycloniques, anti poussière, ligne dans l'offre commerciale</t>
  </si>
  <si>
    <t>Intégration de la demande de transport et livraison direct client</t>
  </si>
  <si>
    <t>Ajout au PV de réception de la reprise de matériel location ou rachat</t>
  </si>
  <si>
    <t>Bug macro cuve et filtration</t>
  </si>
  <si>
    <t>Intégrer la garantie Kaeser, PTG + type de vis</t>
  </si>
  <si>
    <t>Automatisation de la garantie Kaeser à faire</t>
  </si>
  <si>
    <t>Ajout de la liasse documentaire dans l'onglet Projet</t>
  </si>
  <si>
    <t>Modification de la condition pour que la filtration et ou purge apparaissent dans le PV de mise en service : quantité dans l'onglet air comprimé.</t>
  </si>
  <si>
    <t>Test</t>
  </si>
  <si>
    <t>Texte</t>
  </si>
  <si>
    <t>Eau Glacée</t>
  </si>
  <si>
    <t>Nb Compresseur :</t>
  </si>
  <si>
    <t>Air Comprimée</t>
  </si>
  <si>
    <t>Nb Sécheur :</t>
  </si>
  <si>
    <t>Nb Cuve :</t>
  </si>
  <si>
    <t>Filtration :</t>
  </si>
  <si>
    <t>Nb de Filtre :</t>
  </si>
  <si>
    <t>Nb de purge :</t>
  </si>
  <si>
    <t>Status</t>
  </si>
  <si>
    <t>Oui / Non</t>
  </si>
  <si>
    <t>Travaux</t>
  </si>
  <si>
    <t>Responsabilité</t>
  </si>
  <si>
    <t>Reprise</t>
  </si>
  <si>
    <t>Matière Cuve</t>
  </si>
  <si>
    <t>Position Cuve</t>
  </si>
  <si>
    <t>Techno Sécheur</t>
  </si>
  <si>
    <t>Niveau filtration</t>
  </si>
  <si>
    <t>Régulation</t>
  </si>
  <si>
    <t>Métrologie</t>
  </si>
  <si>
    <t>Matière Réseau</t>
  </si>
  <si>
    <t>Type Installation</t>
  </si>
  <si>
    <t>Techno Comp</t>
  </si>
  <si>
    <t>Huile</t>
  </si>
  <si>
    <t>Suite à</t>
  </si>
  <si>
    <t>Offre à envoyer</t>
  </si>
  <si>
    <t>Type de murs</t>
  </si>
  <si>
    <t>RécupCalo</t>
  </si>
  <si>
    <t>Agence</t>
  </si>
  <si>
    <t>Adresses</t>
  </si>
  <si>
    <t>Type PTG</t>
  </si>
  <si>
    <t>Condition de paiement</t>
  </si>
  <si>
    <t>Pas Besoin</t>
  </si>
  <si>
    <t>Airflux</t>
  </si>
  <si>
    <t>Pas nécessaire</t>
  </si>
  <si>
    <t>Inox</t>
  </si>
  <si>
    <t>H</t>
  </si>
  <si>
    <t>Frigo</t>
  </si>
  <si>
    <t>Micro</t>
  </si>
  <si>
    <t>SAM 4.0</t>
  </si>
  <si>
    <t>Temp.</t>
  </si>
  <si>
    <t>Inox Italien</t>
  </si>
  <si>
    <t>Neuf (S2)</t>
  </si>
  <si>
    <t>Vis</t>
  </si>
  <si>
    <t>Synth.</t>
  </si>
  <si>
    <t>Demande</t>
  </si>
  <si>
    <t>Fax</t>
  </si>
  <si>
    <t>Brique</t>
  </si>
  <si>
    <t>Air via Gainage</t>
  </si>
  <si>
    <t>Lille</t>
  </si>
  <si>
    <t>58 Rue des Marquillies
59000 LILLE</t>
  </si>
  <si>
    <t>+25</t>
  </si>
  <si>
    <t>Galva</t>
  </si>
  <si>
    <t>Adsorbtion</t>
  </si>
  <si>
    <t>Submicro</t>
  </si>
  <si>
    <t>AirLeader</t>
  </si>
  <si>
    <t>Hygro.</t>
  </si>
  <si>
    <t>Inox Soudé</t>
  </si>
  <si>
    <t>Occasion (S2)</t>
  </si>
  <si>
    <t>Piston</t>
  </si>
  <si>
    <t>Minérale</t>
  </si>
  <si>
    <t>Appel d'offre</t>
  </si>
  <si>
    <t>Courrier</t>
  </si>
  <si>
    <t>Eau /!\ Qualité</t>
  </si>
  <si>
    <t>ZI Pompelle
31 Rue du Val Clair
51100 Reims</t>
  </si>
  <si>
    <t>+55</t>
  </si>
  <si>
    <t>30j fin de mois le 10</t>
  </si>
  <si>
    <t>NA</t>
  </si>
  <si>
    <t>A modifier</t>
  </si>
  <si>
    <t>Reprise AF</t>
  </si>
  <si>
    <t>Peint</t>
  </si>
  <si>
    <t>Hybride</t>
  </si>
  <si>
    <t>Charbon</t>
  </si>
  <si>
    <t>AF Connect 4G</t>
  </si>
  <si>
    <t>Debit.</t>
  </si>
  <si>
    <t>Alu</t>
  </si>
  <si>
    <t>Location (S35)</t>
  </si>
  <si>
    <t>Palette</t>
  </si>
  <si>
    <t>Alim.</t>
  </si>
  <si>
    <t>Visite du</t>
  </si>
  <si>
    <t>Fax + Courrier</t>
  </si>
  <si>
    <t>Bardage</t>
  </si>
  <si>
    <t>Autre ?</t>
  </si>
  <si>
    <t>Benfeld</t>
  </si>
  <si>
    <t>2A Rue d'Italie
67230 BENFELD</t>
  </si>
  <si>
    <t>45j fin de mois</t>
  </si>
  <si>
    <t>Remplacé</t>
  </si>
  <si>
    <t>A réaliser</t>
  </si>
  <si>
    <t>Cyclonique</t>
  </si>
  <si>
    <t>AF Connect Lan</t>
  </si>
  <si>
    <t>Press.</t>
  </si>
  <si>
    <t>LLD (S25)</t>
  </si>
  <si>
    <t>Semi-Synth.</t>
  </si>
  <si>
    <t>Remis au TC</t>
  </si>
  <si>
    <t>St Amé</t>
  </si>
  <si>
    <t>76 Rte de Celles
88120 Saint Amé</t>
  </si>
  <si>
    <t>Anti-Pouss.</t>
  </si>
  <si>
    <t>BLS (Compair)</t>
  </si>
  <si>
    <t>Press. Diff.</t>
  </si>
  <si>
    <t>LCA (S5)</t>
  </si>
  <si>
    <t>Mail</t>
  </si>
  <si>
    <t>Vezelise</t>
  </si>
  <si>
    <t>La Croisette
Rue de la gare
54330 Vézelise</t>
  </si>
  <si>
    <t>Contrôle du sens de rotation :</t>
  </si>
  <si>
    <t>Type Machine :</t>
  </si>
  <si>
    <t>Type Bloc Vis :</t>
  </si>
  <si>
    <t>N° de Bloc VIS :</t>
  </si>
  <si>
    <t>Type Moteur :</t>
  </si>
  <si>
    <t>N° de série Moteur :</t>
  </si>
  <si>
    <t>Type Variateur :</t>
  </si>
  <si>
    <t>N° de série Variateur :</t>
  </si>
  <si>
    <t>Type PTG :</t>
  </si>
  <si>
    <t>Puissance PTG :</t>
  </si>
  <si>
    <t>Intensité</t>
  </si>
  <si>
    <t>Qté Gaz :</t>
  </si>
  <si>
    <t>Qté Dessiccant :</t>
  </si>
  <si>
    <t>Plaque signalétique du sécheur</t>
  </si>
  <si>
    <t>Vérification groupe ventilateur</t>
  </si>
  <si>
    <t>Vérification point de rosée</t>
  </si>
  <si>
    <t>Vérification purgeurs</t>
  </si>
  <si>
    <t>Vérifcation sene et présence des filtres</t>
  </si>
  <si>
    <t>Intensité :</t>
  </si>
  <si>
    <t xml:space="preserve">Année / Année de contrôle : </t>
  </si>
  <si>
    <t>Plaque signalétique de la cuve</t>
  </si>
  <si>
    <t>Pression de service :</t>
  </si>
  <si>
    <t>MeS de l'installation (HT)</t>
  </si>
  <si>
    <t>Vrai / Faux</t>
  </si>
  <si>
    <t>Hauteur</t>
  </si>
  <si>
    <t>PIR ou au sol (H ≤4m)</t>
  </si>
  <si>
    <t>AG18-ESC430</t>
  </si>
  <si>
    <t>DN</t>
  </si>
  <si>
    <t>Diam ext</t>
  </si>
  <si>
    <t>Epaisseur</t>
  </si>
  <si>
    <t>D int</t>
  </si>
  <si>
    <t>Volume L/m</t>
  </si>
  <si>
    <t>Poids (kg/m)</t>
  </si>
  <si>
    <t>Nacelle (4,5m&lt;H&lt;8m)</t>
  </si>
  <si>
    <t>AG18-ELE100</t>
  </si>
  <si>
    <t>DN10 - Serti 15</t>
  </si>
  <si>
    <t>Nacelle (H≥ 8m)</t>
  </si>
  <si>
    <t>AG18-ELE15E</t>
  </si>
  <si>
    <t>DN15 - Serti 18</t>
  </si>
  <si>
    <t>DN20 - Serti 22</t>
  </si>
  <si>
    <t>DN25 - Serti 28</t>
  </si>
  <si>
    <t>DN32 - Serti 35</t>
  </si>
  <si>
    <t>DN40 - Serti 42</t>
  </si>
  <si>
    <t>DN50 - Serti 54</t>
  </si>
  <si>
    <t>DN65 - Serti 76</t>
  </si>
  <si>
    <t>DN80 - Serti 88</t>
  </si>
  <si>
    <t>DN100 - Serti 108</t>
  </si>
  <si>
    <t>DN200 - Soudé</t>
  </si>
  <si>
    <t>DN150 - Soudé</t>
  </si>
  <si>
    <t>DN125 - Soudé</t>
  </si>
  <si>
    <t>Erreur</t>
  </si>
  <si>
    <t>DN100 - Soudé</t>
  </si>
  <si>
    <t>R15800</t>
  </si>
  <si>
    <t>DN80 - Soudé</t>
  </si>
  <si>
    <t>R15760</t>
  </si>
  <si>
    <t>DN65 - Soudé</t>
  </si>
  <si>
    <t>R15540</t>
  </si>
  <si>
    <t>DN50 - Soudé</t>
  </si>
  <si>
    <t>R15420</t>
  </si>
  <si>
    <t>DN40 - Soudé</t>
  </si>
  <si>
    <t>R15350</t>
  </si>
  <si>
    <t>DN32 - Soudé</t>
  </si>
  <si>
    <t>R15280</t>
  </si>
  <si>
    <t>DN25 - Soudé</t>
  </si>
  <si>
    <t>R15220</t>
  </si>
  <si>
    <t>DN20 - Soudé</t>
  </si>
  <si>
    <t>R15180</t>
  </si>
  <si>
    <t>DN15 - Soudé</t>
  </si>
  <si>
    <t>Erreur 1</t>
  </si>
  <si>
    <t>R15150</t>
  </si>
  <si>
    <t>DN10 - Soudé</t>
  </si>
  <si>
    <t>Erreur 53</t>
  </si>
  <si>
    <t>Erreur 52</t>
  </si>
  <si>
    <t>Erreur 45</t>
  </si>
  <si>
    <t>Erreur 51</t>
  </si>
  <si>
    <t>Erreur 50</t>
  </si>
  <si>
    <t>Erreur 44</t>
  </si>
  <si>
    <t>Erreur 43</t>
  </si>
  <si>
    <t>Erreur 49</t>
  </si>
  <si>
    <t>Erreur 48</t>
  </si>
  <si>
    <t>Erreur 42</t>
  </si>
  <si>
    <t>Erreur 41</t>
  </si>
  <si>
    <t>Erreur 40</t>
  </si>
  <si>
    <t>Erreur 47</t>
  </si>
  <si>
    <t>Erreur 39</t>
  </si>
  <si>
    <t>Erreur 38</t>
  </si>
  <si>
    <t>Erreur 37</t>
  </si>
  <si>
    <t>Erreur 36</t>
  </si>
  <si>
    <t>Erreur 46</t>
  </si>
  <si>
    <t>Erreur 35</t>
  </si>
  <si>
    <t>Erreur 34</t>
  </si>
  <si>
    <t>Erreur 33</t>
  </si>
  <si>
    <t>Erreur 32</t>
  </si>
  <si>
    <t>Erreur 31</t>
  </si>
  <si>
    <t>Erreur 30</t>
  </si>
  <si>
    <t>Erreur 29</t>
  </si>
  <si>
    <t>Erreur 28</t>
  </si>
  <si>
    <t>Erreur 27</t>
  </si>
  <si>
    <t>Erreur 26</t>
  </si>
  <si>
    <t>Erreur 25</t>
  </si>
  <si>
    <t>Erreur 24</t>
  </si>
  <si>
    <t>Erreur 23</t>
  </si>
  <si>
    <t>Erreur 22</t>
  </si>
  <si>
    <t>Erreur 21</t>
  </si>
  <si>
    <t>Erreur 20</t>
  </si>
  <si>
    <t>Erreur 19</t>
  </si>
  <si>
    <t>Erreur 18</t>
  </si>
  <si>
    <t>Erreur 17</t>
  </si>
  <si>
    <t>Erreur 16</t>
  </si>
  <si>
    <t>Erreur 15</t>
  </si>
  <si>
    <t>Erreur 14</t>
  </si>
  <si>
    <t>Erreur 13</t>
  </si>
  <si>
    <t>Erreur 12</t>
  </si>
  <si>
    <t>Erreur 11</t>
  </si>
  <si>
    <t>Erreur 10</t>
  </si>
  <si>
    <t>Erreur 9</t>
  </si>
  <si>
    <t>Erreur 8</t>
  </si>
  <si>
    <t>Erreur 7</t>
  </si>
  <si>
    <t>Erreur 6</t>
  </si>
  <si>
    <t>Erreur 5</t>
  </si>
  <si>
    <t>Erreur 4</t>
  </si>
  <si>
    <t>Erreur 3</t>
  </si>
  <si>
    <t>Erreur 2</t>
  </si>
  <si>
    <t>Réseau Principal</t>
  </si>
  <si>
    <t>Descente</t>
  </si>
  <si>
    <t>Inox soudé</t>
  </si>
  <si>
    <t>Inox Serti</t>
  </si>
  <si>
    <t>Calculateur - Budget Réseau</t>
  </si>
  <si>
    <t>Calcul de la taille de tuyauterie</t>
  </si>
  <si>
    <t>Débit (m3/h)</t>
  </si>
  <si>
    <t>Longueur de la tuyauterie totale (m)</t>
  </si>
  <si>
    <t>Perte de pression sur la ligne admissible (b)</t>
  </si>
  <si>
    <t>Pression maxi absolue (b)</t>
  </si>
  <si>
    <t>Diamétre intérieur de la conduite (mm)</t>
  </si>
  <si>
    <t>Taille de tuyauterie sertie conseillée</t>
  </si>
  <si>
    <t>Réserve dispo (m3/h) - A faire</t>
  </si>
  <si>
    <t>Quoi</t>
  </si>
  <si>
    <t>Index Ligne Equiv</t>
  </si>
  <si>
    <t>Référence</t>
  </si>
  <si>
    <t>Quantité</t>
  </si>
  <si>
    <t>PUHT</t>
  </si>
  <si>
    <t>Base de calcul</t>
  </si>
  <si>
    <t>Commentaire Calcul</t>
  </si>
  <si>
    <t>Linéaire avec fixation</t>
  </si>
  <si>
    <t>Longueur</t>
  </si>
  <si>
    <t>Tube</t>
  </si>
  <si>
    <t>10% de sécurité arrondi à la barre pleine + 1 barres</t>
  </si>
  <si>
    <t>Manchon Court</t>
  </si>
  <si>
    <t>Nombre de barre -1-0,8*Nbr Té + Coude + Vanne  + Ajout</t>
  </si>
  <si>
    <t>Diamètre</t>
  </si>
  <si>
    <t>Collier ISO</t>
  </si>
  <si>
    <t>Distance en m entre colliers</t>
  </si>
  <si>
    <t>Console 500</t>
  </si>
  <si>
    <t>Nombre de collier</t>
  </si>
  <si>
    <t>Bouchon Console</t>
  </si>
  <si>
    <t>Ecrou console</t>
  </si>
  <si>
    <t>Cheville</t>
  </si>
  <si>
    <t>2x Nb collier</t>
  </si>
  <si>
    <t>Tirefond</t>
  </si>
  <si>
    <t>Temps</t>
  </si>
  <si>
    <t>Voir HNT</t>
  </si>
  <si>
    <t>Temps de pose (h), arrondi inclus</t>
  </si>
  <si>
    <t>Forme Réseau</t>
  </si>
  <si>
    <t>Coude FF</t>
  </si>
  <si>
    <t>Coude MF</t>
  </si>
  <si>
    <t>Coude 45</t>
  </si>
  <si>
    <t>Té</t>
  </si>
  <si>
    <t>Té Egal</t>
  </si>
  <si>
    <t>Vanne Papillon</t>
  </si>
  <si>
    <t>Vanne Pap</t>
  </si>
  <si>
    <t>vanne</t>
  </si>
  <si>
    <t>Bride</t>
  </si>
  <si>
    <t>2 brides par vanne</t>
  </si>
  <si>
    <t>THM16x45</t>
  </si>
  <si>
    <t>16 par vannes DN80-125</t>
  </si>
  <si>
    <t>Vanne BS</t>
  </si>
  <si>
    <t>Vanne FF</t>
  </si>
  <si>
    <t>Manchon Mixte M</t>
  </si>
  <si>
    <t>2 par vanne</t>
  </si>
  <si>
    <t>Descentes 1</t>
  </si>
  <si>
    <t>Té réduit</t>
  </si>
  <si>
    <t>Diamètre Descente</t>
  </si>
  <si>
    <t>Lg / descente (+déport)</t>
  </si>
  <si>
    <t>Manchon mixte</t>
  </si>
  <si>
    <t>Vanne</t>
  </si>
  <si>
    <t>Arrondi à la barre supérieure si supérieur à 6m ou 2 descentes sur 1 barre si la descente fait moins de 3m</t>
  </si>
  <si>
    <t>Collier</t>
  </si>
  <si>
    <t>3/Descente pour 15 et 18 et 2/descente 22+</t>
  </si>
  <si>
    <t>Console</t>
  </si>
  <si>
    <t>CONS200</t>
  </si>
  <si>
    <t>Temps Descente</t>
  </si>
  <si>
    <t>Descentes 2</t>
  </si>
  <si>
    <t>Arrondi à la barre supérieure si supérieur, 2 descentes sur 1 barre si la descente fait moins de 3m</t>
  </si>
  <si>
    <t>Nacelle définie par la hauteur de travail</t>
  </si>
  <si>
    <t>AG18-520201 &amp; 520202 TT</t>
  </si>
  <si>
    <t>Transport si nacelle</t>
  </si>
  <si>
    <t>MO - Calcul
Réseau + Descente</t>
  </si>
  <si>
    <t>Hr diverse supplémentaires</t>
  </si>
  <si>
    <t>Heures Total Brut</t>
  </si>
  <si>
    <t>Nbr d'heure</t>
  </si>
  <si>
    <t>Distance Aller Simple (km)</t>
  </si>
  <si>
    <t>Découchage ?</t>
  </si>
  <si>
    <t>Temps de route Aller Simple (h)</t>
  </si>
  <si>
    <t>Nb Jour travaillé</t>
  </si>
  <si>
    <t>Heure/j max</t>
  </si>
  <si>
    <t>Vigie</t>
  </si>
  <si>
    <t>FR</t>
  </si>
  <si>
    <t>Voir FR</t>
  </si>
  <si>
    <t>1 repas par jour + 1 repas par nuit</t>
  </si>
  <si>
    <t>Forcer découchage</t>
  </si>
  <si>
    <t>FH</t>
  </si>
  <si>
    <t>Voir FH</t>
  </si>
  <si>
    <t>1 nuit entre 2 jours avec 4 nuits par semaines</t>
  </si>
  <si>
    <t>KMVA</t>
  </si>
  <si>
    <t>Voir KMVA</t>
  </si>
  <si>
    <t>A/R : 250km et/ou 3h =&gt; découchage "obligatoire"</t>
  </si>
  <si>
    <t>HNT Total</t>
  </si>
  <si>
    <t>HNT voir détail</t>
  </si>
  <si>
    <t>MO
Réseau</t>
  </si>
  <si>
    <t>HNT</t>
  </si>
  <si>
    <t>MO
Descentes 
1 et 2</t>
  </si>
  <si>
    <t>Résultat</t>
  </si>
  <si>
    <t>Total Réseau</t>
  </si>
  <si>
    <t>Total Descentes 1 et 2</t>
  </si>
  <si>
    <t>Total Général</t>
  </si>
  <si>
    <t>Marge</t>
  </si>
  <si>
    <t>Budget</t>
  </si>
  <si>
    <t>Pour tout budget et sauf indications contraires :</t>
  </si>
  <si>
    <t>Tuyauterie en INOX 304 serti (Marque RIM ou équivalent)</t>
  </si>
  <si>
    <t>Installation de réseau en journées ouvrés consécutives (pas d’intervention le samedi, le dimanche ou de nuits)</t>
  </si>
  <si>
    <t>Accessibilité pour passage de tuyauterie correcte</t>
  </si>
  <si>
    <t>Fixation standard sur consoles de fixation</t>
  </si>
  <si>
    <t>Attention aux limites de prestations qui sont budgetées.</t>
  </si>
  <si>
    <t>Ce budget reste soumis au passage d'un technicien sur place pour en valider la faisabilité et affiner le budget.</t>
  </si>
  <si>
    <t>Numéro</t>
  </si>
  <si>
    <t>Catégorie</t>
  </si>
  <si>
    <t>Taille</t>
  </si>
  <si>
    <t>G en "</t>
  </si>
  <si>
    <t>3/8"</t>
  </si>
  <si>
    <t>1/2"</t>
  </si>
  <si>
    <t>3/4"</t>
  </si>
  <si>
    <t>1"</t>
  </si>
  <si>
    <t>1"1/4</t>
  </si>
  <si>
    <t>1"1/2</t>
  </si>
  <si>
    <t>2"</t>
  </si>
  <si>
    <t>2"1/2</t>
  </si>
  <si>
    <t>3"</t>
  </si>
  <si>
    <t>4"</t>
  </si>
  <si>
    <t>G sans "</t>
  </si>
  <si>
    <t>Diam Tube</t>
  </si>
  <si>
    <t>Dénomination</t>
  </si>
  <si>
    <t>Italien D15</t>
  </si>
  <si>
    <t>Italien D18</t>
  </si>
  <si>
    <t>Italien D22</t>
  </si>
  <si>
    <t>Italien D28</t>
  </si>
  <si>
    <t>Italien D35</t>
  </si>
  <si>
    <t>Italien D42</t>
  </si>
  <si>
    <t>Italien D54</t>
  </si>
  <si>
    <t>Italien D76</t>
  </si>
  <si>
    <t>Italien 88</t>
  </si>
  <si>
    <t>Italien D108</t>
  </si>
  <si>
    <t>Serti</t>
  </si>
  <si>
    <t>RXS15</t>
  </si>
  <si>
    <t>RXS18</t>
  </si>
  <si>
    <t>RXS22</t>
  </si>
  <si>
    <t>RXS28</t>
  </si>
  <si>
    <t>RXS35</t>
  </si>
  <si>
    <t>RXS42</t>
  </si>
  <si>
    <t>RXS54</t>
  </si>
  <si>
    <t>RXS76</t>
  </si>
  <si>
    <t>RXS88</t>
  </si>
  <si>
    <t>RXS108</t>
  </si>
  <si>
    <t>Manchon court</t>
  </si>
  <si>
    <t>R20150</t>
  </si>
  <si>
    <t>R20180</t>
  </si>
  <si>
    <t>R20220</t>
  </si>
  <si>
    <t>R20280</t>
  </si>
  <si>
    <t>R20350</t>
  </si>
  <si>
    <t>R20420</t>
  </si>
  <si>
    <t>R20540</t>
  </si>
  <si>
    <t>R20760</t>
  </si>
  <si>
    <t>R20800</t>
  </si>
  <si>
    <t>R20108</t>
  </si>
  <si>
    <t>R90150</t>
  </si>
  <si>
    <t>R90180</t>
  </si>
  <si>
    <t>R90220</t>
  </si>
  <si>
    <t>R90280</t>
  </si>
  <si>
    <t>R90350</t>
  </si>
  <si>
    <t>R90420</t>
  </si>
  <si>
    <t>R90540</t>
  </si>
  <si>
    <t>R90760</t>
  </si>
  <si>
    <t>R90800</t>
  </si>
  <si>
    <t>R90108</t>
  </si>
  <si>
    <t>R90150S</t>
  </si>
  <si>
    <t>R90180S</t>
  </si>
  <si>
    <t>R90220S</t>
  </si>
  <si>
    <t>R90280S</t>
  </si>
  <si>
    <t>R90350S</t>
  </si>
  <si>
    <t>R90420S</t>
  </si>
  <si>
    <t>R90540S</t>
  </si>
  <si>
    <t>R90760S</t>
  </si>
  <si>
    <t>R90800S</t>
  </si>
  <si>
    <t>R90108S</t>
  </si>
  <si>
    <t>Coude 45 FF</t>
  </si>
  <si>
    <t>R45150</t>
  </si>
  <si>
    <t>R45180</t>
  </si>
  <si>
    <t>R45220</t>
  </si>
  <si>
    <t>R45280</t>
  </si>
  <si>
    <t>R45350</t>
  </si>
  <si>
    <t>R45420</t>
  </si>
  <si>
    <t>R45540</t>
  </si>
  <si>
    <t>R45760</t>
  </si>
  <si>
    <t>R45800</t>
  </si>
  <si>
    <t>R45108</t>
  </si>
  <si>
    <t>Coude 45 MF</t>
  </si>
  <si>
    <t>Manchon réduit MF DN vers DN utilisé inférieur</t>
  </si>
  <si>
    <t>R252818</t>
  </si>
  <si>
    <t>R253225</t>
  </si>
  <si>
    <t>R254228</t>
  </si>
  <si>
    <t>R255442</t>
  </si>
  <si>
    <t>R257654</t>
  </si>
  <si>
    <t>R258076</t>
  </si>
  <si>
    <t>R2510876</t>
  </si>
  <si>
    <t>R15108</t>
  </si>
  <si>
    <t>Té Réduit vers DN utilisé inférieur</t>
  </si>
  <si>
    <t>R142218</t>
  </si>
  <si>
    <t>R142822</t>
  </si>
  <si>
    <t>R143528</t>
  </si>
  <si>
    <t>R144235</t>
  </si>
  <si>
    <t>R145442</t>
  </si>
  <si>
    <t>R147654</t>
  </si>
  <si>
    <t>R148076</t>
  </si>
  <si>
    <t>R1410876</t>
  </si>
  <si>
    <t>Té mixte petit =&gt; outillage 1/2" ou à partir de D76 3/4"</t>
  </si>
  <si>
    <t>R131512</t>
  </si>
  <si>
    <t>R131812</t>
  </si>
  <si>
    <t>R132212</t>
  </si>
  <si>
    <t>R132812</t>
  </si>
  <si>
    <t>R133512</t>
  </si>
  <si>
    <t>R134212</t>
  </si>
  <si>
    <t>R135412</t>
  </si>
  <si>
    <t>R137634</t>
  </si>
  <si>
    <t>R138834</t>
  </si>
  <si>
    <t>R1310834</t>
  </si>
  <si>
    <t>Té mixte grand =&gt; autre</t>
  </si>
  <si>
    <t>R131834</t>
  </si>
  <si>
    <t>R132234</t>
  </si>
  <si>
    <t>R132834</t>
  </si>
  <si>
    <t>R13351</t>
  </si>
  <si>
    <t>R13421</t>
  </si>
  <si>
    <t>R13542</t>
  </si>
  <si>
    <t>R13762</t>
  </si>
  <si>
    <t>R13882</t>
  </si>
  <si>
    <t>R131082</t>
  </si>
  <si>
    <t>Vanne BS FF</t>
  </si>
  <si>
    <t>VBP38FF</t>
  </si>
  <si>
    <t>VBP12FF</t>
  </si>
  <si>
    <t>VBP34FF</t>
  </si>
  <si>
    <t>VBP1FF</t>
  </si>
  <si>
    <t>VBP114FF</t>
  </si>
  <si>
    <t>VBP112FF</t>
  </si>
  <si>
    <t>VBP2FF</t>
  </si>
  <si>
    <t>VBP212FF</t>
  </si>
  <si>
    <t>VBP3FF</t>
  </si>
  <si>
    <t>Vanne BS MF</t>
  </si>
  <si>
    <t>VBP38MF</t>
  </si>
  <si>
    <t>VBP12MF</t>
  </si>
  <si>
    <t>VBP34MF</t>
  </si>
  <si>
    <t>VBP1MF</t>
  </si>
  <si>
    <t>VBP114MF</t>
  </si>
  <si>
    <t>VBP112MF</t>
  </si>
  <si>
    <t>VBP2MF</t>
  </si>
  <si>
    <t>VBP212MF</t>
  </si>
  <si>
    <t>VBP3MF</t>
  </si>
  <si>
    <t>Vanne BS FF Inox</t>
  </si>
  <si>
    <t>Vanne BS MF Inox</t>
  </si>
  <si>
    <t>Manchon Mixte Male - Taille Naturelle</t>
  </si>
  <si>
    <t>R241538</t>
  </si>
  <si>
    <t>R241812</t>
  </si>
  <si>
    <t>R242234</t>
  </si>
  <si>
    <t>R24281</t>
  </si>
  <si>
    <t>R2435114</t>
  </si>
  <si>
    <t>R2442112</t>
  </si>
  <si>
    <t>R24542</t>
  </si>
  <si>
    <t>R2476212</t>
  </si>
  <si>
    <t>R24883</t>
  </si>
  <si>
    <t>R241084</t>
  </si>
  <si>
    <t>Manchon Mixte Femelle - Taille Naturelle</t>
  </si>
  <si>
    <t>R221538</t>
  </si>
  <si>
    <t>R221812</t>
  </si>
  <si>
    <t>R222234</t>
  </si>
  <si>
    <t>R2235114</t>
  </si>
  <si>
    <t>R2242112</t>
  </si>
  <si>
    <t>R22542</t>
  </si>
  <si>
    <t>Vanne VP-OT</t>
  </si>
  <si>
    <t>VP50OT</t>
  </si>
  <si>
    <t>VP65OT</t>
  </si>
  <si>
    <t>VP80OT</t>
  </si>
  <si>
    <t>VP100OT</t>
  </si>
  <si>
    <t>Bride Tournantes</t>
  </si>
  <si>
    <t>REQF054</t>
  </si>
  <si>
    <t>REQF076</t>
  </si>
  <si>
    <t>REQF080</t>
  </si>
  <si>
    <t>REQF108</t>
  </si>
  <si>
    <t>Acc.</t>
  </si>
  <si>
    <t>Joint Klingerit</t>
  </si>
  <si>
    <t>JT65</t>
  </si>
  <si>
    <t>JT80</t>
  </si>
  <si>
    <t>JT100</t>
  </si>
  <si>
    <t>Fixation</t>
  </si>
  <si>
    <t>Collier M8 / M10 à partir de D76</t>
  </si>
  <si>
    <t>CVI15</t>
  </si>
  <si>
    <t>CVI18</t>
  </si>
  <si>
    <t>CVI22</t>
  </si>
  <si>
    <t>CVI28</t>
  </si>
  <si>
    <t>CVI35</t>
  </si>
  <si>
    <t>CVI42</t>
  </si>
  <si>
    <t>CVI54</t>
  </si>
  <si>
    <t>CVI76</t>
  </si>
  <si>
    <t>CVI88</t>
  </si>
  <si>
    <t>CVI108</t>
  </si>
  <si>
    <t>Collier ISO M8 / M10 à partir de D76</t>
  </si>
  <si>
    <t>CV15-ISO</t>
  </si>
  <si>
    <t>CV18-ISO</t>
  </si>
  <si>
    <t>CV22-ISO</t>
  </si>
  <si>
    <t>CV28-ISO</t>
  </si>
  <si>
    <t>CV35-ISO</t>
  </si>
  <si>
    <t>CV42-ISO</t>
  </si>
  <si>
    <t>CV54-ISO</t>
  </si>
  <si>
    <t>CV76-ISO</t>
  </si>
  <si>
    <t>CV88-ISO</t>
  </si>
  <si>
    <t>CV108-ISO</t>
  </si>
  <si>
    <t>Ecrou Rail L35</t>
  </si>
  <si>
    <t>EC-RAILM10X35</t>
  </si>
  <si>
    <t>Bouchon</t>
  </si>
  <si>
    <t>R50150</t>
  </si>
  <si>
    <t>R50180</t>
  </si>
  <si>
    <t>R50220</t>
  </si>
  <si>
    <t>R50280</t>
  </si>
  <si>
    <t>R50350</t>
  </si>
  <si>
    <t>R50420</t>
  </si>
  <si>
    <t>R50540</t>
  </si>
  <si>
    <t>R50076</t>
  </si>
  <si>
    <t>R50080</t>
  </si>
  <si>
    <t>R50108</t>
  </si>
  <si>
    <t>Bride PN16</t>
  </si>
  <si>
    <t>REQF015-PN16</t>
  </si>
  <si>
    <t>REQF018-PN16</t>
  </si>
  <si>
    <t>REQF022-PN16</t>
  </si>
  <si>
    <t>REQF028-PN16</t>
  </si>
  <si>
    <t>REQF035-PN16</t>
  </si>
  <si>
    <t>REQF042-PN16</t>
  </si>
  <si>
    <t>REQF054-PN16</t>
  </si>
  <si>
    <t>REQF076-PN16</t>
  </si>
  <si>
    <t>REQF088-PN16</t>
  </si>
  <si>
    <t>REQF108-PN16</t>
  </si>
  <si>
    <t>Bouchon de console</t>
  </si>
  <si>
    <t>Vissé</t>
  </si>
  <si>
    <t>Courbe 1G MF</t>
  </si>
  <si>
    <t>Courbe 2G FF</t>
  </si>
  <si>
    <t>Coude 90G FF</t>
  </si>
  <si>
    <t>Coude 92G MF</t>
  </si>
  <si>
    <t>Coude Union 96 FF</t>
  </si>
  <si>
    <t>Coude Union 98 MF</t>
  </si>
  <si>
    <t>Té 130</t>
  </si>
  <si>
    <t>Y 220</t>
  </si>
  <si>
    <t>Manchon 270</t>
  </si>
  <si>
    <t>Mamelon 280</t>
  </si>
  <si>
    <t>Bouchon M 290</t>
  </si>
  <si>
    <t>Bouchon F 300</t>
  </si>
  <si>
    <t>Union FF 340</t>
  </si>
  <si>
    <t>Union MF 341</t>
  </si>
  <si>
    <t>Union MM 344</t>
  </si>
  <si>
    <t>Réduction 241G 2" vers DN</t>
  </si>
  <si>
    <t>241G238</t>
  </si>
  <si>
    <t>241G212</t>
  </si>
  <si>
    <t>241G234</t>
  </si>
  <si>
    <t>241G21</t>
  </si>
  <si>
    <t>241G2114</t>
  </si>
  <si>
    <t>241G2112</t>
  </si>
  <si>
    <t>Centrale</t>
  </si>
  <si>
    <t>Quantité Tube</t>
  </si>
  <si>
    <t>Coude union / MF</t>
  </si>
  <si>
    <t>98G12</t>
  </si>
  <si>
    <t>98G34</t>
  </si>
  <si>
    <t>98G1</t>
  </si>
  <si>
    <t>98G114</t>
  </si>
  <si>
    <t>98G112</t>
  </si>
  <si>
    <t>98G2</t>
  </si>
  <si>
    <t>Flexible 1m</t>
  </si>
  <si>
    <t>FC12.1000</t>
  </si>
  <si>
    <t>FC34.1000</t>
  </si>
  <si>
    <t>FC1.1000</t>
  </si>
  <si>
    <t>FI114.1000</t>
  </si>
  <si>
    <t>FI112.1000</t>
  </si>
  <si>
    <t>FI2.1000</t>
  </si>
  <si>
    <t>Dilato</t>
  </si>
  <si>
    <t>K8.0786.00010</t>
  </si>
  <si>
    <t>K8.0787.00010</t>
  </si>
  <si>
    <t>K8.0794.00010</t>
  </si>
  <si>
    <t>Union à Sertir Male</t>
  </si>
  <si>
    <t>R331812</t>
  </si>
  <si>
    <t>R332234</t>
  </si>
  <si>
    <t>R33281</t>
  </si>
  <si>
    <t>R3335114</t>
  </si>
  <si>
    <t>R3342112</t>
  </si>
  <si>
    <t>R33542</t>
  </si>
  <si>
    <t>Condensat</t>
  </si>
  <si>
    <t>Manchon mixte Femelle - condensat</t>
  </si>
  <si>
    <t>R22281</t>
  </si>
  <si>
    <t>R22351</t>
  </si>
  <si>
    <t>R2242114</t>
  </si>
  <si>
    <t>Tetine</t>
  </si>
  <si>
    <t>900-245</t>
  </si>
  <si>
    <t>900-0247</t>
  </si>
  <si>
    <t>900-0258</t>
  </si>
  <si>
    <t>Trico</t>
  </si>
  <si>
    <t>TRICO13</t>
  </si>
  <si>
    <t>TRICO19</t>
  </si>
  <si>
    <t>TRICO25</t>
  </si>
  <si>
    <t>Collier à Vis</t>
  </si>
  <si>
    <t>CV1424</t>
  </si>
  <si>
    <t>CV1828</t>
  </si>
  <si>
    <t>CV2436</t>
  </si>
  <si>
    <t>Code</t>
  </si>
  <si>
    <t>Désignation</t>
  </si>
  <si>
    <t>PA Net + 10%</t>
  </si>
  <si>
    <t>ATTACHES CABLOFIL CAT30</t>
  </si>
  <si>
    <t>4702</t>
  </si>
  <si>
    <t>MODULE INTERFACE RS485</t>
  </si>
  <si>
    <t>9012</t>
  </si>
  <si>
    <t>LOG SERVEUR WEB</t>
  </si>
  <si>
    <t>CHEVILLE DE 08</t>
  </si>
  <si>
    <t>TIRE FOND M6X40</t>
  </si>
  <si>
    <t>14664</t>
  </si>
  <si>
    <t>MANCHON DE RACC. M 8 LONG. 30</t>
  </si>
  <si>
    <t>GOUJON DE 8 X 80</t>
  </si>
  <si>
    <t>PLATINE U ZINGUEE</t>
  </si>
  <si>
    <t>ECROU CONSOLE 35MM</t>
  </si>
  <si>
    <t>Clipsotube gris RAL7035 pour tube IRL D=20mm</t>
  </si>
  <si>
    <t>Collier Colson noir protégé ultraviolet denture extérieure larg.9mm, long. 185mm</t>
  </si>
  <si>
    <t>Collier Colson noir protégé ultraviolet denture extérieure larg.9mm, long. 262mm</t>
  </si>
  <si>
    <t>Collier Colson noir protégé ultraviolet denture extérieure larg.9mm, long. 357mm</t>
  </si>
  <si>
    <t>Collier Colring incolore denture intérieure largeur 2,4 et longueur à plat 180mm</t>
  </si>
  <si>
    <t>33707</t>
  </si>
  <si>
    <t>BOUCHONS POUR CONSOLE</t>
  </si>
  <si>
    <t>37662</t>
  </si>
  <si>
    <t>Embout de câblage Starfix - pour conducteurs section 0,75mm  - bleu</t>
  </si>
  <si>
    <t>37666</t>
  </si>
  <si>
    <t>Embout de câblage Starfix - pour conducteurs section 2,5mm  - gris</t>
  </si>
  <si>
    <t>Embout de câblage Starfix - pour conducteurs section 10mm  - brun</t>
  </si>
  <si>
    <t>RAIL 38X24 LG 2 METRES</t>
  </si>
  <si>
    <t>CRAPPEAU POUR TIGE  10</t>
  </si>
  <si>
    <t>98021</t>
  </si>
  <si>
    <t>Presse-étoupe plastique filetage PG 9 (x 1)</t>
  </si>
  <si>
    <t>Presse-étoupe plastique filetage PG 13.5 (x 1)</t>
  </si>
  <si>
    <t>Presse-étoupe plastique filetage PG 16 (x 1)</t>
  </si>
  <si>
    <t>Presse-étoupe plastique filetage PG 21 (x 1)</t>
  </si>
  <si>
    <t>115166</t>
  </si>
  <si>
    <t>DOUBLE ECROU MPC M8 X40MM</t>
  </si>
  <si>
    <t>ECLISSE RAPIDE EDRN</t>
  </si>
  <si>
    <t>340I112L</t>
  </si>
  <si>
    <t>UNION FEMELLE LISSE A SOUDER INOX 1"1/2</t>
  </si>
  <si>
    <t>F0375F</t>
  </si>
  <si>
    <t>SECHEUR CD375F 3'G 400/3/50 R407C SMART</t>
  </si>
  <si>
    <t>129790</t>
  </si>
  <si>
    <t>jambe de force 45° pour rail  38/40</t>
  </si>
  <si>
    <t>SEP1250ST</t>
  </si>
  <si>
    <t>SEPARATEUR DE CONDENSAT</t>
  </si>
  <si>
    <t>TASI15</t>
  </si>
  <si>
    <t>Té egaux inox 304L DN15</t>
  </si>
  <si>
    <t>TASI20</t>
  </si>
  <si>
    <t>SAM4,0-4</t>
  </si>
  <si>
    <t>regulation SAM4,0-4</t>
  </si>
  <si>
    <t>K7,5250,0950</t>
  </si>
  <si>
    <t>Carte modbus TCP</t>
  </si>
  <si>
    <t>K7,7628,1</t>
  </si>
  <si>
    <t xml:space="preserve">Jeu de conecteur SIGMA2  RJ45 </t>
  </si>
  <si>
    <t>K7,5250,1870</t>
  </si>
  <si>
    <t>Kit rattrapage RJ45-sigma2</t>
  </si>
  <si>
    <t>K9,5022,0</t>
  </si>
  <si>
    <t>programmation sd carte mis à jour Software 4,0,1</t>
  </si>
  <si>
    <t>K7,9681,2</t>
  </si>
  <si>
    <t>carte interface IO supplementaire</t>
  </si>
  <si>
    <t xml:space="preserve"> 8/50</t>
  </si>
  <si>
    <t>CV1422</t>
  </si>
  <si>
    <t>14 22</t>
  </si>
  <si>
    <t>Ø 8</t>
  </si>
  <si>
    <t>M8 pour rail 38/24</t>
  </si>
  <si>
    <t>LG 240 - 38x40</t>
  </si>
  <si>
    <t>3/8"M - Flexible Dint 14</t>
  </si>
  <si>
    <t xml:space="preserve"> 12-8</t>
  </si>
  <si>
    <t>AG18-H50D</t>
  </si>
  <si>
    <t>AG18-E80/900</t>
  </si>
  <si>
    <t>AG18-CHV18S</t>
  </si>
  <si>
    <t>AG18-CHA18S</t>
  </si>
  <si>
    <t>AG18-CHA25G</t>
  </si>
  <si>
    <t>AG18-CHAV25G</t>
  </si>
  <si>
    <t>AG18-520201 &amp; 520202</t>
  </si>
  <si>
    <t>AG18-H35T</t>
  </si>
  <si>
    <t>AG18-H45T</t>
  </si>
  <si>
    <t>AG18-H50T</t>
  </si>
  <si>
    <t>AG18-Bouteille gaz</t>
  </si>
  <si>
    <t>AG18-Transport aller/retour</t>
  </si>
  <si>
    <t>AG18-COM23D</t>
  </si>
  <si>
    <t>AG18-COV23D</t>
  </si>
  <si>
    <t>AG18-COV34D</t>
  </si>
  <si>
    <t>AG18-COM34D</t>
  </si>
  <si>
    <t>AG18-COM40D</t>
  </si>
  <si>
    <t>AG18-COV40D</t>
  </si>
  <si>
    <t>AG18-COM50D</t>
  </si>
  <si>
    <t xml:space="preserve">AG18-COV50D </t>
  </si>
  <si>
    <t>AG18-COM70D</t>
  </si>
  <si>
    <t>AG18-PLAT3M</t>
  </si>
  <si>
    <t xml:space="preserve">AG18-ESCPRO </t>
  </si>
  <si>
    <t>AG18-GRO200</t>
  </si>
  <si>
    <t>AG18-GRO400</t>
  </si>
  <si>
    <t>AG18-ELE12B</t>
  </si>
  <si>
    <t>AG18-ELE12E</t>
  </si>
  <si>
    <t>AG18-ELE12P</t>
  </si>
  <si>
    <t>AG18-ELE15P</t>
  </si>
  <si>
    <t>AG18-ELE17P</t>
  </si>
  <si>
    <t>AG18-SCI455</t>
  </si>
  <si>
    <t xml:space="preserve">AG18-SCI510 </t>
  </si>
  <si>
    <t xml:space="preserve">AG18-SCI680 </t>
  </si>
  <si>
    <t>AG18-SCI830</t>
  </si>
  <si>
    <t>AG18-SCI10E</t>
  </si>
  <si>
    <t xml:space="preserve">AG18-SCI10S </t>
  </si>
  <si>
    <t xml:space="preserve">AG18-SCI12S </t>
  </si>
  <si>
    <t>AG18-SCI14E</t>
  </si>
  <si>
    <t>AG18-CE7</t>
  </si>
  <si>
    <t>AG18-CE8</t>
  </si>
  <si>
    <t>AG18-CE10</t>
  </si>
  <si>
    <t>AG18-CE12</t>
  </si>
  <si>
    <t>AG18-CE14</t>
  </si>
  <si>
    <t>AG18-Transport</t>
  </si>
  <si>
    <t xml:space="preserve">AG18-ELE12D </t>
  </si>
  <si>
    <t>AG18-ELE16D</t>
  </si>
  <si>
    <t xml:space="preserve">AG18-ELE16S </t>
  </si>
  <si>
    <t>AG18-ELE18D</t>
  </si>
  <si>
    <t>AG18-ELE20D</t>
  </si>
  <si>
    <t>AG18-SCI10D</t>
  </si>
  <si>
    <t>AG18-SCV12P</t>
  </si>
  <si>
    <t>AG18-SCI12P</t>
  </si>
  <si>
    <t>AG18-SCV15D</t>
  </si>
  <si>
    <t>AG18-SCI15D</t>
  </si>
  <si>
    <t>AG18-CT12</t>
  </si>
  <si>
    <t>AG18-CT15</t>
  </si>
  <si>
    <t>AG18-CT18</t>
  </si>
  <si>
    <t>AG18-prestation carburant CT12</t>
  </si>
  <si>
    <t>AG18-prestation carburant CT15/18</t>
  </si>
  <si>
    <t>AG18-ELE450</t>
  </si>
  <si>
    <t>AG18-ELE600</t>
  </si>
  <si>
    <t>AG18-ELE80L</t>
  </si>
  <si>
    <t>AG18-ELE800</t>
  </si>
  <si>
    <t>AG18-T10E</t>
  </si>
  <si>
    <t>AG18-TRONHF</t>
  </si>
  <si>
    <t>AG18-TROHYD</t>
  </si>
  <si>
    <t xml:space="preserve">AG18-FORVID </t>
  </si>
  <si>
    <t>AG18-FOR18H</t>
  </si>
  <si>
    <t>AG18-FORDIA</t>
  </si>
  <si>
    <t xml:space="preserve">AG18-FOR440 </t>
  </si>
  <si>
    <t xml:space="preserve">AG18-PER08H </t>
  </si>
  <si>
    <t xml:space="preserve">AG18-PER18H </t>
  </si>
  <si>
    <t xml:space="preserve">AG18-TROMAT </t>
  </si>
  <si>
    <t>IBC 1000 LITRES</t>
  </si>
  <si>
    <t>MCT1000-C</t>
  </si>
  <si>
    <t>MCT1000SP-C</t>
  </si>
  <si>
    <t>MINIMCT-C</t>
  </si>
  <si>
    <t>MINIMCT870-C</t>
  </si>
  <si>
    <t>BRLP225</t>
  </si>
  <si>
    <t>MCT-C</t>
  </si>
  <si>
    <t>BR90L</t>
  </si>
  <si>
    <t>BR06</t>
  </si>
  <si>
    <t>BR08</t>
  </si>
  <si>
    <t>BR08P</t>
  </si>
  <si>
    <t>BR120</t>
  </si>
  <si>
    <t>BR14S</t>
  </si>
  <si>
    <t>MINIMCT842B-C</t>
  </si>
  <si>
    <t>Beko31</t>
  </si>
  <si>
    <t>BEKO12</t>
  </si>
  <si>
    <t>BEKO13</t>
  </si>
  <si>
    <t>BEKO32</t>
  </si>
  <si>
    <t>BEKO14</t>
  </si>
  <si>
    <t>BEKO14-KIT</t>
  </si>
  <si>
    <t>BEKO13-KIT</t>
  </si>
  <si>
    <t>BEKO21-KIT</t>
  </si>
  <si>
    <t>XZKA13001</t>
  </si>
  <si>
    <t>11-2080100</t>
  </si>
  <si>
    <t>50.058.2901</t>
  </si>
  <si>
    <t>50.058.4901</t>
  </si>
  <si>
    <t>50.058.6901</t>
  </si>
  <si>
    <t>50.058.8901</t>
  </si>
  <si>
    <t>74504-50</t>
  </si>
  <si>
    <t>AF0035P</t>
  </si>
  <si>
    <t>AF0035C</t>
  </si>
  <si>
    <t>AF0035A</t>
  </si>
  <si>
    <t>AF0052P</t>
  </si>
  <si>
    <t>AF0108P</t>
  </si>
  <si>
    <t>AF0108C</t>
  </si>
  <si>
    <t>AF0108A</t>
  </si>
  <si>
    <t>AF0216A</t>
  </si>
  <si>
    <t>KFM02</t>
  </si>
  <si>
    <t>K7.0220.0</t>
  </si>
  <si>
    <t>K7.0221.0</t>
  </si>
  <si>
    <t>311D-220V</t>
  </si>
  <si>
    <t>AFT0</t>
  </si>
  <si>
    <t>R72G-2GK-RMN</t>
  </si>
  <si>
    <t>R64G-NNK-RMN</t>
  </si>
  <si>
    <t>BECA2</t>
  </si>
  <si>
    <t>SSL12.10</t>
  </si>
  <si>
    <t>SSL34.10</t>
  </si>
  <si>
    <t>SSL1.10</t>
  </si>
  <si>
    <t>SSL114.10</t>
  </si>
  <si>
    <t>SSL112.10</t>
  </si>
  <si>
    <t>SSL2.10</t>
  </si>
  <si>
    <t>VACUO100</t>
  </si>
  <si>
    <t>VACUOV63</t>
  </si>
  <si>
    <t>VACUOA63</t>
  </si>
  <si>
    <t>XB4BD21</t>
  </si>
  <si>
    <t>SCH18632</t>
  </si>
  <si>
    <t>SCH18633</t>
  </si>
  <si>
    <t>SCH18634</t>
  </si>
  <si>
    <t>SCH18635</t>
  </si>
  <si>
    <t>SCH18636</t>
  </si>
  <si>
    <t>SCH18637</t>
  </si>
  <si>
    <t>SCH18638</t>
  </si>
  <si>
    <t>SCH18639</t>
  </si>
  <si>
    <t>SCH18641</t>
  </si>
  <si>
    <t>SCH18643</t>
  </si>
  <si>
    <t>SCH18645</t>
  </si>
  <si>
    <t>SCH18669</t>
  </si>
  <si>
    <t>SCH18670</t>
  </si>
  <si>
    <t>SCH18671</t>
  </si>
  <si>
    <t>SCHLV429770</t>
  </si>
  <si>
    <t>SCHLV430770</t>
  </si>
  <si>
    <t>SCHLV431630</t>
  </si>
  <si>
    <t>SCHLV432676</t>
  </si>
  <si>
    <t>SCHA9F75202</t>
  </si>
  <si>
    <t>SCHA9F77206</t>
  </si>
  <si>
    <t>06464</t>
  </si>
  <si>
    <t>SCHA9F77432</t>
  </si>
  <si>
    <t>SCHA9F75440</t>
  </si>
  <si>
    <t>SCHA9P22306</t>
  </si>
  <si>
    <t>SCHA9P22310</t>
  </si>
  <si>
    <t>SCHA9P22316</t>
  </si>
  <si>
    <t>SCHA9P22320</t>
  </si>
  <si>
    <t>SCHA9P22325</t>
  </si>
  <si>
    <t>SCHA9P22332</t>
  </si>
  <si>
    <t>SCHA9P22340</t>
  </si>
  <si>
    <t>SCHA9P24306</t>
  </si>
  <si>
    <t>SCHA9P24310</t>
  </si>
  <si>
    <t>SCHA9P24316</t>
  </si>
  <si>
    <t>SCHA9P24320</t>
  </si>
  <si>
    <t>SCHA9P24325</t>
  </si>
  <si>
    <t>SCHA9P24332</t>
  </si>
  <si>
    <t>SCHA9P24340</t>
  </si>
  <si>
    <t>06659</t>
  </si>
  <si>
    <t>06662</t>
  </si>
  <si>
    <t>SCHA9F75310</t>
  </si>
  <si>
    <t>SCHA9F77320</t>
  </si>
  <si>
    <t>SCHA9F77332</t>
  </si>
  <si>
    <t>SCHA9F75350</t>
  </si>
  <si>
    <t>SCHA9F75363</t>
  </si>
  <si>
    <t>SCHA9N18387</t>
  </si>
  <si>
    <t>SCHA9P32306</t>
  </si>
  <si>
    <t>SCHA9P32310</t>
  </si>
  <si>
    <t>SCHA9P32316</t>
  </si>
  <si>
    <t>SCHA9P32320</t>
  </si>
  <si>
    <t>SCHA9P32325</t>
  </si>
  <si>
    <t>SCHA9P32332</t>
  </si>
  <si>
    <t>SCHA9P32340</t>
  </si>
  <si>
    <t>SCHA9P34306</t>
  </si>
  <si>
    <t>SCHA9P34310</t>
  </si>
  <si>
    <t>SCHA9P34316</t>
  </si>
  <si>
    <t>SCHA9P34320</t>
  </si>
  <si>
    <t>SCHA9P34325</t>
  </si>
  <si>
    <t>SCHA9P34332</t>
  </si>
  <si>
    <t>06646</t>
  </si>
  <si>
    <t>06649</t>
  </si>
  <si>
    <t>06653</t>
  </si>
  <si>
    <t>06656</t>
  </si>
  <si>
    <t>SCHA9P22601</t>
  </si>
  <si>
    <t>SCHA9P22602</t>
  </si>
  <si>
    <t>SCHA9P22604</t>
  </si>
  <si>
    <t>SCHA9P22606</t>
  </si>
  <si>
    <t>SCHA9P22610</t>
  </si>
  <si>
    <t>SCHA9P22616</t>
  </si>
  <si>
    <t>SCHA9P22620</t>
  </si>
  <si>
    <t>SCHA9P22625</t>
  </si>
  <si>
    <t>SCHA9P22632</t>
  </si>
  <si>
    <t>SCHA9P22640</t>
  </si>
  <si>
    <t>SCHA9P24601</t>
  </si>
  <si>
    <t>SCHA9P24602</t>
  </si>
  <si>
    <t>SCHA9P24604</t>
  </si>
  <si>
    <t>SCHA9P24606</t>
  </si>
  <si>
    <t>SCHA9P24610</t>
  </si>
  <si>
    <t>SCHA9P24616</t>
  </si>
  <si>
    <t>SCHA9P24620</t>
  </si>
  <si>
    <t>SCHA9P24625</t>
  </si>
  <si>
    <t>SCHA9P24632</t>
  </si>
  <si>
    <t>SCHA9P24640</t>
  </si>
  <si>
    <t>KHG0250W.00</t>
  </si>
  <si>
    <t>KHG0500W.00</t>
  </si>
  <si>
    <t>CUB-230V</t>
  </si>
  <si>
    <t>FSA2X</t>
  </si>
  <si>
    <t>RAYCE02</t>
  </si>
  <si>
    <t>RAYCE03</t>
  </si>
  <si>
    <t>RAYPT02</t>
  </si>
  <si>
    <t>RXN41G11BD</t>
  </si>
  <si>
    <t>RXN41G11B7</t>
  </si>
  <si>
    <t>RXN41G11P7</t>
  </si>
  <si>
    <t>CUNU5,5</t>
  </si>
  <si>
    <t>CUNU25</t>
  </si>
  <si>
    <t>CUNU35</t>
  </si>
  <si>
    <t>CUNU50</t>
  </si>
  <si>
    <t>CUNU70</t>
  </si>
  <si>
    <t>CUNU95</t>
  </si>
  <si>
    <t>CUNU120</t>
  </si>
  <si>
    <t>GRIFF4-30CUNU</t>
  </si>
  <si>
    <t>RO2V1X35</t>
  </si>
  <si>
    <t>RO2V1X50</t>
  </si>
  <si>
    <t>RO2V1X70</t>
  </si>
  <si>
    <t>RO2V1X95</t>
  </si>
  <si>
    <t>RO2V1X120</t>
  </si>
  <si>
    <t>RO2V1x150</t>
  </si>
  <si>
    <t>RO2V1x185</t>
  </si>
  <si>
    <t>RO2V3G1.5</t>
  </si>
  <si>
    <t>RO2V3G2.5</t>
  </si>
  <si>
    <t>RO2V3G6</t>
  </si>
  <si>
    <t>RO2V4g1.5</t>
  </si>
  <si>
    <t>RO2V4G2.5</t>
  </si>
  <si>
    <t>RO2V4G4</t>
  </si>
  <si>
    <t>RO2V4G6</t>
  </si>
  <si>
    <t>RO2V4G10</t>
  </si>
  <si>
    <t>RO2V5G10</t>
  </si>
  <si>
    <t>RO2V4G16</t>
  </si>
  <si>
    <t>RO2V4G25</t>
  </si>
  <si>
    <t>RO2V5G25</t>
  </si>
  <si>
    <t>RO2V4G35</t>
  </si>
  <si>
    <t>RO2V4G50</t>
  </si>
  <si>
    <t>RO2V4G70</t>
  </si>
  <si>
    <t>LYCY2X0.5</t>
  </si>
  <si>
    <t>LYCY2X1</t>
  </si>
  <si>
    <t>LYCY2X0,75</t>
  </si>
  <si>
    <t>LYCY2X1.5</t>
  </si>
  <si>
    <t>LYCY3X0,75</t>
  </si>
  <si>
    <t>LYCY4X0,75</t>
  </si>
  <si>
    <t>LYCY4G1</t>
  </si>
  <si>
    <t>LYCY4X0,5</t>
  </si>
  <si>
    <t>LYCY5G0.75</t>
  </si>
  <si>
    <t>LYCY5G1</t>
  </si>
  <si>
    <t>LYCY7X0,75</t>
  </si>
  <si>
    <t>LYCY7X1</t>
  </si>
  <si>
    <t>LYCY7X1,5</t>
  </si>
  <si>
    <t>LYCY12X1</t>
  </si>
  <si>
    <t>NO5VVF7G0,75</t>
  </si>
  <si>
    <t>LYFLEX2X0,5</t>
  </si>
  <si>
    <t>LYFLEXNB3G0,75</t>
  </si>
  <si>
    <t>HO5VVF4G0,75</t>
  </si>
  <si>
    <t>LYFLEXNB3G1</t>
  </si>
  <si>
    <t>HO5VV5F7G0,75</t>
  </si>
  <si>
    <t>HO5VVF2X0,75</t>
  </si>
  <si>
    <t>HO5VVF3G0,75</t>
  </si>
  <si>
    <t>HO5VVF3G1</t>
  </si>
  <si>
    <t>HO5VVF3G1.5</t>
  </si>
  <si>
    <t>HO5VVF4G1</t>
  </si>
  <si>
    <t>HO5VVF4X1,5</t>
  </si>
  <si>
    <t>HO5VVF5G0,75</t>
  </si>
  <si>
    <t>HO5VVF5G1</t>
  </si>
  <si>
    <t>HO5VK0,50</t>
  </si>
  <si>
    <t>HO5VK0,75</t>
  </si>
  <si>
    <t>HO5VK0,75 B</t>
  </si>
  <si>
    <t>HO5VK0,75 OR</t>
  </si>
  <si>
    <t>HO5VK0,75-RO</t>
  </si>
  <si>
    <t>HO7VK1,5</t>
  </si>
  <si>
    <t>HO7VK1,5-R</t>
  </si>
  <si>
    <t>HO7VK2,5VERT/JAUN</t>
  </si>
  <si>
    <t>HO7VK4-N</t>
  </si>
  <si>
    <t>HO7VK4B</t>
  </si>
  <si>
    <t>HO7VK6-N</t>
  </si>
  <si>
    <t>HO7VK10</t>
  </si>
  <si>
    <t>HO7VK16</t>
  </si>
  <si>
    <t>HO7VK25-N</t>
  </si>
  <si>
    <t>HO7VK25-R</t>
  </si>
  <si>
    <t>HO7VK35</t>
  </si>
  <si>
    <t>HO7VK50-N</t>
  </si>
  <si>
    <t>HO7VK70VERT/JAUN</t>
  </si>
  <si>
    <t>HO7RNF2X1</t>
  </si>
  <si>
    <t>HO7RNF3G1</t>
  </si>
  <si>
    <t>HO7RNF4G1</t>
  </si>
  <si>
    <t>HO7RNF3G1,5</t>
  </si>
  <si>
    <t>HO7RNF4G1,5</t>
  </si>
  <si>
    <t>HO7RNF3G2,5</t>
  </si>
  <si>
    <t>HO7RNF4G2,5</t>
  </si>
  <si>
    <t>HO7RNF3G4</t>
  </si>
  <si>
    <t>HO7RNF4G4</t>
  </si>
  <si>
    <t>HO7RNF3G6</t>
  </si>
  <si>
    <t>HO7RNF4G6</t>
  </si>
  <si>
    <t>HO7RNF5G6</t>
  </si>
  <si>
    <t>HO7RNF4G10</t>
  </si>
  <si>
    <t>HO7RNF5G10</t>
  </si>
  <si>
    <t>HO7RNF4G16</t>
  </si>
  <si>
    <t>HO7RNF5G16</t>
  </si>
  <si>
    <t>HO7RNF4G50</t>
  </si>
  <si>
    <t>HO7RNF4G70</t>
  </si>
  <si>
    <t>HO7RNF4G95</t>
  </si>
  <si>
    <t>HO7RNF5G1</t>
  </si>
  <si>
    <t>HO7RNF5G1,5</t>
  </si>
  <si>
    <t>HO7RNF5G2.5</t>
  </si>
  <si>
    <t>HO7RNF5G70</t>
  </si>
  <si>
    <t>HO7RNF7G2,5</t>
  </si>
  <si>
    <t>CF5450</t>
  </si>
  <si>
    <t>CF54/100</t>
  </si>
  <si>
    <t>CF54/150</t>
  </si>
  <si>
    <t>CF54/200</t>
  </si>
  <si>
    <t>CE25</t>
  </si>
  <si>
    <t>CE30</t>
  </si>
  <si>
    <t>TRCCM6X20</t>
  </si>
  <si>
    <t>CONSCF100</t>
  </si>
  <si>
    <t>CONSCF200</t>
  </si>
  <si>
    <t>BIZ200240</t>
  </si>
  <si>
    <t>AF1EA5</t>
  </si>
  <si>
    <t>XCT6-6</t>
  </si>
  <si>
    <t>XCT6-8</t>
  </si>
  <si>
    <t>XCT106</t>
  </si>
  <si>
    <t>XCT108</t>
  </si>
  <si>
    <t>XCT166</t>
  </si>
  <si>
    <t>XCT168</t>
  </si>
  <si>
    <t>XCT1610</t>
  </si>
  <si>
    <t>XCT25-6</t>
  </si>
  <si>
    <t>XCT25-8</t>
  </si>
  <si>
    <t>XCT25-10</t>
  </si>
  <si>
    <t>XCT35-8</t>
  </si>
  <si>
    <t>XCT35-10</t>
  </si>
  <si>
    <t>XCT508</t>
  </si>
  <si>
    <t>XCT5010</t>
  </si>
  <si>
    <t>XCT5012</t>
  </si>
  <si>
    <t>XCT70-8</t>
  </si>
  <si>
    <t>XCT7010</t>
  </si>
  <si>
    <t>XCT70-12</t>
  </si>
  <si>
    <t>XCT95-8</t>
  </si>
  <si>
    <t>XCT9510</t>
  </si>
  <si>
    <t>XCT95-12</t>
  </si>
  <si>
    <t>XCT120-10</t>
  </si>
  <si>
    <t>XCT120-12</t>
  </si>
  <si>
    <t>XCT150-10</t>
  </si>
  <si>
    <t>XCT150</t>
  </si>
  <si>
    <t>XCT18512</t>
  </si>
  <si>
    <t>IBO00964</t>
  </si>
  <si>
    <t>IRO20</t>
  </si>
  <si>
    <t>IRO25</t>
  </si>
  <si>
    <t>IRO30</t>
  </si>
  <si>
    <t>EQT1</t>
  </si>
  <si>
    <t>EQT2</t>
  </si>
  <si>
    <t>EQT2-16B</t>
  </si>
  <si>
    <t>EQT3</t>
  </si>
  <si>
    <t>EQT4</t>
  </si>
  <si>
    <t>EQT5</t>
  </si>
  <si>
    <t>EQT6</t>
  </si>
  <si>
    <t>EQTSI0500</t>
  </si>
  <si>
    <t>EQTSI0800</t>
  </si>
  <si>
    <t>EQTSI0900</t>
  </si>
  <si>
    <t>EQTMT0900</t>
  </si>
  <si>
    <t>EQTSI1000</t>
  </si>
  <si>
    <t>EQTSI2000</t>
  </si>
  <si>
    <t>EQTRO10000</t>
  </si>
  <si>
    <t>EQTKS0090</t>
  </si>
  <si>
    <t>EQTKS0150.16B</t>
  </si>
  <si>
    <t>EQTKS0250</t>
  </si>
  <si>
    <t>EQTKS0350</t>
  </si>
  <si>
    <t>EQTKS0350.16B</t>
  </si>
  <si>
    <t>EQTKS0500</t>
  </si>
  <si>
    <t>EQTKS0500.16B</t>
  </si>
  <si>
    <t>EQTKS0500.45B</t>
  </si>
  <si>
    <t>EQTKS0900</t>
  </si>
  <si>
    <t>EQTKS1000</t>
  </si>
  <si>
    <t>EQTKS1000.16B</t>
  </si>
  <si>
    <t>EQTKS1000.45B</t>
  </si>
  <si>
    <t>EQTKS2000</t>
  </si>
  <si>
    <t>EQTKS2000-16B</t>
  </si>
  <si>
    <t>EQTKS2000-50B</t>
  </si>
  <si>
    <t>EQTKS3000</t>
  </si>
  <si>
    <t>EQTKS3000.16B</t>
  </si>
  <si>
    <t>EQTKS5000</t>
  </si>
  <si>
    <t>EQTKS5000-H</t>
  </si>
  <si>
    <t>EQTKS8000</t>
  </si>
  <si>
    <t>EQTKS8000-16B</t>
  </si>
  <si>
    <t>EQTKS8000-H</t>
  </si>
  <si>
    <t>EQTKS10000</t>
  </si>
  <si>
    <t>EQTPAU0050</t>
  </si>
  <si>
    <t>EQTPAU0100</t>
  </si>
  <si>
    <t>EQTPAU0200</t>
  </si>
  <si>
    <t>EQTPAU0300</t>
  </si>
  <si>
    <t>EQTPAU0500</t>
  </si>
  <si>
    <t>EQTPAU0500.16G</t>
  </si>
  <si>
    <t>EQTPAU0750</t>
  </si>
  <si>
    <t>EQTPAU0900</t>
  </si>
  <si>
    <t>EQTPAU1000</t>
  </si>
  <si>
    <t>EQTPAU1500</t>
  </si>
  <si>
    <t>EQTPAU1500.16G</t>
  </si>
  <si>
    <t>EQTPAU2000</t>
  </si>
  <si>
    <t>EQTPAU3000</t>
  </si>
  <si>
    <t>EQTPAU4000</t>
  </si>
  <si>
    <t>EQTPAU5000</t>
  </si>
  <si>
    <t>EQTPAU5000-2"</t>
  </si>
  <si>
    <t>EQTPAU8000-2"</t>
  </si>
  <si>
    <t>EQTPAU7000</t>
  </si>
  <si>
    <t>EQTPAU8000</t>
  </si>
  <si>
    <t>EQTPAU10000</t>
  </si>
  <si>
    <t>EQTPAU10000I</t>
  </si>
  <si>
    <t>EQTPAU20000</t>
  </si>
  <si>
    <t>RHKS0150.16G</t>
  </si>
  <si>
    <t>RHKS5000.11G</t>
  </si>
  <si>
    <t>RHKS8000.11G</t>
  </si>
  <si>
    <t>RHPA0100.10G</t>
  </si>
  <si>
    <t>RHPA0200.11G</t>
  </si>
  <si>
    <t>RHPA0300.10G</t>
  </si>
  <si>
    <t>RHPA0500.10G</t>
  </si>
  <si>
    <t>RHPA1000.10G</t>
  </si>
  <si>
    <t>RHPA1500.10G</t>
  </si>
  <si>
    <t>RHPA2000.10G</t>
  </si>
  <si>
    <t>RHPA3000.11G</t>
  </si>
  <si>
    <t>RHPA5000.10G</t>
  </si>
  <si>
    <t>RHPA5000.11G</t>
  </si>
  <si>
    <t>RHSI0010.11HP</t>
  </si>
  <si>
    <t>RHSE0015.11P</t>
  </si>
  <si>
    <t>RHSI0024.11P</t>
  </si>
  <si>
    <t>RHNU0050.11P</t>
  </si>
  <si>
    <t>RHSE0050.11P</t>
  </si>
  <si>
    <t>RHSI0050.11B</t>
  </si>
  <si>
    <t>RHSI0050.11G</t>
  </si>
  <si>
    <t>RHMAT0090.10P</t>
  </si>
  <si>
    <t>RHSE0100.11G</t>
  </si>
  <si>
    <t>RHSE0100.11GP</t>
  </si>
  <si>
    <t>RHSI0100.11P</t>
  </si>
  <si>
    <t>RHSI0200.10G</t>
  </si>
  <si>
    <t>RHSE0200.11G</t>
  </si>
  <si>
    <t>RHMA0250.11G</t>
  </si>
  <si>
    <t>RHRE0250.10GPL</t>
  </si>
  <si>
    <t>RHRE0270.10GPL</t>
  </si>
  <si>
    <t>RHSE0270.11G</t>
  </si>
  <si>
    <t>RHMA0300.10P</t>
  </si>
  <si>
    <t>RHSI0500.11P</t>
  </si>
  <si>
    <t>RHSI0500P.10G</t>
  </si>
  <si>
    <t>RHSI0900P.10G</t>
  </si>
  <si>
    <t>RHFL5000.08G</t>
  </si>
  <si>
    <t>RV0200-PS10-01</t>
  </si>
  <si>
    <t>RV0200-PS10-G</t>
  </si>
  <si>
    <t>RV0250-PS10-G</t>
  </si>
  <si>
    <t>RV0270-PS11-G</t>
  </si>
  <si>
    <t>RV0500-PS10-01</t>
  </si>
  <si>
    <t>RV0500-PS10-G</t>
  </si>
  <si>
    <t>RVCO0500.10G</t>
  </si>
  <si>
    <t>RV0500-PS16-01</t>
  </si>
  <si>
    <t>RV0800-PS10</t>
  </si>
  <si>
    <t>RV0900-PS10-01</t>
  </si>
  <si>
    <t>RVCO0900.10G</t>
  </si>
  <si>
    <t>RV0901-PS10-G</t>
  </si>
  <si>
    <t>RV0901-PS11-G</t>
  </si>
  <si>
    <t>RV1000-PS12</t>
  </si>
  <si>
    <t>RV1000PS14</t>
  </si>
  <si>
    <t>RV2000-PS10</t>
  </si>
  <si>
    <t>RVKS0090.11G</t>
  </si>
  <si>
    <t>RVKS0090.45G</t>
  </si>
  <si>
    <t>RVKS0150.11G</t>
  </si>
  <si>
    <t>RVKS0150.16G</t>
  </si>
  <si>
    <t>RVKS0250.11G</t>
  </si>
  <si>
    <t>RVKS0250.16G</t>
  </si>
  <si>
    <t>RVKS0250.45G</t>
  </si>
  <si>
    <t>RVKS0350.11G</t>
  </si>
  <si>
    <t>RVKS0350.16G</t>
  </si>
  <si>
    <t>RVKS0500.11G</t>
  </si>
  <si>
    <t>RVKS0500.16G</t>
  </si>
  <si>
    <t>RVKS0500.45G</t>
  </si>
  <si>
    <t>RVKS0900.11G</t>
  </si>
  <si>
    <t>RVKS1000.11G</t>
  </si>
  <si>
    <t>RVKS1000.16G</t>
  </si>
  <si>
    <t>RVKS1000.45G</t>
  </si>
  <si>
    <t>RVKS2000-50G</t>
  </si>
  <si>
    <t>RVKS2000.11G</t>
  </si>
  <si>
    <t>RVKS2000.16G</t>
  </si>
  <si>
    <t>RVKS3000.11G</t>
  </si>
  <si>
    <t>RVKS3000.16G</t>
  </si>
  <si>
    <t>RVKS5000.11G</t>
  </si>
  <si>
    <t>RVKS5000.16G</t>
  </si>
  <si>
    <t>RVKS8000.11G</t>
  </si>
  <si>
    <t>RVKS8000.16G</t>
  </si>
  <si>
    <t>RVKS10000.11G</t>
  </si>
  <si>
    <t>RVKS10000.16G</t>
  </si>
  <si>
    <t>RVPA0050.10G</t>
  </si>
  <si>
    <t>RVPA0100.10G</t>
  </si>
  <si>
    <t>RVPA0200.10G</t>
  </si>
  <si>
    <t>RVPA0300.10G</t>
  </si>
  <si>
    <t>RVPA0300.16G</t>
  </si>
  <si>
    <t>RVPA0500.11G</t>
  </si>
  <si>
    <t>RVPA0500.16G</t>
  </si>
  <si>
    <t>RVPA0750.11G</t>
  </si>
  <si>
    <t>RVPA0900-11G</t>
  </si>
  <si>
    <t>RVPA0900.10G</t>
  </si>
  <si>
    <t>RVPA1000.11G</t>
  </si>
  <si>
    <t>RVPA1000.16G</t>
  </si>
  <si>
    <t>RVPA1500.10G</t>
  </si>
  <si>
    <t>RVPA1500.16G</t>
  </si>
  <si>
    <t>RVPA2000.10G-DN80</t>
  </si>
  <si>
    <t>RVPA2000.11G</t>
  </si>
  <si>
    <t>RVPA3000.11G</t>
  </si>
  <si>
    <t>RVPA4000.11G</t>
  </si>
  <si>
    <t>RVPA5000.10G</t>
  </si>
  <si>
    <t>RVPA5000.10G-DN150</t>
  </si>
  <si>
    <t>RVPA5000.11G-DN150</t>
  </si>
  <si>
    <t>RVPA5000.11G-DN200</t>
  </si>
  <si>
    <t>RVPA8000.10-DN150</t>
  </si>
  <si>
    <t>RVPA8000.10-DN200</t>
  </si>
  <si>
    <t>RVPA8000.10G</t>
  </si>
  <si>
    <t>RVPA10000.13G</t>
  </si>
  <si>
    <t>RVSE0015.11P</t>
  </si>
  <si>
    <t>RVSE0050.11P</t>
  </si>
  <si>
    <t>RVGU0050.11P</t>
  </si>
  <si>
    <t>RVSE0100.11G</t>
  </si>
  <si>
    <t>RVSE0100.11P</t>
  </si>
  <si>
    <t>RVMA0120.11G</t>
  </si>
  <si>
    <t>RVSE0200.11G</t>
  </si>
  <si>
    <t>RVMA0250.11G</t>
  </si>
  <si>
    <t>RVSI0250.10G</t>
  </si>
  <si>
    <t>RVSI0270.11P</t>
  </si>
  <si>
    <t>RVNU0270.11G</t>
  </si>
  <si>
    <t>RVMA0270.11P</t>
  </si>
  <si>
    <t>RVSE0270.11G</t>
  </si>
  <si>
    <t>RVSE0270.11P</t>
  </si>
  <si>
    <t>RVSE0500.11G</t>
  </si>
  <si>
    <t>RV500P11</t>
  </si>
  <si>
    <t>RVCS0500.11G</t>
  </si>
  <si>
    <t>RVMA0500.10G</t>
  </si>
  <si>
    <t>RVMA0500.10P</t>
  </si>
  <si>
    <t>RVMA0500.11G</t>
  </si>
  <si>
    <t>RVMA0500.11P</t>
  </si>
  <si>
    <t>RVMAT0500.11G</t>
  </si>
  <si>
    <t>RVMAT0500.11P</t>
  </si>
  <si>
    <t>RVSE710.11G</t>
  </si>
  <si>
    <t>RVSE0900.11G</t>
  </si>
  <si>
    <t>RVMAT0900.11G</t>
  </si>
  <si>
    <t>RVNU0900.11G</t>
  </si>
  <si>
    <t>RVMA0900.11G</t>
  </si>
  <si>
    <t>RVMA1000.10.7G</t>
  </si>
  <si>
    <t>RVIN1000.12G</t>
  </si>
  <si>
    <t>RVSE1000.10,67G</t>
  </si>
  <si>
    <t>RVSE1500.15G</t>
  </si>
  <si>
    <t>RVSE2000.10G</t>
  </si>
  <si>
    <t>RVRO10000.16G</t>
  </si>
  <si>
    <t>RVCH0300.10D</t>
  </si>
  <si>
    <t>RVSA0500.10B</t>
  </si>
  <si>
    <t>RVMAS0500.10G</t>
  </si>
  <si>
    <t>RVES1000.E</t>
  </si>
  <si>
    <t>RVECS1000</t>
  </si>
  <si>
    <t>RVECS1500</t>
  </si>
  <si>
    <t>RVES1500</t>
  </si>
  <si>
    <t>RVES2000</t>
  </si>
  <si>
    <t>RVES2000.E</t>
  </si>
  <si>
    <t>RVEC6000</t>
  </si>
  <si>
    <t>RVES8000</t>
  </si>
  <si>
    <t>RVEC10000.04I</t>
  </si>
  <si>
    <t>RVPA0500E.11G</t>
  </si>
  <si>
    <t>RVPA5000.10I</t>
  </si>
  <si>
    <t>RVPA10000.13I</t>
  </si>
  <si>
    <t>RVPA10000.15I</t>
  </si>
  <si>
    <t>M16x70</t>
  </si>
  <si>
    <t>M16x100</t>
  </si>
  <si>
    <t>M16x120</t>
  </si>
  <si>
    <t>M20X80</t>
  </si>
  <si>
    <t>M20x130</t>
  </si>
  <si>
    <t>10000-M</t>
  </si>
  <si>
    <t>CHAAC.D3</t>
  </si>
  <si>
    <t>CSS15</t>
  </si>
  <si>
    <t>CSS17</t>
  </si>
  <si>
    <t>CSS20</t>
  </si>
  <si>
    <t>CSS29</t>
  </si>
  <si>
    <t>CSS36</t>
  </si>
  <si>
    <t>CSS23</t>
  </si>
  <si>
    <t>CSS38</t>
  </si>
  <si>
    <t>CO0709</t>
  </si>
  <si>
    <t>CO0911</t>
  </si>
  <si>
    <t>CO1113</t>
  </si>
  <si>
    <t>CO1315</t>
  </si>
  <si>
    <t>CO1518</t>
  </si>
  <si>
    <t>CO1720</t>
  </si>
  <si>
    <t>CO1821</t>
  </si>
  <si>
    <t>CO2023</t>
  </si>
  <si>
    <t>CO2327</t>
  </si>
  <si>
    <t>CO2528</t>
  </si>
  <si>
    <t>CO2731</t>
  </si>
  <si>
    <t>CO3034</t>
  </si>
  <si>
    <t>CV1016</t>
  </si>
  <si>
    <t>CV1320</t>
  </si>
  <si>
    <t>CV4043</t>
  </si>
  <si>
    <t>CV3252</t>
  </si>
  <si>
    <t>CV44-47</t>
  </si>
  <si>
    <t>ZTOE43</t>
  </si>
  <si>
    <t>CV36-39</t>
  </si>
  <si>
    <t>CV32-35</t>
  </si>
  <si>
    <t>CV60-63</t>
  </si>
  <si>
    <t>CV64-67</t>
  </si>
  <si>
    <t>CONS800</t>
  </si>
  <si>
    <t>ETR1</t>
  </si>
  <si>
    <t>ETR114</t>
  </si>
  <si>
    <t>ETR112</t>
  </si>
  <si>
    <t>ETR2</t>
  </si>
  <si>
    <t>ETR212</t>
  </si>
  <si>
    <t>ETR3</t>
  </si>
  <si>
    <t>ETR4</t>
  </si>
  <si>
    <t>ETR5</t>
  </si>
  <si>
    <t>ETR6</t>
  </si>
  <si>
    <t>0207000815</t>
  </si>
  <si>
    <t>EQ90-RAIL3824</t>
  </si>
  <si>
    <t>RAIL3840x3</t>
  </si>
  <si>
    <t>RAIL4060X4</t>
  </si>
  <si>
    <t>RM6</t>
  </si>
  <si>
    <t>RM8</t>
  </si>
  <si>
    <t>RM10</t>
  </si>
  <si>
    <t>TF051</t>
  </si>
  <si>
    <t>TF061</t>
  </si>
  <si>
    <t>TF081</t>
  </si>
  <si>
    <t>TF101</t>
  </si>
  <si>
    <t>TF121</t>
  </si>
  <si>
    <t>ER01L100</t>
  </si>
  <si>
    <t>ER01L300</t>
  </si>
  <si>
    <t>ER01L800</t>
  </si>
  <si>
    <t>CV3/8</t>
  </si>
  <si>
    <t>CV1/2</t>
  </si>
  <si>
    <t>CV3/4</t>
  </si>
  <si>
    <t>CV1</t>
  </si>
  <si>
    <t>CV114</t>
  </si>
  <si>
    <t>CV112</t>
  </si>
  <si>
    <t>CV2</t>
  </si>
  <si>
    <t>CV212</t>
  </si>
  <si>
    <t>CV3</t>
  </si>
  <si>
    <t>CV4</t>
  </si>
  <si>
    <t>M20x50</t>
  </si>
  <si>
    <t>THM6x20</t>
  </si>
  <si>
    <t>THM6x30</t>
  </si>
  <si>
    <t>CHC8x20</t>
  </si>
  <si>
    <t>THM10x50</t>
  </si>
  <si>
    <t>M16x40</t>
  </si>
  <si>
    <t>FC38.1000</t>
  </si>
  <si>
    <t>FC12.500</t>
  </si>
  <si>
    <t>FC12.1500</t>
  </si>
  <si>
    <t>FC12.2000</t>
  </si>
  <si>
    <t>FC12.3000</t>
  </si>
  <si>
    <t>FC12.4000</t>
  </si>
  <si>
    <t>FC12.5000</t>
  </si>
  <si>
    <t>FC12.6000</t>
  </si>
  <si>
    <t>FC12.8000</t>
  </si>
  <si>
    <t>FC34.500</t>
  </si>
  <si>
    <t>FC34.1500</t>
  </si>
  <si>
    <t>FC34.2000</t>
  </si>
  <si>
    <t>FC34.2500</t>
  </si>
  <si>
    <t>FC34.3000</t>
  </si>
  <si>
    <t>FC34.4000</t>
  </si>
  <si>
    <t>FC34.5000</t>
  </si>
  <si>
    <t>FC34.6000</t>
  </si>
  <si>
    <t>FC1.500</t>
  </si>
  <si>
    <t>FC1.1500</t>
  </si>
  <si>
    <t>FC1.2000</t>
  </si>
  <si>
    <t>FC1.2500</t>
  </si>
  <si>
    <t>FC1.3000</t>
  </si>
  <si>
    <t>FC1.3500</t>
  </si>
  <si>
    <t>FC1.4000</t>
  </si>
  <si>
    <t>FC1.5000</t>
  </si>
  <si>
    <t>FC1.6000</t>
  </si>
  <si>
    <t>FC1.10000</t>
  </si>
  <si>
    <t>FC114.1000</t>
  </si>
  <si>
    <t>FC114.1500</t>
  </si>
  <si>
    <t>FC114.2000</t>
  </si>
  <si>
    <t>FC114.2500</t>
  </si>
  <si>
    <t>FC114.3000</t>
  </si>
  <si>
    <t>FC114.4000</t>
  </si>
  <si>
    <t>FC114.5000</t>
  </si>
  <si>
    <t>FC114.9000</t>
  </si>
  <si>
    <t>FC114.10000</t>
  </si>
  <si>
    <t>FC112.500</t>
  </si>
  <si>
    <t>FC112.1000</t>
  </si>
  <si>
    <t>FC112.1500</t>
  </si>
  <si>
    <t>FC112.2000</t>
  </si>
  <si>
    <t>FC112.2500</t>
  </si>
  <si>
    <t>FC112.3000</t>
  </si>
  <si>
    <t>FC2.500</t>
  </si>
  <si>
    <t>FC2.1000</t>
  </si>
  <si>
    <t>FC2.1500</t>
  </si>
  <si>
    <t>FC2.2000</t>
  </si>
  <si>
    <t>FC2.2500</t>
  </si>
  <si>
    <t>FC2.3000</t>
  </si>
  <si>
    <t>FC2.4000</t>
  </si>
  <si>
    <t>FC2.10000</t>
  </si>
  <si>
    <t>FC2.15000</t>
  </si>
  <si>
    <t>FC212.1000</t>
  </si>
  <si>
    <t>FC212.1500</t>
  </si>
  <si>
    <t>FI12.1000</t>
  </si>
  <si>
    <t>FI12.2000</t>
  </si>
  <si>
    <t>FI12.3000</t>
  </si>
  <si>
    <t>FI34.1000</t>
  </si>
  <si>
    <t>FI34.2000</t>
  </si>
  <si>
    <t>FI34.2800</t>
  </si>
  <si>
    <t>FI1.1000</t>
  </si>
  <si>
    <t>FI1.1250</t>
  </si>
  <si>
    <t>FI114.500</t>
  </si>
  <si>
    <t>FI114.1200</t>
  </si>
  <si>
    <t>FI114.2000</t>
  </si>
  <si>
    <t>FI112.2000</t>
  </si>
  <si>
    <t>FI2.1500</t>
  </si>
  <si>
    <t>FI2.2000</t>
  </si>
  <si>
    <t>FI212.1000</t>
  </si>
  <si>
    <t>FI3.1000</t>
  </si>
  <si>
    <t>MAXAIR10</t>
  </si>
  <si>
    <t>MAXAIR13</t>
  </si>
  <si>
    <t>MAXAIR16</t>
  </si>
  <si>
    <t>MAXAIR19</t>
  </si>
  <si>
    <t>MAXAIR25</t>
  </si>
  <si>
    <t>MAXAIR32</t>
  </si>
  <si>
    <t>RILSAN-24</t>
  </si>
  <si>
    <t>RILSAN-46</t>
  </si>
  <si>
    <t>RILSAN-68</t>
  </si>
  <si>
    <t>RILSAN-810</t>
  </si>
  <si>
    <t>RILSAN-1012</t>
  </si>
  <si>
    <t>RILSAN-1214</t>
  </si>
  <si>
    <t>TRICO06</t>
  </si>
  <si>
    <t>TRICO08</t>
  </si>
  <si>
    <t>TRICO10</t>
  </si>
  <si>
    <t>TRICO12</t>
  </si>
  <si>
    <t>TRICO16</t>
  </si>
  <si>
    <t>TRICO32</t>
  </si>
  <si>
    <t>530A1</t>
  </si>
  <si>
    <t>530A12</t>
  </si>
  <si>
    <t>530A2</t>
  </si>
  <si>
    <t>530A212</t>
  </si>
  <si>
    <t>530A3</t>
  </si>
  <si>
    <t>530AN4</t>
  </si>
  <si>
    <t>530-300-12</t>
  </si>
  <si>
    <t>530-500-12</t>
  </si>
  <si>
    <t>530-600-12</t>
  </si>
  <si>
    <t>530G1</t>
  </si>
  <si>
    <t>530G1-1000</t>
  </si>
  <si>
    <t>530G112-100</t>
  </si>
  <si>
    <t>530G112-150</t>
  </si>
  <si>
    <t>530G112-200</t>
  </si>
  <si>
    <t>530G112-80</t>
  </si>
  <si>
    <t>530G114</t>
  </si>
  <si>
    <t>530G114-100</t>
  </si>
  <si>
    <t>530G1-150</t>
  </si>
  <si>
    <t>530G12</t>
  </si>
  <si>
    <t>530G1-200</t>
  </si>
  <si>
    <t>530G12-100</t>
  </si>
  <si>
    <t>530G12-150</t>
  </si>
  <si>
    <t>530G12-200</t>
  </si>
  <si>
    <t>530G1-500</t>
  </si>
  <si>
    <t>530G1-700</t>
  </si>
  <si>
    <t>530G1-80</t>
  </si>
  <si>
    <t>530G2-100</t>
  </si>
  <si>
    <t>530G212-300</t>
  </si>
  <si>
    <t>530G212-80</t>
  </si>
  <si>
    <t>530G2-150</t>
  </si>
  <si>
    <t>530G2-200</t>
  </si>
  <si>
    <t>530G2-300</t>
  </si>
  <si>
    <t>530G2-400</t>
  </si>
  <si>
    <t>530G34</t>
  </si>
  <si>
    <t>530G34-100</t>
  </si>
  <si>
    <t>530G34-150</t>
  </si>
  <si>
    <t>530G34-200</t>
  </si>
  <si>
    <t>530G34-300</t>
  </si>
  <si>
    <t>530G34-400</t>
  </si>
  <si>
    <t>530G34-500</t>
  </si>
  <si>
    <t>530G38-150</t>
  </si>
  <si>
    <t>530G38-200</t>
  </si>
  <si>
    <t>530G38-300</t>
  </si>
  <si>
    <t>530G4-150</t>
  </si>
  <si>
    <t>300G1</t>
  </si>
  <si>
    <t>300G112</t>
  </si>
  <si>
    <t>300G114</t>
  </si>
  <si>
    <t>300G12</t>
  </si>
  <si>
    <t>300G14</t>
  </si>
  <si>
    <t>300G2</t>
  </si>
  <si>
    <t>300G212</t>
  </si>
  <si>
    <t>300G3</t>
  </si>
  <si>
    <t>300G34</t>
  </si>
  <si>
    <t>300G38</t>
  </si>
  <si>
    <t>300G4</t>
  </si>
  <si>
    <t>290G1</t>
  </si>
  <si>
    <t>290G112</t>
  </si>
  <si>
    <t>290G114</t>
  </si>
  <si>
    <t>290G12</t>
  </si>
  <si>
    <t>290G14</t>
  </si>
  <si>
    <t>290G18</t>
  </si>
  <si>
    <t>290G2</t>
  </si>
  <si>
    <t>290G212</t>
  </si>
  <si>
    <t>290G3</t>
  </si>
  <si>
    <t>290G34</t>
  </si>
  <si>
    <t>290G38</t>
  </si>
  <si>
    <t>BPT803</t>
  </si>
  <si>
    <t>90G1</t>
  </si>
  <si>
    <t>90G112</t>
  </si>
  <si>
    <t>90G114</t>
  </si>
  <si>
    <t>90G12</t>
  </si>
  <si>
    <t>90G14</t>
  </si>
  <si>
    <t>90G18</t>
  </si>
  <si>
    <t>90G2</t>
  </si>
  <si>
    <t>90G212</t>
  </si>
  <si>
    <t>90G3</t>
  </si>
  <si>
    <t>90G34</t>
  </si>
  <si>
    <t>90G38</t>
  </si>
  <si>
    <t>92G1</t>
  </si>
  <si>
    <t>92G112</t>
  </si>
  <si>
    <t>92G114</t>
  </si>
  <si>
    <t>92G12</t>
  </si>
  <si>
    <t>92G14</t>
  </si>
  <si>
    <t>92G18</t>
  </si>
  <si>
    <t>92G2</t>
  </si>
  <si>
    <t>92G212</t>
  </si>
  <si>
    <t>92G3</t>
  </si>
  <si>
    <t>92G34</t>
  </si>
  <si>
    <t>92G38</t>
  </si>
  <si>
    <t>3G1</t>
  </si>
  <si>
    <t>3G112</t>
  </si>
  <si>
    <t>3G12</t>
  </si>
  <si>
    <t>3G14</t>
  </si>
  <si>
    <t>3G2</t>
  </si>
  <si>
    <t>3G212</t>
  </si>
  <si>
    <t>3G3</t>
  </si>
  <si>
    <t>3G34</t>
  </si>
  <si>
    <t>3G38</t>
  </si>
  <si>
    <t>2G1</t>
  </si>
  <si>
    <t>2G112</t>
  </si>
  <si>
    <t>2G114</t>
  </si>
  <si>
    <t>2G12</t>
  </si>
  <si>
    <t>2G14</t>
  </si>
  <si>
    <t>2G2</t>
  </si>
  <si>
    <t>2G212</t>
  </si>
  <si>
    <t>2G3</t>
  </si>
  <si>
    <t>2G34</t>
  </si>
  <si>
    <t>2G38</t>
  </si>
  <si>
    <t>41G1</t>
  </si>
  <si>
    <t>41G112</t>
  </si>
  <si>
    <t>41G114</t>
  </si>
  <si>
    <t>41G14</t>
  </si>
  <si>
    <t>41G2</t>
  </si>
  <si>
    <t>41G212</t>
  </si>
  <si>
    <t>3G114</t>
  </si>
  <si>
    <t>1G1</t>
  </si>
  <si>
    <t>1G112</t>
  </si>
  <si>
    <t>1G114</t>
  </si>
  <si>
    <t>1G12</t>
  </si>
  <si>
    <t>1G14</t>
  </si>
  <si>
    <t>1G2</t>
  </si>
  <si>
    <t>1G212</t>
  </si>
  <si>
    <t>1G3</t>
  </si>
  <si>
    <t>1G34</t>
  </si>
  <si>
    <t>1G38</t>
  </si>
  <si>
    <t>40G1</t>
  </si>
  <si>
    <t>40G112</t>
  </si>
  <si>
    <t>40G114</t>
  </si>
  <si>
    <t>40G12</t>
  </si>
  <si>
    <t>40G14</t>
  </si>
  <si>
    <t>40G2</t>
  </si>
  <si>
    <t>40G212</t>
  </si>
  <si>
    <t>40G3</t>
  </si>
  <si>
    <t>40G34</t>
  </si>
  <si>
    <t>40G38</t>
  </si>
  <si>
    <t>180G1</t>
  </si>
  <si>
    <t>180G112</t>
  </si>
  <si>
    <t>180G114</t>
  </si>
  <si>
    <t>180G12</t>
  </si>
  <si>
    <t>180G14</t>
  </si>
  <si>
    <t>180G2</t>
  </si>
  <si>
    <t>180G34</t>
  </si>
  <si>
    <t>180G38</t>
  </si>
  <si>
    <t>220G1</t>
  </si>
  <si>
    <t>220G34</t>
  </si>
  <si>
    <t>220G38</t>
  </si>
  <si>
    <t>220N12</t>
  </si>
  <si>
    <t>280G1</t>
  </si>
  <si>
    <t>280G112</t>
  </si>
  <si>
    <t>280G114</t>
  </si>
  <si>
    <t>280G12</t>
  </si>
  <si>
    <t>280G14</t>
  </si>
  <si>
    <t>280G18</t>
  </si>
  <si>
    <t>280G2</t>
  </si>
  <si>
    <t>280G212</t>
  </si>
  <si>
    <t>280G3</t>
  </si>
  <si>
    <t>280G34</t>
  </si>
  <si>
    <t>280G38</t>
  </si>
  <si>
    <t>280G4</t>
  </si>
  <si>
    <t>245G112</t>
  </si>
  <si>
    <t>245G1121</t>
  </si>
  <si>
    <t>245G112114</t>
  </si>
  <si>
    <t>245G11212</t>
  </si>
  <si>
    <t>245G11234</t>
  </si>
  <si>
    <t>245G1141</t>
  </si>
  <si>
    <t>245G11412</t>
  </si>
  <si>
    <t>245G11434</t>
  </si>
  <si>
    <t>245G1214</t>
  </si>
  <si>
    <t>245G1218</t>
  </si>
  <si>
    <t>245G1238</t>
  </si>
  <si>
    <t>245G134</t>
  </si>
  <si>
    <t>245G21</t>
  </si>
  <si>
    <t>245G2112</t>
  </si>
  <si>
    <t>245G2114</t>
  </si>
  <si>
    <t>245G212112</t>
  </si>
  <si>
    <t>245G2122</t>
  </si>
  <si>
    <t>245G3112</t>
  </si>
  <si>
    <t>245G32</t>
  </si>
  <si>
    <t>245G3212</t>
  </si>
  <si>
    <t>245G3412</t>
  </si>
  <si>
    <t>245G3414</t>
  </si>
  <si>
    <t>245G3438</t>
  </si>
  <si>
    <t>245G3814</t>
  </si>
  <si>
    <t>245G3818</t>
  </si>
  <si>
    <t>270G1</t>
  </si>
  <si>
    <t>270G112</t>
  </si>
  <si>
    <t>270G114</t>
  </si>
  <si>
    <t>270G12</t>
  </si>
  <si>
    <t>270G14</t>
  </si>
  <si>
    <t>270G18</t>
  </si>
  <si>
    <t>270G2</t>
  </si>
  <si>
    <t>270G212</t>
  </si>
  <si>
    <t>270G3</t>
  </si>
  <si>
    <t>270G34</t>
  </si>
  <si>
    <t>270G38</t>
  </si>
  <si>
    <t>240G112</t>
  </si>
  <si>
    <t>240G1121</t>
  </si>
  <si>
    <t>240G112114</t>
  </si>
  <si>
    <t>240G11212</t>
  </si>
  <si>
    <t>240G11234</t>
  </si>
  <si>
    <t>240G1141</t>
  </si>
  <si>
    <t>240G11412</t>
  </si>
  <si>
    <t>240G11434</t>
  </si>
  <si>
    <t>240G11438</t>
  </si>
  <si>
    <t>240G1214</t>
  </si>
  <si>
    <t>240G1238</t>
  </si>
  <si>
    <t>240G134</t>
  </si>
  <si>
    <t>240G138</t>
  </si>
  <si>
    <t>240G1418</t>
  </si>
  <si>
    <t>240G21</t>
  </si>
  <si>
    <t>240G2112</t>
  </si>
  <si>
    <t>240G2114</t>
  </si>
  <si>
    <t>240G212</t>
  </si>
  <si>
    <t>240G212112</t>
  </si>
  <si>
    <t>240G2122</t>
  </si>
  <si>
    <t>240G32</t>
  </si>
  <si>
    <t>240G3212</t>
  </si>
  <si>
    <t>240G3412</t>
  </si>
  <si>
    <t>240G3414</t>
  </si>
  <si>
    <t>240G3438</t>
  </si>
  <si>
    <t>240G3814</t>
  </si>
  <si>
    <t>240G3818</t>
  </si>
  <si>
    <t>240G42</t>
  </si>
  <si>
    <t>240G4212</t>
  </si>
  <si>
    <t>240G43</t>
  </si>
  <si>
    <t>246G112</t>
  </si>
  <si>
    <t>246G1121</t>
  </si>
  <si>
    <t>246G112114</t>
  </si>
  <si>
    <t>246G11234</t>
  </si>
  <si>
    <t>246G1141</t>
  </si>
  <si>
    <t>246G11412</t>
  </si>
  <si>
    <t>246G11434</t>
  </si>
  <si>
    <t>246G1214</t>
  </si>
  <si>
    <t>246G1238</t>
  </si>
  <si>
    <t>246G134</t>
  </si>
  <si>
    <t>246G138</t>
  </si>
  <si>
    <t>246G1418</t>
  </si>
  <si>
    <t>246G21</t>
  </si>
  <si>
    <t>246G2112</t>
  </si>
  <si>
    <t>246G2114</t>
  </si>
  <si>
    <t>246G212</t>
  </si>
  <si>
    <t>246G212112</t>
  </si>
  <si>
    <t>246G2122</t>
  </si>
  <si>
    <t>246G32</t>
  </si>
  <si>
    <t>246G3212</t>
  </si>
  <si>
    <t>246G3412</t>
  </si>
  <si>
    <t>246G3438</t>
  </si>
  <si>
    <t>246G3814</t>
  </si>
  <si>
    <t>246G3818</t>
  </si>
  <si>
    <t>241G112</t>
  </si>
  <si>
    <t>241G1121</t>
  </si>
  <si>
    <t>241G112114</t>
  </si>
  <si>
    <t>241G11212</t>
  </si>
  <si>
    <t>241G11234</t>
  </si>
  <si>
    <t>241G1141</t>
  </si>
  <si>
    <t>241G11412</t>
  </si>
  <si>
    <t>241G11434</t>
  </si>
  <si>
    <t>241G1214</t>
  </si>
  <si>
    <t>241G1218</t>
  </si>
  <si>
    <t>241G1238</t>
  </si>
  <si>
    <t>241G134</t>
  </si>
  <si>
    <t>241G138</t>
  </si>
  <si>
    <t>241G1418</t>
  </si>
  <si>
    <t>241G212112</t>
  </si>
  <si>
    <t>241G2122</t>
  </si>
  <si>
    <t>241G32</t>
  </si>
  <si>
    <t>241G3212</t>
  </si>
  <si>
    <t>241G3412</t>
  </si>
  <si>
    <t>241G3414</t>
  </si>
  <si>
    <t>241G3438</t>
  </si>
  <si>
    <t>241G3814</t>
  </si>
  <si>
    <t>241G3818</t>
  </si>
  <si>
    <t>241G42</t>
  </si>
  <si>
    <t>241G4212</t>
  </si>
  <si>
    <t>241G43</t>
  </si>
  <si>
    <t>130G1</t>
  </si>
  <si>
    <t>130G112</t>
  </si>
  <si>
    <t>130G114</t>
  </si>
  <si>
    <t>130G12</t>
  </si>
  <si>
    <t>130G14</t>
  </si>
  <si>
    <t>130G2</t>
  </si>
  <si>
    <t>130G212</t>
  </si>
  <si>
    <t>130G3</t>
  </si>
  <si>
    <t>130G34</t>
  </si>
  <si>
    <t>130G38</t>
  </si>
  <si>
    <t>131G1</t>
  </si>
  <si>
    <t>131G112</t>
  </si>
  <si>
    <t>131G114</t>
  </si>
  <si>
    <t>131G12</t>
  </si>
  <si>
    <t>131G2</t>
  </si>
  <si>
    <t>131G212</t>
  </si>
  <si>
    <t>131G34</t>
  </si>
  <si>
    <t>131G38</t>
  </si>
  <si>
    <t>132G1</t>
  </si>
  <si>
    <t>132G112</t>
  </si>
  <si>
    <t>132G114</t>
  </si>
  <si>
    <t>132G12</t>
  </si>
  <si>
    <t>132G2</t>
  </si>
  <si>
    <t>132G34</t>
  </si>
  <si>
    <t>130RG1121</t>
  </si>
  <si>
    <t>130RG1121112</t>
  </si>
  <si>
    <t>130RG11234112</t>
  </si>
  <si>
    <t>130RG1141114</t>
  </si>
  <si>
    <t>130RG11412114</t>
  </si>
  <si>
    <t>130RG11434114</t>
  </si>
  <si>
    <t>130RG123812</t>
  </si>
  <si>
    <t>130RG1341</t>
  </si>
  <si>
    <t>130RG21122</t>
  </si>
  <si>
    <t>130RG21142</t>
  </si>
  <si>
    <t>130RG212</t>
  </si>
  <si>
    <t>130RG2122</t>
  </si>
  <si>
    <t>130RG2122212</t>
  </si>
  <si>
    <t>130RG2342</t>
  </si>
  <si>
    <t>130RG341234</t>
  </si>
  <si>
    <t>130RG343834</t>
  </si>
  <si>
    <t>T3GM1</t>
  </si>
  <si>
    <t>T3GM112</t>
  </si>
  <si>
    <t>T3GM114</t>
  </si>
  <si>
    <t>T3GM12</t>
  </si>
  <si>
    <t>T3GM2</t>
  </si>
  <si>
    <t>T3GM34</t>
  </si>
  <si>
    <t>T3GM4</t>
  </si>
  <si>
    <t>344G1</t>
  </si>
  <si>
    <t>344G112</t>
  </si>
  <si>
    <t>344G114</t>
  </si>
  <si>
    <t>344G12</t>
  </si>
  <si>
    <t>344G14</t>
  </si>
  <si>
    <t>344G2</t>
  </si>
  <si>
    <t>344G34</t>
  </si>
  <si>
    <t>344G38</t>
  </si>
  <si>
    <t>340G1</t>
  </si>
  <si>
    <t>340G112</t>
  </si>
  <si>
    <t>340G114</t>
  </si>
  <si>
    <t>340G12</t>
  </si>
  <si>
    <t>340G14</t>
  </si>
  <si>
    <t>340G2</t>
  </si>
  <si>
    <t>340G212</t>
  </si>
  <si>
    <t>340G3</t>
  </si>
  <si>
    <t>340G34</t>
  </si>
  <si>
    <t>340G38</t>
  </si>
  <si>
    <t>96G1</t>
  </si>
  <si>
    <t>96G112</t>
  </si>
  <si>
    <t>96G114</t>
  </si>
  <si>
    <t>96G12</t>
  </si>
  <si>
    <t>96G2</t>
  </si>
  <si>
    <t>96G212</t>
  </si>
  <si>
    <t>96G3</t>
  </si>
  <si>
    <t>96G34</t>
  </si>
  <si>
    <t>341G1</t>
  </si>
  <si>
    <t>341G112</t>
  </si>
  <si>
    <t>341G114</t>
  </si>
  <si>
    <t>341G12</t>
  </si>
  <si>
    <t>341G14</t>
  </si>
  <si>
    <t>341G2</t>
  </si>
  <si>
    <t>341G212</t>
  </si>
  <si>
    <t>341G3</t>
  </si>
  <si>
    <t>341G34</t>
  </si>
  <si>
    <t>341G38</t>
  </si>
  <si>
    <t>341G4</t>
  </si>
  <si>
    <t>98G212</t>
  </si>
  <si>
    <t>98G3</t>
  </si>
  <si>
    <t>F50160</t>
  </si>
  <si>
    <t>F50220</t>
  </si>
  <si>
    <t>F50280</t>
  </si>
  <si>
    <t>F50340</t>
  </si>
  <si>
    <t>F50420</t>
  </si>
  <si>
    <t>F50480</t>
  </si>
  <si>
    <t>F50600</t>
  </si>
  <si>
    <t>F50800</t>
  </si>
  <si>
    <t>F25160</t>
  </si>
  <si>
    <t>F25220</t>
  </si>
  <si>
    <t>F25280</t>
  </si>
  <si>
    <t>F45160</t>
  </si>
  <si>
    <t>F45220</t>
  </si>
  <si>
    <t>F45228</t>
  </si>
  <si>
    <t>F45340</t>
  </si>
  <si>
    <t>F45420</t>
  </si>
  <si>
    <t>F45480</t>
  </si>
  <si>
    <t>F45600</t>
  </si>
  <si>
    <t>F45800</t>
  </si>
  <si>
    <t>F45160S</t>
  </si>
  <si>
    <t>F45220S</t>
  </si>
  <si>
    <t>F45280S</t>
  </si>
  <si>
    <t>F45340S</t>
  </si>
  <si>
    <t>F45420S</t>
  </si>
  <si>
    <t>F45480S</t>
  </si>
  <si>
    <t>F45600S</t>
  </si>
  <si>
    <t>F90160</t>
  </si>
  <si>
    <t>F90220</t>
  </si>
  <si>
    <t>F90280</t>
  </si>
  <si>
    <t>F90340</t>
  </si>
  <si>
    <t>F90420</t>
  </si>
  <si>
    <t>F90480</t>
  </si>
  <si>
    <t>F90600</t>
  </si>
  <si>
    <t>F90800</t>
  </si>
  <si>
    <t>F90160S</t>
  </si>
  <si>
    <t>F90220S</t>
  </si>
  <si>
    <t>F90280S</t>
  </si>
  <si>
    <t>F90340S</t>
  </si>
  <si>
    <t>F90420S</t>
  </si>
  <si>
    <t>F90480S</t>
  </si>
  <si>
    <t>F90600S</t>
  </si>
  <si>
    <t>F40160</t>
  </si>
  <si>
    <t>F4016S</t>
  </si>
  <si>
    <t>F40221</t>
  </si>
  <si>
    <t>F4022S</t>
  </si>
  <si>
    <t>F40280</t>
  </si>
  <si>
    <t>F41160</t>
  </si>
  <si>
    <t>F41220</t>
  </si>
  <si>
    <t>F41280</t>
  </si>
  <si>
    <t>F41340</t>
  </si>
  <si>
    <t>F41420</t>
  </si>
  <si>
    <t>F41480</t>
  </si>
  <si>
    <t>F41600</t>
  </si>
  <si>
    <t>F41601</t>
  </si>
  <si>
    <t>F42160</t>
  </si>
  <si>
    <t>F42220</t>
  </si>
  <si>
    <t>F42280</t>
  </si>
  <si>
    <t>F42340</t>
  </si>
  <si>
    <t>F42420</t>
  </si>
  <si>
    <t>F42480</t>
  </si>
  <si>
    <t>F42600</t>
  </si>
  <si>
    <t>F42601</t>
  </si>
  <si>
    <t>F33160</t>
  </si>
  <si>
    <t>F33220</t>
  </si>
  <si>
    <t>F33280</t>
  </si>
  <si>
    <t>F33340</t>
  </si>
  <si>
    <t>F33420</t>
  </si>
  <si>
    <t>F33480</t>
  </si>
  <si>
    <t>F33600</t>
  </si>
  <si>
    <t>F20160</t>
  </si>
  <si>
    <t>F20220</t>
  </si>
  <si>
    <t>F20280</t>
  </si>
  <si>
    <t>F20340</t>
  </si>
  <si>
    <t>F20420</t>
  </si>
  <si>
    <t>F20480</t>
  </si>
  <si>
    <t>F20600</t>
  </si>
  <si>
    <t>F20800</t>
  </si>
  <si>
    <t>EQF800</t>
  </si>
  <si>
    <t>F21160</t>
  </si>
  <si>
    <t>F21220</t>
  </si>
  <si>
    <t>F21280</t>
  </si>
  <si>
    <t>F21340</t>
  </si>
  <si>
    <t>F21420</t>
  </si>
  <si>
    <t>F21480</t>
  </si>
  <si>
    <t>F21600</t>
  </si>
  <si>
    <t>F25221</t>
  </si>
  <si>
    <t>F25281</t>
  </si>
  <si>
    <t>F25282</t>
  </si>
  <si>
    <t>F25341</t>
  </si>
  <si>
    <t>F25342</t>
  </si>
  <si>
    <t>F25348</t>
  </si>
  <si>
    <t>F25421</t>
  </si>
  <si>
    <t>F25422</t>
  </si>
  <si>
    <t>F25423</t>
  </si>
  <si>
    <t>F25428</t>
  </si>
  <si>
    <t>F25481</t>
  </si>
  <si>
    <t>F25482</t>
  </si>
  <si>
    <t>F25483</t>
  </si>
  <si>
    <t>F25484</t>
  </si>
  <si>
    <t>F25488</t>
  </si>
  <si>
    <t>F25622</t>
  </si>
  <si>
    <t>F25628</t>
  </si>
  <si>
    <t>F25634</t>
  </si>
  <si>
    <t>F25642</t>
  </si>
  <si>
    <t>F25648</t>
  </si>
  <si>
    <t>F25842</t>
  </si>
  <si>
    <t>F25848</t>
  </si>
  <si>
    <t>F25860</t>
  </si>
  <si>
    <t>F22160</t>
  </si>
  <si>
    <t>F22221</t>
  </si>
  <si>
    <t>F22223</t>
  </si>
  <si>
    <t>F22280</t>
  </si>
  <si>
    <t>F22281</t>
  </si>
  <si>
    <t>F22283</t>
  </si>
  <si>
    <t>F23340</t>
  </si>
  <si>
    <t>F23420</t>
  </si>
  <si>
    <t>F23480</t>
  </si>
  <si>
    <t>F23600</t>
  </si>
  <si>
    <t>F23601</t>
  </si>
  <si>
    <t>F24160</t>
  </si>
  <si>
    <t>F24220</t>
  </si>
  <si>
    <t>F24280</t>
  </si>
  <si>
    <t>F24340</t>
  </si>
  <si>
    <t>F24420</t>
  </si>
  <si>
    <t>F24480</t>
  </si>
  <si>
    <t>F24600</t>
  </si>
  <si>
    <t>F24601</t>
  </si>
  <si>
    <t>F15160</t>
  </si>
  <si>
    <t>F15220</t>
  </si>
  <si>
    <t>F15280</t>
  </si>
  <si>
    <t>F15340</t>
  </si>
  <si>
    <t>F15420</t>
  </si>
  <si>
    <t>F15480</t>
  </si>
  <si>
    <t>F15600</t>
  </si>
  <si>
    <t>F15800</t>
  </si>
  <si>
    <t>F13160</t>
  </si>
  <si>
    <t>F13221</t>
  </si>
  <si>
    <t>F13223</t>
  </si>
  <si>
    <t>F13283</t>
  </si>
  <si>
    <t>F13281</t>
  </si>
  <si>
    <t>F13280</t>
  </si>
  <si>
    <t>F13341</t>
  </si>
  <si>
    <t>F13343</t>
  </si>
  <si>
    <t>F13340</t>
  </si>
  <si>
    <t>F13421</t>
  </si>
  <si>
    <t>F13423</t>
  </si>
  <si>
    <t>F13420</t>
  </si>
  <si>
    <t>F13481</t>
  </si>
  <si>
    <t>F13483</t>
  </si>
  <si>
    <t>F13480</t>
  </si>
  <si>
    <t>F13601</t>
  </si>
  <si>
    <t>F13603</t>
  </si>
  <si>
    <t>F13600</t>
  </si>
  <si>
    <t>F13801</t>
  </si>
  <si>
    <t>F13803</t>
  </si>
  <si>
    <t>F13800</t>
  </si>
  <si>
    <t>F14221</t>
  </si>
  <si>
    <t>F14281</t>
  </si>
  <si>
    <t>F14282</t>
  </si>
  <si>
    <t>F14341</t>
  </si>
  <si>
    <t>F14342</t>
  </si>
  <si>
    <t>F14348</t>
  </si>
  <si>
    <t>F14421</t>
  </si>
  <si>
    <t>F14422</t>
  </si>
  <si>
    <t>F14423</t>
  </si>
  <si>
    <t>F14428</t>
  </si>
  <si>
    <t>F14481</t>
  </si>
  <si>
    <t>F14482</t>
  </si>
  <si>
    <t>F14483</t>
  </si>
  <si>
    <t>F14484</t>
  </si>
  <si>
    <t>F14488</t>
  </si>
  <si>
    <t>F14601</t>
  </si>
  <si>
    <t>F14603</t>
  </si>
  <si>
    <t>F14622</t>
  </si>
  <si>
    <t>F14628</t>
  </si>
  <si>
    <t>F14642</t>
  </si>
  <si>
    <t>F14648</t>
  </si>
  <si>
    <t>F14842</t>
  </si>
  <si>
    <t>F14848</t>
  </si>
  <si>
    <t>F14860</t>
  </si>
  <si>
    <t>TXS16</t>
  </si>
  <si>
    <t>TXS22</t>
  </si>
  <si>
    <t>TXS28</t>
  </si>
  <si>
    <t>TXS34</t>
  </si>
  <si>
    <t>TXS42</t>
  </si>
  <si>
    <t>TXS48</t>
  </si>
  <si>
    <t>TXS60</t>
  </si>
  <si>
    <t>TXS80</t>
  </si>
  <si>
    <t>REQF080FIXE</t>
  </si>
  <si>
    <t>180R150</t>
  </si>
  <si>
    <t>180R180</t>
  </si>
  <si>
    <t>180R220</t>
  </si>
  <si>
    <t>180R280</t>
  </si>
  <si>
    <t>R30150</t>
  </si>
  <si>
    <t>R30180</t>
  </si>
  <si>
    <t>R30220</t>
  </si>
  <si>
    <t>R30280</t>
  </si>
  <si>
    <t>R30350</t>
  </si>
  <si>
    <t>R30420</t>
  </si>
  <si>
    <t>R30540</t>
  </si>
  <si>
    <t>R30760</t>
  </si>
  <si>
    <t>R30800</t>
  </si>
  <si>
    <t>R30108</t>
  </si>
  <si>
    <t>R30150S</t>
  </si>
  <si>
    <t>R30220S</t>
  </si>
  <si>
    <t>R30280S</t>
  </si>
  <si>
    <t>R30350S</t>
  </si>
  <si>
    <t>R30420S</t>
  </si>
  <si>
    <t>R30540S</t>
  </si>
  <si>
    <t>R30760S</t>
  </si>
  <si>
    <t>R30800S</t>
  </si>
  <si>
    <t>R30108S</t>
  </si>
  <si>
    <t>R60150</t>
  </si>
  <si>
    <t>R60180</t>
  </si>
  <si>
    <t>R60220</t>
  </si>
  <si>
    <t>R60280</t>
  </si>
  <si>
    <t>R60350</t>
  </si>
  <si>
    <t>R60420</t>
  </si>
  <si>
    <t>R60540</t>
  </si>
  <si>
    <t>R60760</t>
  </si>
  <si>
    <t>R60800</t>
  </si>
  <si>
    <t>R60108</t>
  </si>
  <si>
    <t>R60150S</t>
  </si>
  <si>
    <t>R60220S</t>
  </si>
  <si>
    <t>R60280S</t>
  </si>
  <si>
    <t>R60350S</t>
  </si>
  <si>
    <t>R60420S</t>
  </si>
  <si>
    <t>R60540S</t>
  </si>
  <si>
    <t>R60760S</t>
  </si>
  <si>
    <t>R60800S</t>
  </si>
  <si>
    <t>R60108S</t>
  </si>
  <si>
    <t>R421512</t>
  </si>
  <si>
    <t>R421812</t>
  </si>
  <si>
    <t>R422234</t>
  </si>
  <si>
    <t>R42281</t>
  </si>
  <si>
    <t>R42351</t>
  </si>
  <si>
    <t>R4235114</t>
  </si>
  <si>
    <t>R4242114</t>
  </si>
  <si>
    <t>R4242112</t>
  </si>
  <si>
    <t>R42542</t>
  </si>
  <si>
    <t>R45150S</t>
  </si>
  <si>
    <t>R45180S</t>
  </si>
  <si>
    <t>R45220S</t>
  </si>
  <si>
    <t>R45280S</t>
  </si>
  <si>
    <t>R45350S</t>
  </si>
  <si>
    <t>R45420S</t>
  </si>
  <si>
    <t>R45760S</t>
  </si>
  <si>
    <t>R45800S</t>
  </si>
  <si>
    <t>R45108S</t>
  </si>
  <si>
    <t>R331512</t>
  </si>
  <si>
    <t>R331534</t>
  </si>
  <si>
    <t>R331834</t>
  </si>
  <si>
    <t>R332212</t>
  </si>
  <si>
    <t>R33221</t>
  </si>
  <si>
    <t>JT35FKM-RIM</t>
  </si>
  <si>
    <t>JT42FKM-RIM</t>
  </si>
  <si>
    <t>R21150</t>
  </si>
  <si>
    <t>R21180</t>
  </si>
  <si>
    <t>R21220</t>
  </si>
  <si>
    <t>R21280</t>
  </si>
  <si>
    <t>R21350</t>
  </si>
  <si>
    <t>R21420</t>
  </si>
  <si>
    <t>R21540</t>
  </si>
  <si>
    <t>R21760</t>
  </si>
  <si>
    <t>R21800</t>
  </si>
  <si>
    <t>R21108</t>
  </si>
  <si>
    <t>R221512</t>
  </si>
  <si>
    <t>R221534</t>
  </si>
  <si>
    <t>R241512</t>
  </si>
  <si>
    <t>R241534</t>
  </si>
  <si>
    <t>R221834</t>
  </si>
  <si>
    <t>R222212</t>
  </si>
  <si>
    <t>R241834</t>
  </si>
  <si>
    <t>R242212</t>
  </si>
  <si>
    <t>R22221</t>
  </si>
  <si>
    <t>R222812</t>
  </si>
  <si>
    <t>R24221</t>
  </si>
  <si>
    <t>R222834</t>
  </si>
  <si>
    <t>R242812</t>
  </si>
  <si>
    <t>R242834</t>
  </si>
  <si>
    <t>R2228114</t>
  </si>
  <si>
    <t>R2428114</t>
  </si>
  <si>
    <t>R24351</t>
  </si>
  <si>
    <t>R2235112</t>
  </si>
  <si>
    <t>R2435112</t>
  </si>
  <si>
    <t>R2442114</t>
  </si>
  <si>
    <t>R2454112</t>
  </si>
  <si>
    <t>R2235114S</t>
  </si>
  <si>
    <t>R251815</t>
  </si>
  <si>
    <t>R252215</t>
  </si>
  <si>
    <t>R252218</t>
  </si>
  <si>
    <t>R252815</t>
  </si>
  <si>
    <t>R252822</t>
  </si>
  <si>
    <t>R253515</t>
  </si>
  <si>
    <t>R253518</t>
  </si>
  <si>
    <t>R253522</t>
  </si>
  <si>
    <t>R253528</t>
  </si>
  <si>
    <t>R254215</t>
  </si>
  <si>
    <t>R254218</t>
  </si>
  <si>
    <t>R254235</t>
  </si>
  <si>
    <t>R255418</t>
  </si>
  <si>
    <t>R255422</t>
  </si>
  <si>
    <t>R255428</t>
  </si>
  <si>
    <t>R255435</t>
  </si>
  <si>
    <t>R257642</t>
  </si>
  <si>
    <t>R258854</t>
  </si>
  <si>
    <t>R258876</t>
  </si>
  <si>
    <t>R2510854</t>
  </si>
  <si>
    <t>R2510888</t>
  </si>
  <si>
    <t>R13281</t>
  </si>
  <si>
    <t>R133534</t>
  </si>
  <si>
    <t>R134234</t>
  </si>
  <si>
    <t>R135434</t>
  </si>
  <si>
    <t>R13761</t>
  </si>
  <si>
    <t>R141815</t>
  </si>
  <si>
    <t>R142215</t>
  </si>
  <si>
    <t>R142815</t>
  </si>
  <si>
    <t>R142818</t>
  </si>
  <si>
    <t>R143515</t>
  </si>
  <si>
    <t>R143518</t>
  </si>
  <si>
    <t>R143522</t>
  </si>
  <si>
    <t>R144218</t>
  </si>
  <si>
    <t>R144222</t>
  </si>
  <si>
    <t>R144228</t>
  </si>
  <si>
    <t>R145418</t>
  </si>
  <si>
    <t>R145422</t>
  </si>
  <si>
    <t>R145428</t>
  </si>
  <si>
    <t>R145435</t>
  </si>
  <si>
    <t>R147622</t>
  </si>
  <si>
    <t>R147635</t>
  </si>
  <si>
    <t>R147642</t>
  </si>
  <si>
    <t>R148822</t>
  </si>
  <si>
    <t>R148828</t>
  </si>
  <si>
    <t>R148835</t>
  </si>
  <si>
    <t>R148842</t>
  </si>
  <si>
    <t>R148854</t>
  </si>
  <si>
    <t>R148876</t>
  </si>
  <si>
    <t>R1410828</t>
  </si>
  <si>
    <t>R1410835</t>
  </si>
  <si>
    <t>R1410842</t>
  </si>
  <si>
    <t>R1410854</t>
  </si>
  <si>
    <t>R1410888</t>
  </si>
  <si>
    <t>RXS15-316</t>
  </si>
  <si>
    <t>RXS18-316</t>
  </si>
  <si>
    <t>RXS22-316</t>
  </si>
  <si>
    <t>RXS28-316</t>
  </si>
  <si>
    <t>RXS35-316</t>
  </si>
  <si>
    <t>RXS42-316</t>
  </si>
  <si>
    <t>RXS54-316</t>
  </si>
  <si>
    <t>RXS108-316</t>
  </si>
  <si>
    <t>BFI1</t>
  </si>
  <si>
    <t>BFI112</t>
  </si>
  <si>
    <t>BFI114</t>
  </si>
  <si>
    <t>BFI12</t>
  </si>
  <si>
    <t>BFI14</t>
  </si>
  <si>
    <t>BFI2</t>
  </si>
  <si>
    <t>BFI212</t>
  </si>
  <si>
    <t>BFI3</t>
  </si>
  <si>
    <t>BFI34</t>
  </si>
  <si>
    <t>BFI38</t>
  </si>
  <si>
    <t>BFI12-100</t>
  </si>
  <si>
    <t>BCSI100</t>
  </si>
  <si>
    <t>BCSI50</t>
  </si>
  <si>
    <t>BCSI80</t>
  </si>
  <si>
    <t>BPB100</t>
  </si>
  <si>
    <t>BPB125</t>
  </si>
  <si>
    <t>BPB150</t>
  </si>
  <si>
    <t>BPB200</t>
  </si>
  <si>
    <t>BPB50</t>
  </si>
  <si>
    <t>BPB65</t>
  </si>
  <si>
    <t>BPB80</t>
  </si>
  <si>
    <t>COLI100</t>
  </si>
  <si>
    <t>COLI125</t>
  </si>
  <si>
    <t>COLI150</t>
  </si>
  <si>
    <t>COLI200</t>
  </si>
  <si>
    <t>COLI304114</t>
  </si>
  <si>
    <t>COLI65</t>
  </si>
  <si>
    <t>COLI80</t>
  </si>
  <si>
    <t>CAS3DI100</t>
  </si>
  <si>
    <t>CAS3DI125</t>
  </si>
  <si>
    <t>CAS3DI150</t>
  </si>
  <si>
    <t>CAS3DI200</t>
  </si>
  <si>
    <t>CAS3DI40</t>
  </si>
  <si>
    <t>CAS3DI50</t>
  </si>
  <si>
    <t>CAS3DI65</t>
  </si>
  <si>
    <t>CAS3DI80</t>
  </si>
  <si>
    <t>CASI3041</t>
  </si>
  <si>
    <t>CASI304114</t>
  </si>
  <si>
    <t>CASI30412</t>
  </si>
  <si>
    <t>CASI30434</t>
  </si>
  <si>
    <t>FASI3041</t>
  </si>
  <si>
    <t>FASI304114</t>
  </si>
  <si>
    <t>FASI304112</t>
  </si>
  <si>
    <t>FBI65</t>
  </si>
  <si>
    <t>FBI80</t>
  </si>
  <si>
    <t>RASI304112</t>
  </si>
  <si>
    <t>RASI3041121</t>
  </si>
  <si>
    <t>RASI304112114</t>
  </si>
  <si>
    <t>RASI3041141</t>
  </si>
  <si>
    <t>RASI30411412</t>
  </si>
  <si>
    <t>RASI30411434</t>
  </si>
  <si>
    <t>RASI304134</t>
  </si>
  <si>
    <t>RASI3042114</t>
  </si>
  <si>
    <t>RCI100-50</t>
  </si>
  <si>
    <t>RCI100-65</t>
  </si>
  <si>
    <t>RCI100-80</t>
  </si>
  <si>
    <t>RCI125-100</t>
  </si>
  <si>
    <t>RCI125-65</t>
  </si>
  <si>
    <t>RCI125-80</t>
  </si>
  <si>
    <t>RCI150-100</t>
  </si>
  <si>
    <t>RCI150-125</t>
  </si>
  <si>
    <t>RCI150-80</t>
  </si>
  <si>
    <t>RCI200-100</t>
  </si>
  <si>
    <t>RCI200-125</t>
  </si>
  <si>
    <t>RCI200-150</t>
  </si>
  <si>
    <t>RCI50-40</t>
  </si>
  <si>
    <t>RCI65-40</t>
  </si>
  <si>
    <t>RCI65-50</t>
  </si>
  <si>
    <t>RCI80-40</t>
  </si>
  <si>
    <t>RCI80-50</t>
  </si>
  <si>
    <t>RCI80-65</t>
  </si>
  <si>
    <t>TASI100</t>
  </si>
  <si>
    <t>TASI125</t>
  </si>
  <si>
    <t>TASI150</t>
  </si>
  <si>
    <t>TASI200</t>
  </si>
  <si>
    <t>TASI25</t>
  </si>
  <si>
    <t>TASI42</t>
  </si>
  <si>
    <t>TASI60</t>
  </si>
  <si>
    <t>TASI65</t>
  </si>
  <si>
    <t>TASI80</t>
  </si>
  <si>
    <t>T3IL100</t>
  </si>
  <si>
    <t>T3IL125</t>
  </si>
  <si>
    <t>T3IL150</t>
  </si>
  <si>
    <t>T3IL200</t>
  </si>
  <si>
    <t>T3IL40</t>
  </si>
  <si>
    <t>T3IL50</t>
  </si>
  <si>
    <t>T3IL65</t>
  </si>
  <si>
    <t>T3IL80</t>
  </si>
  <si>
    <t>290I212</t>
  </si>
  <si>
    <t>290I112</t>
  </si>
  <si>
    <t>290I114</t>
  </si>
  <si>
    <t>290I12</t>
  </si>
  <si>
    <t>290I2</t>
  </si>
  <si>
    <t>CLAPET2-316L</t>
  </si>
  <si>
    <t>90I1</t>
  </si>
  <si>
    <t>90I114</t>
  </si>
  <si>
    <t>90I12</t>
  </si>
  <si>
    <t>90I34</t>
  </si>
  <si>
    <t>92I1</t>
  </si>
  <si>
    <t>92I114</t>
  </si>
  <si>
    <t>92I12</t>
  </si>
  <si>
    <t>92I34</t>
  </si>
  <si>
    <t>280I1</t>
  </si>
  <si>
    <t>280I114</t>
  </si>
  <si>
    <t>280I12</t>
  </si>
  <si>
    <t>280I2</t>
  </si>
  <si>
    <t>280I212</t>
  </si>
  <si>
    <t>280I3</t>
  </si>
  <si>
    <t>280I34</t>
  </si>
  <si>
    <t>280I38</t>
  </si>
  <si>
    <t>245I112114</t>
  </si>
  <si>
    <t>245I134</t>
  </si>
  <si>
    <t>245I3814</t>
  </si>
  <si>
    <t>270I212</t>
  </si>
  <si>
    <t>270I3</t>
  </si>
  <si>
    <t>270I3161</t>
  </si>
  <si>
    <t>270I316114</t>
  </si>
  <si>
    <t>270I31612</t>
  </si>
  <si>
    <t>270I31614</t>
  </si>
  <si>
    <t>270I31638</t>
  </si>
  <si>
    <t>MFI34</t>
  </si>
  <si>
    <t>241I1121</t>
  </si>
  <si>
    <t>241I112114</t>
  </si>
  <si>
    <t>241I114</t>
  </si>
  <si>
    <t>241I1141</t>
  </si>
  <si>
    <t>241I11434</t>
  </si>
  <si>
    <t>241I1214</t>
  </si>
  <si>
    <t>241I1238</t>
  </si>
  <si>
    <t>241I134</t>
  </si>
  <si>
    <t>241I21</t>
  </si>
  <si>
    <t>241I2112</t>
  </si>
  <si>
    <t>241I2114</t>
  </si>
  <si>
    <t>241I2122</t>
  </si>
  <si>
    <t>241I3438</t>
  </si>
  <si>
    <t>130I1</t>
  </si>
  <si>
    <t>130I112</t>
  </si>
  <si>
    <t>130I114</t>
  </si>
  <si>
    <t>130I12</t>
  </si>
  <si>
    <t>130I2</t>
  </si>
  <si>
    <t>130I34</t>
  </si>
  <si>
    <t>340I114</t>
  </si>
  <si>
    <t>340I12</t>
  </si>
  <si>
    <t>340I34</t>
  </si>
  <si>
    <t>341I1</t>
  </si>
  <si>
    <t>341I112</t>
  </si>
  <si>
    <t>341I114</t>
  </si>
  <si>
    <t>341I12</t>
  </si>
  <si>
    <t>341I34</t>
  </si>
  <si>
    <t>JT32</t>
  </si>
  <si>
    <t>JT50</t>
  </si>
  <si>
    <t>JT125</t>
  </si>
  <si>
    <t>JT150</t>
  </si>
  <si>
    <t>JT200</t>
  </si>
  <si>
    <t>JTVI 16X2,5</t>
  </si>
  <si>
    <t>JTVI 22X3</t>
  </si>
  <si>
    <t>JTVI 28X3</t>
  </si>
  <si>
    <t>JTVI 28X3,5</t>
  </si>
  <si>
    <t>JTVI 35X4</t>
  </si>
  <si>
    <t>JTVI 43X5</t>
  </si>
  <si>
    <t>JTVI 48X6</t>
  </si>
  <si>
    <t>TCL34</t>
  </si>
  <si>
    <t>TCL12</t>
  </si>
  <si>
    <t>ECL34</t>
  </si>
  <si>
    <t>ECL12</t>
  </si>
  <si>
    <t>300L112</t>
  </si>
  <si>
    <t>300L114</t>
  </si>
  <si>
    <t>300L1</t>
  </si>
  <si>
    <t>290L2</t>
  </si>
  <si>
    <t>290L1</t>
  </si>
  <si>
    <t>290L34</t>
  </si>
  <si>
    <t>290L12</t>
  </si>
  <si>
    <t>290L38</t>
  </si>
  <si>
    <t>290L14</t>
  </si>
  <si>
    <t>290L18</t>
  </si>
  <si>
    <t>CL1-2X1/2</t>
  </si>
  <si>
    <t>CL1-3X1/2</t>
  </si>
  <si>
    <t>CL1-4X1/2</t>
  </si>
  <si>
    <t>CL1-5X1/2</t>
  </si>
  <si>
    <t>90L2</t>
  </si>
  <si>
    <t>90L112</t>
  </si>
  <si>
    <t>90L114</t>
  </si>
  <si>
    <t>90L1</t>
  </si>
  <si>
    <t>90L34</t>
  </si>
  <si>
    <t>90L12</t>
  </si>
  <si>
    <t>90L14</t>
  </si>
  <si>
    <t>90L18</t>
  </si>
  <si>
    <t>92L2</t>
  </si>
  <si>
    <t>92L112</t>
  </si>
  <si>
    <t>92L114</t>
  </si>
  <si>
    <t>92L1</t>
  </si>
  <si>
    <t>92L34</t>
  </si>
  <si>
    <t>92L12</t>
  </si>
  <si>
    <t>92L38</t>
  </si>
  <si>
    <t>92L14</t>
  </si>
  <si>
    <t>92L18</t>
  </si>
  <si>
    <t>280L2</t>
  </si>
  <si>
    <t>280L112</t>
  </si>
  <si>
    <t>280L114</t>
  </si>
  <si>
    <t>280L1</t>
  </si>
  <si>
    <t>280L34</t>
  </si>
  <si>
    <t>280L12</t>
  </si>
  <si>
    <t>280L38</t>
  </si>
  <si>
    <t>280L14</t>
  </si>
  <si>
    <t>280L18</t>
  </si>
  <si>
    <t>245L2112</t>
  </si>
  <si>
    <t>245L2114</t>
  </si>
  <si>
    <t>245L21</t>
  </si>
  <si>
    <t>245L112114</t>
  </si>
  <si>
    <t>245L1121</t>
  </si>
  <si>
    <t>245L1141</t>
  </si>
  <si>
    <t>245L11434</t>
  </si>
  <si>
    <t>245L134</t>
  </si>
  <si>
    <t>245L112</t>
  </si>
  <si>
    <t>245L3412</t>
  </si>
  <si>
    <t>245L3438</t>
  </si>
  <si>
    <t>245L1238</t>
  </si>
  <si>
    <t>245L1214</t>
  </si>
  <si>
    <t>245L3814</t>
  </si>
  <si>
    <t>245L1418</t>
  </si>
  <si>
    <t>240L134</t>
  </si>
  <si>
    <t>240L3412</t>
  </si>
  <si>
    <t>240L1238</t>
  </si>
  <si>
    <t>240L1214</t>
  </si>
  <si>
    <t>246L2112</t>
  </si>
  <si>
    <t>246L2114</t>
  </si>
  <si>
    <t>246L112114</t>
  </si>
  <si>
    <t>246L1121</t>
  </si>
  <si>
    <t>246L1141</t>
  </si>
  <si>
    <t>246L11434</t>
  </si>
  <si>
    <t>246L134</t>
  </si>
  <si>
    <t>246L112</t>
  </si>
  <si>
    <t>246L3412</t>
  </si>
  <si>
    <t>246L3438</t>
  </si>
  <si>
    <t>246L1238</t>
  </si>
  <si>
    <t>246L1214</t>
  </si>
  <si>
    <t>246L3814</t>
  </si>
  <si>
    <t>241L2112</t>
  </si>
  <si>
    <t>241L2114</t>
  </si>
  <si>
    <t>241L21</t>
  </si>
  <si>
    <t>241L112114</t>
  </si>
  <si>
    <t>241L1121</t>
  </si>
  <si>
    <t>241L11234</t>
  </si>
  <si>
    <t>241L1141</t>
  </si>
  <si>
    <t>241L11434</t>
  </si>
  <si>
    <t>241L134</t>
  </si>
  <si>
    <t>241L112</t>
  </si>
  <si>
    <t>241L138</t>
  </si>
  <si>
    <t>241L3412</t>
  </si>
  <si>
    <t>241L3438</t>
  </si>
  <si>
    <t>241L3414</t>
  </si>
  <si>
    <t>241L1238</t>
  </si>
  <si>
    <t>241L1214</t>
  </si>
  <si>
    <t>241L1218</t>
  </si>
  <si>
    <t>241L3814</t>
  </si>
  <si>
    <t>241L3818</t>
  </si>
  <si>
    <t>130L2</t>
  </si>
  <si>
    <t>130L112</t>
  </si>
  <si>
    <t>130L114</t>
  </si>
  <si>
    <t>130L1</t>
  </si>
  <si>
    <t>130L34</t>
  </si>
  <si>
    <t>130L12</t>
  </si>
  <si>
    <t>130L38</t>
  </si>
  <si>
    <t>340B2</t>
  </si>
  <si>
    <t>340B112</t>
  </si>
  <si>
    <t>340B114</t>
  </si>
  <si>
    <t>340B1</t>
  </si>
  <si>
    <t>340B34</t>
  </si>
  <si>
    <t>340B12</t>
  </si>
  <si>
    <t>340B38</t>
  </si>
  <si>
    <t>341B2</t>
  </si>
  <si>
    <t>341B112</t>
  </si>
  <si>
    <t>341B114</t>
  </si>
  <si>
    <t>341B1</t>
  </si>
  <si>
    <t>341B34</t>
  </si>
  <si>
    <t>341B12</t>
  </si>
  <si>
    <t>341B38</t>
  </si>
  <si>
    <t>341L2</t>
  </si>
  <si>
    <t>341L112</t>
  </si>
  <si>
    <t>341L114</t>
  </si>
  <si>
    <t>341L1</t>
  </si>
  <si>
    <t>341L34</t>
  </si>
  <si>
    <t>98L34</t>
  </si>
  <si>
    <t>HNBE</t>
  </si>
  <si>
    <t>HS125</t>
  </si>
  <si>
    <t>HS150</t>
  </si>
  <si>
    <t>HS200</t>
  </si>
  <si>
    <t>530AN1</t>
  </si>
  <si>
    <t>530AN114</t>
  </si>
  <si>
    <t>530AN112</t>
  </si>
  <si>
    <t>530AN2</t>
  </si>
  <si>
    <t>530AN3</t>
  </si>
  <si>
    <t>BCS20</t>
  </si>
  <si>
    <t>BCS50</t>
  </si>
  <si>
    <t>BCS65</t>
  </si>
  <si>
    <t>BCS80</t>
  </si>
  <si>
    <t>BCS100</t>
  </si>
  <si>
    <t>BCS125</t>
  </si>
  <si>
    <t>BCS150</t>
  </si>
  <si>
    <t>BCV34</t>
  </si>
  <si>
    <t>BCV1</t>
  </si>
  <si>
    <t>BCV114</t>
  </si>
  <si>
    <t>BCV112</t>
  </si>
  <si>
    <t>BCV2</t>
  </si>
  <si>
    <t>BCV212</t>
  </si>
  <si>
    <t>BCV3</t>
  </si>
  <si>
    <t>BCV4</t>
  </si>
  <si>
    <t>BPS50</t>
  </si>
  <si>
    <t>BPS65</t>
  </si>
  <si>
    <t>BPS80</t>
  </si>
  <si>
    <t>BPS100</t>
  </si>
  <si>
    <t>BPS125</t>
  </si>
  <si>
    <t>BPS150</t>
  </si>
  <si>
    <t>CAS3DG114</t>
  </si>
  <si>
    <t>CAS3DG2</t>
  </si>
  <si>
    <t>CAS3DG212</t>
  </si>
  <si>
    <t>CAS3DG3</t>
  </si>
  <si>
    <t>CAS3DG4</t>
  </si>
  <si>
    <t>CAS3DN112</t>
  </si>
  <si>
    <t>CAS3DN2</t>
  </si>
  <si>
    <t>CAS3DN212</t>
  </si>
  <si>
    <t>CAS3DN3</t>
  </si>
  <si>
    <t>CAS3DN4</t>
  </si>
  <si>
    <t>CAS3DN5</t>
  </si>
  <si>
    <t>CAS5DN212</t>
  </si>
  <si>
    <t>CAS5DN3</t>
  </si>
  <si>
    <t>BP40</t>
  </si>
  <si>
    <t>BP50</t>
  </si>
  <si>
    <t>BP65</t>
  </si>
  <si>
    <t>BP80</t>
  </si>
  <si>
    <t>BP100</t>
  </si>
  <si>
    <t>BP125</t>
  </si>
  <si>
    <t>BP150</t>
  </si>
  <si>
    <t>BP200</t>
  </si>
  <si>
    <t>BP250</t>
  </si>
  <si>
    <t>RAS134</t>
  </si>
  <si>
    <t>RAS1</t>
  </si>
  <si>
    <t>RAS1121</t>
  </si>
  <si>
    <t>RAS2114</t>
  </si>
  <si>
    <t>RAS3112</t>
  </si>
  <si>
    <t>RAS3212</t>
  </si>
  <si>
    <t>RAS4212</t>
  </si>
  <si>
    <t>RAS43</t>
  </si>
  <si>
    <t>RAS53</t>
  </si>
  <si>
    <t>RAS54</t>
  </si>
  <si>
    <t>RAS6212</t>
  </si>
  <si>
    <t>RAS63</t>
  </si>
  <si>
    <t>RAS64</t>
  </si>
  <si>
    <t>RAS65</t>
  </si>
  <si>
    <t>RAS68</t>
  </si>
  <si>
    <t>G110-06-06</t>
  </si>
  <si>
    <t>G110-06-08</t>
  </si>
  <si>
    <t>ROCM18D06</t>
  </si>
  <si>
    <t>ROCM18D08</t>
  </si>
  <si>
    <t>ROCM14D06</t>
  </si>
  <si>
    <t>ROCM14D08</t>
  </si>
  <si>
    <t>ROCM14D10</t>
  </si>
  <si>
    <t>ROCM38D08</t>
  </si>
  <si>
    <t>ROCM38D10</t>
  </si>
  <si>
    <t>ROCM12D12</t>
  </si>
  <si>
    <t>ROUD06</t>
  </si>
  <si>
    <t>ROUD08</t>
  </si>
  <si>
    <t>ROUD10</t>
  </si>
  <si>
    <t>ROUD12</t>
  </si>
  <si>
    <t>RODM18D08</t>
  </si>
  <si>
    <t>RODM14D06</t>
  </si>
  <si>
    <t>RODM14D08</t>
  </si>
  <si>
    <t>RODM14D10</t>
  </si>
  <si>
    <t>RODM38D08</t>
  </si>
  <si>
    <t>RODM38D10</t>
  </si>
  <si>
    <t>RODM38D12</t>
  </si>
  <si>
    <t>RODM12D10</t>
  </si>
  <si>
    <t>RODM12D12</t>
  </si>
  <si>
    <t>900-0223</t>
  </si>
  <si>
    <t>900-0224</t>
  </si>
  <si>
    <t>900-0225</t>
  </si>
  <si>
    <t>900-0233</t>
  </si>
  <si>
    <t>900-0234</t>
  </si>
  <si>
    <t>900-0235</t>
  </si>
  <si>
    <t>900-0244</t>
  </si>
  <si>
    <t>900-0245</t>
  </si>
  <si>
    <t>900-0246</t>
  </si>
  <si>
    <t>900-0257</t>
  </si>
  <si>
    <t>900-0258B</t>
  </si>
  <si>
    <t>CSS26</t>
  </si>
  <si>
    <t>10.291.1003</t>
  </si>
  <si>
    <t>10.291.1004</t>
  </si>
  <si>
    <t>10.291.1154</t>
  </si>
  <si>
    <t>10.291.1202</t>
  </si>
  <si>
    <t>10.291.1204</t>
  </si>
  <si>
    <t>10.291.5003</t>
  </si>
  <si>
    <t>10.310.1155</t>
  </si>
  <si>
    <t>10.310.2003</t>
  </si>
  <si>
    <t>10.320.2152</t>
  </si>
  <si>
    <t>10.320.5003</t>
  </si>
  <si>
    <t>10.320.5152</t>
  </si>
  <si>
    <t>10.320.5202</t>
  </si>
  <si>
    <t>10.341.1004</t>
  </si>
  <si>
    <t>10.341.5004</t>
  </si>
  <si>
    <t>10.342.1004</t>
  </si>
  <si>
    <t>10.342.1154</t>
  </si>
  <si>
    <t>10.342.5004</t>
  </si>
  <si>
    <t>10.342.5152</t>
  </si>
  <si>
    <t>10.410.5004</t>
  </si>
  <si>
    <t>10.410.5152</t>
  </si>
  <si>
    <t>10.430.5003</t>
  </si>
  <si>
    <t>10.430.5004</t>
  </si>
  <si>
    <t>10.550.5155</t>
  </si>
  <si>
    <t>M2F</t>
  </si>
  <si>
    <t>CF88</t>
  </si>
  <si>
    <t>BF144</t>
  </si>
  <si>
    <t>FF</t>
  </si>
  <si>
    <t>T32</t>
  </si>
  <si>
    <t>CF44</t>
  </si>
  <si>
    <t>C8F4</t>
  </si>
  <si>
    <t>TFFF40PVC</t>
  </si>
  <si>
    <t>T40</t>
  </si>
  <si>
    <t>cff90-40jk</t>
  </si>
  <si>
    <t>EXPD8</t>
  </si>
  <si>
    <t>EXPD9</t>
  </si>
  <si>
    <t>EXPF38</t>
  </si>
  <si>
    <t>EXPF12</t>
  </si>
  <si>
    <t>EXPF34</t>
  </si>
  <si>
    <t>EXPF1</t>
  </si>
  <si>
    <t>EXPF114</t>
  </si>
  <si>
    <t>EXPM38</t>
  </si>
  <si>
    <t>EXPM12</t>
  </si>
  <si>
    <t>EXPM34</t>
  </si>
  <si>
    <t>EXPM1</t>
  </si>
  <si>
    <t>EXPM114</t>
  </si>
  <si>
    <t>RICM18D04</t>
  </si>
  <si>
    <t>RICM18D06</t>
  </si>
  <si>
    <t>RICM18D08</t>
  </si>
  <si>
    <t>RICM14D06</t>
  </si>
  <si>
    <t>RICM14D08</t>
  </si>
  <si>
    <t>RICM14D10</t>
  </si>
  <si>
    <t>RICM38D08</t>
  </si>
  <si>
    <t>RICM38D10</t>
  </si>
  <si>
    <t>RICM38D12</t>
  </si>
  <si>
    <t>RICM12D12</t>
  </si>
  <si>
    <t>RIDM18D04</t>
  </si>
  <si>
    <t>RIDM18D06</t>
  </si>
  <si>
    <t>RIDM18D08</t>
  </si>
  <si>
    <t>RIDM14D04</t>
  </si>
  <si>
    <t>RIDM14D06</t>
  </si>
  <si>
    <t>RIDM14D08</t>
  </si>
  <si>
    <t>RIDM14D10</t>
  </si>
  <si>
    <t>RIDM14D12</t>
  </si>
  <si>
    <t>RIDM38D08</t>
  </si>
  <si>
    <t>RIDM38D10</t>
  </si>
  <si>
    <t>RIDM38D12</t>
  </si>
  <si>
    <t>RIDM38D14</t>
  </si>
  <si>
    <t>RIDM12D10</t>
  </si>
  <si>
    <t>RIDM12D12</t>
  </si>
  <si>
    <t>RIDM12D14</t>
  </si>
  <si>
    <t>RIDF18D06</t>
  </si>
  <si>
    <t>RIDF14D06</t>
  </si>
  <si>
    <t>RIDF18D08</t>
  </si>
  <si>
    <t>RIDF14D08</t>
  </si>
  <si>
    <t>RIDF38D08</t>
  </si>
  <si>
    <t>RIDF14D10</t>
  </si>
  <si>
    <t>RIDF38D10</t>
  </si>
  <si>
    <t>RIDF38D12</t>
  </si>
  <si>
    <t>RIDF12D12</t>
  </si>
  <si>
    <t>RIT18D04</t>
  </si>
  <si>
    <t>RIT18D06</t>
  </si>
  <si>
    <t>RIT18D08</t>
  </si>
  <si>
    <t>RIT14D06</t>
  </si>
  <si>
    <t>RIT14D08</t>
  </si>
  <si>
    <t>RIT14D10</t>
  </si>
  <si>
    <t>RIT38D08</t>
  </si>
  <si>
    <t>RIT38D10</t>
  </si>
  <si>
    <t>RIT38D12</t>
  </si>
  <si>
    <t>RITD04</t>
  </si>
  <si>
    <t>RITD06</t>
  </si>
  <si>
    <t>RITD08</t>
  </si>
  <si>
    <t>RITD10</t>
  </si>
  <si>
    <t>RITD12</t>
  </si>
  <si>
    <t>RIUD04</t>
  </si>
  <si>
    <t>RIUD06</t>
  </si>
  <si>
    <t>RIUD08</t>
  </si>
  <si>
    <t>RIUD10</t>
  </si>
  <si>
    <t>RIUD12</t>
  </si>
  <si>
    <t>RITC06</t>
  </si>
  <si>
    <t>ANTIBEL-0,16L</t>
  </si>
  <si>
    <t>ANTIBEL-0,5L</t>
  </si>
  <si>
    <t>ANTIBEL-2L</t>
  </si>
  <si>
    <t>AQA</t>
  </si>
  <si>
    <t>AQA-1</t>
  </si>
  <si>
    <t>204-38</t>
  </si>
  <si>
    <t>204-12</t>
  </si>
  <si>
    <t>204-34</t>
  </si>
  <si>
    <t>204-1</t>
  </si>
  <si>
    <t>204-114</t>
  </si>
  <si>
    <t>204-112</t>
  </si>
  <si>
    <t>204-2</t>
  </si>
  <si>
    <t>940005</t>
  </si>
  <si>
    <t>052725</t>
  </si>
  <si>
    <t>052726</t>
  </si>
  <si>
    <t>BA276040</t>
  </si>
  <si>
    <t>BA476080</t>
  </si>
  <si>
    <t>DGL1/2LG100</t>
  </si>
  <si>
    <t>DGL1/2LG60</t>
  </si>
  <si>
    <t>TH-08-VA-50MM</t>
  </si>
  <si>
    <t>TH-08-VA-100MM</t>
  </si>
  <si>
    <t>DGI1/2LG160</t>
  </si>
  <si>
    <t>ECS112-1</t>
  </si>
  <si>
    <t>ECR112-34</t>
  </si>
  <si>
    <t>ECR112-1</t>
  </si>
  <si>
    <t>ECR112-114</t>
  </si>
  <si>
    <t>ECS112-12</t>
  </si>
  <si>
    <t>ECS112-34</t>
  </si>
  <si>
    <t>ECR2-46</t>
  </si>
  <si>
    <t>FT114</t>
  </si>
  <si>
    <t>FT112</t>
  </si>
  <si>
    <t>FT2</t>
  </si>
  <si>
    <t>014447</t>
  </si>
  <si>
    <t>014438</t>
  </si>
  <si>
    <t>014439</t>
  </si>
  <si>
    <t>014440</t>
  </si>
  <si>
    <t>FTI100-C</t>
  </si>
  <si>
    <t>MPROGLYCOL-1000L</t>
  </si>
  <si>
    <t>ECOV3V1-KIT</t>
  </si>
  <si>
    <t>ECOV3V112-KIT</t>
  </si>
  <si>
    <t>ECOV3V114-KIT</t>
  </si>
  <si>
    <t>ECOV3V34-KIT</t>
  </si>
  <si>
    <t>ECOV3V2-KIT</t>
  </si>
  <si>
    <t>ECOV3V1-24VAC-KIT</t>
  </si>
  <si>
    <t>ECOV3V112-24VAC-KIT</t>
  </si>
  <si>
    <t>ECOV3V114-24VAC-KIT</t>
  </si>
  <si>
    <t>ECOV3V34-24VAC-KIT</t>
  </si>
  <si>
    <t>ECOV3V2-24VAC-KIT</t>
  </si>
  <si>
    <t>RAPVC50</t>
  </si>
  <si>
    <t>MIR15x13</t>
  </si>
  <si>
    <t>MIR15x19</t>
  </si>
  <si>
    <t>MIR22x13</t>
  </si>
  <si>
    <t>MIR22x19</t>
  </si>
  <si>
    <t>MIR28x13</t>
  </si>
  <si>
    <t>MIR28x19</t>
  </si>
  <si>
    <t>MIR34x13</t>
  </si>
  <si>
    <t>MIR34x19</t>
  </si>
  <si>
    <t>MIR42x13</t>
  </si>
  <si>
    <t>MIR42x19</t>
  </si>
  <si>
    <t>MIR48x13</t>
  </si>
  <si>
    <t>MIR48x19</t>
  </si>
  <si>
    <t>MIR54X13</t>
  </si>
  <si>
    <t>MIR54X19</t>
  </si>
  <si>
    <t>MIR60x13</t>
  </si>
  <si>
    <t>MIR60x19</t>
  </si>
  <si>
    <t>MIR89x19</t>
  </si>
  <si>
    <t>MIR89x13</t>
  </si>
  <si>
    <t>421.18</t>
  </si>
  <si>
    <t>SF1640006</t>
  </si>
  <si>
    <t>SF1622004</t>
  </si>
  <si>
    <t>SF1622005</t>
  </si>
  <si>
    <t>SF1622006</t>
  </si>
  <si>
    <t>SF1623002</t>
  </si>
  <si>
    <t>SF1623004</t>
  </si>
  <si>
    <t>SF1623006</t>
  </si>
  <si>
    <t>SF1623007</t>
  </si>
  <si>
    <t>SF1623008</t>
  </si>
  <si>
    <t>SF1623011</t>
  </si>
  <si>
    <t>SF1625006</t>
  </si>
  <si>
    <t>SF1643006</t>
  </si>
  <si>
    <t>008821</t>
  </si>
  <si>
    <t>SF1613002</t>
  </si>
  <si>
    <t>SF1613006</t>
  </si>
  <si>
    <t>SF1613007</t>
  </si>
  <si>
    <t>SF1613008</t>
  </si>
  <si>
    <t>SF1613011</t>
  </si>
  <si>
    <t>008792</t>
  </si>
  <si>
    <t>008862</t>
  </si>
  <si>
    <t>1011.12</t>
  </si>
  <si>
    <t>SF1615002</t>
  </si>
  <si>
    <t>SF1615005</t>
  </si>
  <si>
    <t>SF1615007</t>
  </si>
  <si>
    <t>SF1615008</t>
  </si>
  <si>
    <t>SF1615010</t>
  </si>
  <si>
    <t>SF1645007</t>
  </si>
  <si>
    <t>MANO004</t>
  </si>
  <si>
    <t>MANO010</t>
  </si>
  <si>
    <t>MANO010-PV</t>
  </si>
  <si>
    <t>G12</t>
  </si>
  <si>
    <t>MANO-06B</t>
  </si>
  <si>
    <t>MANO-04B</t>
  </si>
  <si>
    <t>MANO-010B</t>
  </si>
  <si>
    <t>004154</t>
  </si>
  <si>
    <t>004390</t>
  </si>
  <si>
    <t>004156</t>
  </si>
  <si>
    <t>PR38</t>
  </si>
  <si>
    <t>UMA28L</t>
  </si>
  <si>
    <t>UMA22LX1"</t>
  </si>
  <si>
    <t>UMA22LX1"NU</t>
  </si>
  <si>
    <t>UMA42L</t>
  </si>
  <si>
    <t>UMA35LX114</t>
  </si>
  <si>
    <t>UMA28LX1"1/4</t>
  </si>
  <si>
    <t>UMA35JEX11/4LNU</t>
  </si>
  <si>
    <t>UMA22L</t>
  </si>
  <si>
    <t>UMA18JEX3/4LNU</t>
  </si>
  <si>
    <t>UA22CL,LNU</t>
  </si>
  <si>
    <t>UA15L</t>
  </si>
  <si>
    <t>UA18L</t>
  </si>
  <si>
    <t>UA28L</t>
  </si>
  <si>
    <t>ARA35x28L</t>
  </si>
  <si>
    <t>ARA42x35L</t>
  </si>
  <si>
    <t>TELA35L</t>
  </si>
  <si>
    <t>TELA22EL22L</t>
  </si>
  <si>
    <t>TELA28L</t>
  </si>
  <si>
    <t>TELA35EL35L</t>
  </si>
  <si>
    <t>TELA42EL42L</t>
  </si>
  <si>
    <t>AA28JEX1L</t>
  </si>
  <si>
    <t>AA35JEX11/4L</t>
  </si>
  <si>
    <t>SSCH1-04</t>
  </si>
  <si>
    <t>SSSA1-07</t>
  </si>
  <si>
    <t>SSSA114-07</t>
  </si>
  <si>
    <t>SSCH34-03</t>
  </si>
  <si>
    <t>SSSA34-07</t>
  </si>
  <si>
    <t>008929</t>
  </si>
  <si>
    <t>009019</t>
  </si>
  <si>
    <t>008935</t>
  </si>
  <si>
    <t>TH0-120CAD1/2</t>
  </si>
  <si>
    <t>TH0-120EQ1/2</t>
  </si>
  <si>
    <t>008930</t>
  </si>
  <si>
    <t>TH-30/+50DLG100</t>
  </si>
  <si>
    <t>TH-30/+50ELG100</t>
  </si>
  <si>
    <t>TH0-120CAD1/2LG160</t>
  </si>
  <si>
    <t>V3V34</t>
  </si>
  <si>
    <t>V3V1</t>
  </si>
  <si>
    <t>V3V114</t>
  </si>
  <si>
    <t>V3V112</t>
  </si>
  <si>
    <t>V3V2</t>
  </si>
  <si>
    <t>VAE220-1</t>
  </si>
  <si>
    <t>VAE220-114</t>
  </si>
  <si>
    <t>VAEI220-1</t>
  </si>
  <si>
    <t>VAEI220-114</t>
  </si>
  <si>
    <t>VASEXP12L-0,5B</t>
  </si>
  <si>
    <t>VASEXP18L-1B</t>
  </si>
  <si>
    <t>VASEXP50L-0,5B</t>
  </si>
  <si>
    <t>VASEGROUPE1</t>
  </si>
  <si>
    <t>VASEXP80L-2,5B</t>
  </si>
  <si>
    <t>VASEXP200L-1,5B</t>
  </si>
  <si>
    <t>VASEXP250L-2,5B</t>
  </si>
  <si>
    <t>VASECONS</t>
  </si>
  <si>
    <t>VASECONS-NEQ</t>
  </si>
  <si>
    <t>A-2416-3T</t>
  </si>
  <si>
    <t>A-2403-MS</t>
  </si>
  <si>
    <t>5006-PO</t>
  </si>
  <si>
    <t>PR-21</t>
  </si>
  <si>
    <t>CP10.1</t>
  </si>
  <si>
    <t>CP16.1</t>
  </si>
  <si>
    <t>DTH-S</t>
  </si>
  <si>
    <t>CP60</t>
  </si>
  <si>
    <t>CPV-1</t>
  </si>
  <si>
    <t>SDP</t>
  </si>
  <si>
    <t>PT100</t>
  </si>
  <si>
    <t>KQ6001</t>
  </si>
  <si>
    <t>CPTEAU34-IMP1L</t>
  </si>
  <si>
    <t>RCL1-34</t>
  </si>
  <si>
    <t>CPTEAU1-IMP1L</t>
  </si>
  <si>
    <t>DMT1</t>
  </si>
  <si>
    <t>DMT10</t>
  </si>
  <si>
    <t>DMT2</t>
  </si>
  <si>
    <t>DMT20</t>
  </si>
  <si>
    <t>DMT3</t>
  </si>
  <si>
    <t>DMT30</t>
  </si>
  <si>
    <t>DMT1SONDE</t>
  </si>
  <si>
    <t>DMT10SONDE</t>
  </si>
  <si>
    <t>DMT2SONDE</t>
  </si>
  <si>
    <t>DMT20SONDE</t>
  </si>
  <si>
    <t>DMT3SONDE</t>
  </si>
  <si>
    <t>DMT30SONDE</t>
  </si>
  <si>
    <t>HA010818</t>
  </si>
  <si>
    <t>HA010821</t>
  </si>
  <si>
    <t>VAB3V34X12</t>
  </si>
  <si>
    <t>VA400</t>
  </si>
  <si>
    <t>DO-TABQ8919-9-B</t>
  </si>
  <si>
    <t>DO-TABQ896-CLIP</t>
  </si>
  <si>
    <t>490-677</t>
  </si>
  <si>
    <t>HYGAD</t>
  </si>
  <si>
    <t>HYGAFFAD</t>
  </si>
  <si>
    <t>HYGEE35AD</t>
  </si>
  <si>
    <t>HYGEE35FR</t>
  </si>
  <si>
    <t>HYGFR</t>
  </si>
  <si>
    <t>DMT132</t>
  </si>
  <si>
    <t>DMT142-CXD33X</t>
  </si>
  <si>
    <t>DMT143</t>
  </si>
  <si>
    <t>DMT143-CXD33X</t>
  </si>
  <si>
    <t>DMT152-A1DX1</t>
  </si>
  <si>
    <t>DMT242</t>
  </si>
  <si>
    <t>DMT347</t>
  </si>
  <si>
    <t>DMT348</t>
  </si>
  <si>
    <t>DMT348-AFF</t>
  </si>
  <si>
    <t>DMT348-W0B1A-BV-A</t>
  </si>
  <si>
    <t>DMT348-W0B1A-BV-F</t>
  </si>
  <si>
    <t>CCTRL142</t>
  </si>
  <si>
    <t>CCTRL152</t>
  </si>
  <si>
    <t>CE-1</t>
  </si>
  <si>
    <t>CPTENER-25</t>
  </si>
  <si>
    <t>CPTENER-32</t>
  </si>
  <si>
    <t>CPTENER-40</t>
  </si>
  <si>
    <t>CF801-DN32</t>
  </si>
  <si>
    <t>CF801-DN40</t>
  </si>
  <si>
    <t>CF801-DN50</t>
  </si>
  <si>
    <t>Com-AnaCF800</t>
  </si>
  <si>
    <t>COFMIL</t>
  </si>
  <si>
    <t>K7.0630.00010</t>
  </si>
  <si>
    <t>K7.2679.0</t>
  </si>
  <si>
    <t>K7.5250.01870</t>
  </si>
  <si>
    <t>K7.7280.00060</t>
  </si>
  <si>
    <t>K7.7628.1</t>
  </si>
  <si>
    <t>K7.9681.2</t>
  </si>
  <si>
    <t>K7.9679.0</t>
  </si>
  <si>
    <t>K9.5022.0</t>
  </si>
  <si>
    <t>SAM4.0-4</t>
  </si>
  <si>
    <t>SAM4.0-8</t>
  </si>
  <si>
    <t>SAM4.0-16</t>
  </si>
  <si>
    <t>k8.0484.10050</t>
  </si>
  <si>
    <t>CIM.1</t>
  </si>
  <si>
    <t>CIM.485</t>
  </si>
  <si>
    <t>CIM.VV</t>
  </si>
  <si>
    <t>META.EX</t>
  </si>
  <si>
    <t>META.IX</t>
  </si>
  <si>
    <t>META.P4</t>
  </si>
  <si>
    <t>META.P4-KIT</t>
  </si>
  <si>
    <t>META.RCB</t>
  </si>
  <si>
    <t>META.S2</t>
  </si>
  <si>
    <t>META.S2-KIT</t>
  </si>
  <si>
    <t>META.S3</t>
  </si>
  <si>
    <t>META.S3-KIT</t>
  </si>
  <si>
    <t>META.SX</t>
  </si>
  <si>
    <t>META.SX-KIT</t>
  </si>
  <si>
    <t>META.VSD</t>
  </si>
  <si>
    <t>META.VSD-VO</t>
  </si>
  <si>
    <t>META.XC</t>
  </si>
  <si>
    <t>VSDMON100</t>
  </si>
  <si>
    <t>VSDMON600</t>
  </si>
  <si>
    <t>136-3015</t>
  </si>
  <si>
    <t>ANT310</t>
  </si>
  <si>
    <t>IPLDEC400</t>
  </si>
  <si>
    <t>CABRJ45CAT6-0,5M</t>
  </si>
  <si>
    <t>556-998</t>
  </si>
  <si>
    <t>CABRJ45CAT6-3M</t>
  </si>
  <si>
    <t>TWA-V1.3</t>
  </si>
  <si>
    <t>TWA/GSM-V1.3</t>
  </si>
  <si>
    <t>EW090030</t>
  </si>
  <si>
    <t>EW090051</t>
  </si>
  <si>
    <t>TR66251700</t>
  </si>
  <si>
    <t>RX25L100</t>
  </si>
  <si>
    <t>RX30L10001</t>
  </si>
  <si>
    <t>RA31L800</t>
  </si>
  <si>
    <t>RX12L100</t>
  </si>
  <si>
    <t>TR66096347</t>
  </si>
  <si>
    <t>RX02L100</t>
  </si>
  <si>
    <t>RX02L300</t>
  </si>
  <si>
    <t>RA02L800</t>
  </si>
  <si>
    <t>EW05L100</t>
  </si>
  <si>
    <t>RR01L100</t>
  </si>
  <si>
    <t>RR01L300</t>
  </si>
  <si>
    <t>RR01L800</t>
  </si>
  <si>
    <t>RR05L120</t>
  </si>
  <si>
    <t>RX64L150</t>
  </si>
  <si>
    <t>RX64L163</t>
  </si>
  <si>
    <t>RX64L363</t>
  </si>
  <si>
    <t>RX66L3L1</t>
  </si>
  <si>
    <t>RA66L8L3</t>
  </si>
  <si>
    <t>RA692517</t>
  </si>
  <si>
    <t>RA694025</t>
  </si>
  <si>
    <t>RA652504</t>
  </si>
  <si>
    <t>RA654004</t>
  </si>
  <si>
    <t>RR61L108</t>
  </si>
  <si>
    <t>RR61L116</t>
  </si>
  <si>
    <t>RR61L308</t>
  </si>
  <si>
    <t>RR61L316</t>
  </si>
  <si>
    <t>666025U2</t>
  </si>
  <si>
    <t>666040U1</t>
  </si>
  <si>
    <t>667117U1</t>
  </si>
  <si>
    <t>669217U1</t>
  </si>
  <si>
    <t>667725U1</t>
  </si>
  <si>
    <t>667725U2</t>
  </si>
  <si>
    <t>667125U1</t>
  </si>
  <si>
    <t>667125U2</t>
  </si>
  <si>
    <t>669225A1</t>
  </si>
  <si>
    <t>669225U1</t>
  </si>
  <si>
    <t>RX04L100</t>
  </si>
  <si>
    <t>RX04L300</t>
  </si>
  <si>
    <t>RA04L800</t>
  </si>
  <si>
    <t>RA0463L1</t>
  </si>
  <si>
    <t>RX24L140</t>
  </si>
  <si>
    <t>RX24L150</t>
  </si>
  <si>
    <t>RX24L163</t>
  </si>
  <si>
    <t>RX04L3L1</t>
  </si>
  <si>
    <t>RA04L8L1</t>
  </si>
  <si>
    <t>RX23L104</t>
  </si>
  <si>
    <t>1003A170400</t>
  </si>
  <si>
    <t>1004A1704</t>
  </si>
  <si>
    <t>1003A250400</t>
  </si>
  <si>
    <t>1006A250400</t>
  </si>
  <si>
    <t>1003A400400</t>
  </si>
  <si>
    <t>1006A400400</t>
  </si>
  <si>
    <t>1003A6304</t>
  </si>
  <si>
    <t>1006A6304</t>
  </si>
  <si>
    <t>TA06L104</t>
  </si>
  <si>
    <t>TA03L304</t>
  </si>
  <si>
    <t>TA06L304</t>
  </si>
  <si>
    <t>TA06L804</t>
  </si>
  <si>
    <t>1003A250600</t>
  </si>
  <si>
    <t>1006A250600</t>
  </si>
  <si>
    <t>1006A400600</t>
  </si>
  <si>
    <t>1006A50 06</t>
  </si>
  <si>
    <t>1006A6306</t>
  </si>
  <si>
    <t>1004A1702</t>
  </si>
  <si>
    <t>1006A250200</t>
  </si>
  <si>
    <t>1006A5002</t>
  </si>
  <si>
    <t>1001E250001</t>
  </si>
  <si>
    <t>1001E250003</t>
  </si>
  <si>
    <t>1001E250004</t>
  </si>
  <si>
    <t>1001E400002</t>
  </si>
  <si>
    <t>1001E400004</t>
  </si>
  <si>
    <t>1001E400005</t>
  </si>
  <si>
    <t>1001E500004</t>
  </si>
  <si>
    <t>1001E500009</t>
  </si>
  <si>
    <t>1001E630008</t>
  </si>
  <si>
    <t>1001E630005</t>
  </si>
  <si>
    <t>VR030004</t>
  </si>
  <si>
    <t>VR030006</t>
  </si>
  <si>
    <t>VR030008</t>
  </si>
  <si>
    <t>VR030012</t>
  </si>
  <si>
    <t>VR030016</t>
  </si>
  <si>
    <t>VR030020</t>
  </si>
  <si>
    <t>VR040004</t>
  </si>
  <si>
    <t>VR040006</t>
  </si>
  <si>
    <t>VR040008</t>
  </si>
  <si>
    <t>VR040012</t>
  </si>
  <si>
    <t>VR040016</t>
  </si>
  <si>
    <t>49811021TR</t>
  </si>
  <si>
    <t>VR02L100</t>
  </si>
  <si>
    <t>VR02L300</t>
  </si>
  <si>
    <t>VR02L800</t>
  </si>
  <si>
    <t>VBP12FF.CAD.I</t>
  </si>
  <si>
    <t>VBP34FF.CAD.I</t>
  </si>
  <si>
    <t>VBP34FF.CAD.INOX</t>
  </si>
  <si>
    <t>VBP1FF.CAD.I</t>
  </si>
  <si>
    <t>VBP114FF.CAD.I</t>
  </si>
  <si>
    <t>VBP112FF.CAD.I</t>
  </si>
  <si>
    <t>VBP112FF.CAD.INOX</t>
  </si>
  <si>
    <t>VBP2FF.CAD.I</t>
  </si>
  <si>
    <t>VBP212FF.CAD.I</t>
  </si>
  <si>
    <t>VBP3FF.CAD.I</t>
  </si>
  <si>
    <t>VBP12MF.CAD.I</t>
  </si>
  <si>
    <t>VBP34MF.CAD.I</t>
  </si>
  <si>
    <t>VBP1MF.CAD.I</t>
  </si>
  <si>
    <t>VBP114MF.CAD.I</t>
  </si>
  <si>
    <t>VBP2FF.CAD</t>
  </si>
  <si>
    <t>VBSP12FF</t>
  </si>
  <si>
    <t>012363</t>
  </si>
  <si>
    <t>VBSP38FF</t>
  </si>
  <si>
    <t>VBSP1FF</t>
  </si>
  <si>
    <t>VBSP34FF</t>
  </si>
  <si>
    <t>VBP18FF</t>
  </si>
  <si>
    <t>VBP14FF</t>
  </si>
  <si>
    <t>VBSP12MF</t>
  </si>
  <si>
    <t>VBSP34MF</t>
  </si>
  <si>
    <t>VBSP38MF</t>
  </si>
  <si>
    <t>VBP14MF</t>
  </si>
  <si>
    <t>VBP38MM</t>
  </si>
  <si>
    <t>VBP12MM</t>
  </si>
  <si>
    <t>VBP34MM</t>
  </si>
  <si>
    <t>VBP1MM</t>
  </si>
  <si>
    <t>VBP114MM</t>
  </si>
  <si>
    <t>VBP112MM</t>
  </si>
  <si>
    <t>VBP2MM</t>
  </si>
  <si>
    <t>VEQ12FF</t>
  </si>
  <si>
    <t>VEQ34FF</t>
  </si>
  <si>
    <t>VEQ1FF</t>
  </si>
  <si>
    <t>VEQ114FF</t>
  </si>
  <si>
    <t>VEQ112FF</t>
  </si>
  <si>
    <t>VEQ2FF</t>
  </si>
  <si>
    <t>072696</t>
  </si>
  <si>
    <t>VEQ80</t>
  </si>
  <si>
    <t>VEQ100</t>
  </si>
  <si>
    <t>009847</t>
  </si>
  <si>
    <t>VP125OT</t>
  </si>
  <si>
    <t>VP150OT</t>
  </si>
  <si>
    <t>VP200OT</t>
  </si>
  <si>
    <t>VP200OTPN16</t>
  </si>
  <si>
    <t>VP65OC</t>
  </si>
  <si>
    <t>VP80OC</t>
  </si>
  <si>
    <t>VP100OC</t>
  </si>
  <si>
    <t>VP125OC</t>
  </si>
  <si>
    <t>VP150OC</t>
  </si>
  <si>
    <t>VPI080OT</t>
  </si>
  <si>
    <t>VPI125OT</t>
  </si>
  <si>
    <t>VPI065OTEPDM</t>
  </si>
  <si>
    <t>VPI65OT-EPDM</t>
  </si>
  <si>
    <t>VPI100OT-EPDM</t>
  </si>
  <si>
    <t>VP50OC-EPDM</t>
  </si>
  <si>
    <t>VP80OC-APSE</t>
  </si>
  <si>
    <t>VP50OT-EPDM</t>
  </si>
  <si>
    <t>VP65OT-EPDM</t>
  </si>
  <si>
    <t>VP80OT-MET/MET</t>
  </si>
  <si>
    <t>6007.23</t>
  </si>
  <si>
    <t>Compresseur_Radiateur hors gel industriel acier 1000 W 230V  lg 665 *90*150 avec thermostat</t>
  </si>
  <si>
    <t>6008.21</t>
  </si>
  <si>
    <t>Compresseur_Radiateur hors gel industriel acier 1500 W 400V  lg 520 *165*200 avec thermostat</t>
  </si>
  <si>
    <t>6008.22</t>
  </si>
  <si>
    <t>Compresseur_Radiateur hors gel industriel acier 2000 W 400V  lg 595 *165*200 avec thermostat</t>
  </si>
  <si>
    <t>22934</t>
  </si>
  <si>
    <t>LEG411610</t>
  </si>
  <si>
    <t>LEG404926</t>
  </si>
  <si>
    <t>LEG001961</t>
  </si>
  <si>
    <t>LEG001908</t>
  </si>
  <si>
    <t>98022</t>
  </si>
  <si>
    <t>35262</t>
  </si>
  <si>
    <t>1626004</t>
  </si>
  <si>
    <t>080341</t>
  </si>
  <si>
    <t>13150</t>
  </si>
  <si>
    <t>R45540S</t>
  </si>
  <si>
    <t>R2254112</t>
  </si>
  <si>
    <t>BPB40</t>
  </si>
  <si>
    <t>COLI40</t>
  </si>
  <si>
    <t>90I112</t>
  </si>
  <si>
    <t>90I2</t>
  </si>
  <si>
    <t>92I112</t>
  </si>
  <si>
    <t>92I2</t>
  </si>
  <si>
    <t>280I112</t>
  </si>
  <si>
    <t>245I3412</t>
  </si>
  <si>
    <t>270I316112</t>
  </si>
  <si>
    <t>MFI.2</t>
  </si>
  <si>
    <t>241I11234</t>
  </si>
  <si>
    <t>241I3412</t>
  </si>
  <si>
    <t>341I2</t>
  </si>
  <si>
    <t>JT40</t>
  </si>
  <si>
    <t>044746</t>
  </si>
  <si>
    <t>VBP112MF.CAD.I</t>
  </si>
  <si>
    <t>VBP2MF.CAD.I</t>
  </si>
  <si>
    <t>530I2-150</t>
  </si>
  <si>
    <t>530I2</t>
  </si>
  <si>
    <t>530I112-150</t>
  </si>
  <si>
    <t>RV-VP200OT</t>
  </si>
  <si>
    <t>RV-VP150OT</t>
  </si>
  <si>
    <t>RAC-VP200OT</t>
  </si>
  <si>
    <t>THM16X45</t>
  </si>
  <si>
    <t>R147628</t>
  </si>
  <si>
    <t>R1410822</t>
  </si>
  <si>
    <t>LEG004280</t>
  </si>
  <si>
    <t>31903</t>
  </si>
  <si>
    <t>31906</t>
  </si>
  <si>
    <t>31882</t>
  </si>
  <si>
    <t>VASEXP8L-4B</t>
  </si>
  <si>
    <t>20192</t>
  </si>
  <si>
    <t>32948</t>
  </si>
  <si>
    <t>28878</t>
  </si>
  <si>
    <t>241I112</t>
  </si>
  <si>
    <t>VEQA7500-Prise</t>
  </si>
  <si>
    <t>VP80OT-EPDM</t>
  </si>
  <si>
    <t>DILATODN80-EPDM DILATODN8</t>
  </si>
  <si>
    <t>FTI080-C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</si>
</sst>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0.00\ &quot;€&quot;_-;\-* #,##0.00\ &quot;€&quot;_-;_-* &quot;-&quot;??\ &quot;€&quot;_-;_-@_-"/>
    <numFmt numFmtId="164" formatCode="_-* #,##0.00\ [$€-1]_-;\-* #,##0.00\ [$€-1]_-;_-* &quot;-&quot;??\ [$€-1]_-"/>
    <numFmt numFmtId="165" formatCode="#,##0.00\ &quot;€&quot;"/>
    <numFmt numFmtId="166" formatCode="##.#&quot; A&quot;"/>
    <numFmt numFmtId="167" formatCode="##&quot; V&quot;"/>
    <numFmt numFmtId="168" formatCode="General&quot;   &quot;"/>
    <numFmt numFmtId="169" formatCode="0.0"/>
    <numFmt numFmtId="170" formatCode="_-* #,##0.00\ &quot;F&quot;_-;\-* #,##0.00\ &quot;F&quot;_-;_-* &quot;-&quot;??\ &quot;F&quot;_-;_-@_-"/>
    <numFmt numFmtId="171" formatCode="_-* #,##0.00\ [$€-40C]_-;\-* #,##0.00\ [$€-40C]_-;_-* &quot;-&quot;??\ [$€-40C]_-;_-@_-"/>
    <numFmt numFmtId="172" formatCode="0.0&quot;m/h&quot;"/>
  </numFmts>
  <fonts count="51">
    <font>
      <sz val="11"/>
      <color theme="1"/>
      <name val="Calibri"/>
      <family val="2"/>
      <scheme val="minor"/>
    </font>
    <font>
      <sz val="10"/>
      <name val="Arial"/>
      <family val="2"/>
    </font>
    <font>
      <sz val="10"/>
      <name val="Arial"/>
      <family val="2"/>
    </font>
    <font>
      <sz val="14"/>
      <color theme="1"/>
      <name val="Calibri"/>
      <family val="2"/>
      <scheme val="minor"/>
    </font>
    <font>
      <b/>
      <sz val="18"/>
      <color theme="1"/>
      <name val="Calibri"/>
      <family val="2"/>
      <scheme val="minor"/>
    </font>
    <font>
      <b/>
      <sz val="10"/>
      <name val="Colibri"/>
    </font>
    <font>
      <sz val="10"/>
      <name val="Colibri"/>
    </font>
    <font>
      <sz val="11"/>
      <name val="Colibri"/>
    </font>
    <font>
      <sz val="10"/>
      <color theme="1"/>
      <name val="Colibri"/>
    </font>
    <font>
      <b/>
      <sz val="10"/>
      <name val="Calibri"/>
      <family val="2"/>
      <scheme val="minor"/>
    </font>
    <font>
      <b/>
      <sz val="12"/>
      <name val="Calibri"/>
      <family val="2"/>
      <scheme val="minor"/>
    </font>
    <font>
      <sz val="12"/>
      <name val="Calibri"/>
      <family val="2"/>
      <scheme val="minor"/>
    </font>
    <font>
      <sz val="12"/>
      <color theme="1"/>
      <name val="Calibri"/>
      <family val="2"/>
      <scheme val="minor"/>
    </font>
    <font>
      <b/>
      <sz val="11"/>
      <name val="Calibri"/>
      <family val="2"/>
      <scheme val="minor"/>
    </font>
    <font>
      <sz val="10"/>
      <color theme="1"/>
      <name val="Calibri"/>
      <family val="2"/>
      <scheme val="minor"/>
    </font>
    <font>
      <b/>
      <sz val="10"/>
      <color theme="1"/>
      <name val="Calibri"/>
      <family val="2"/>
      <scheme val="minor"/>
    </font>
    <font>
      <sz val="18"/>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b/>
      <sz val="10"/>
      <name val="Arial"/>
      <family val="2"/>
    </font>
    <font>
      <sz val="10"/>
      <name val="Arial"/>
      <family val="2"/>
    </font>
    <font>
      <sz val="7"/>
      <name val="Arial"/>
      <family val="2"/>
    </font>
    <font>
      <b/>
      <sz val="18"/>
      <color theme="0"/>
      <name val="Calibri"/>
      <family val="2"/>
      <scheme val="minor"/>
    </font>
    <font>
      <b/>
      <sz val="16"/>
      <color theme="0"/>
      <name val="Calibri"/>
      <family val="2"/>
      <scheme val="minor"/>
    </font>
    <font>
      <sz val="10"/>
      <color theme="0"/>
      <name val="Calibri"/>
      <family val="2"/>
      <scheme val="minor"/>
    </font>
    <font>
      <b/>
      <u/>
      <sz val="18"/>
      <color theme="0"/>
      <name val="Calibri"/>
      <family val="2"/>
      <scheme val="minor"/>
    </font>
    <font>
      <b/>
      <sz val="10"/>
      <color theme="0"/>
      <name val="Calibri"/>
      <family val="2"/>
      <scheme val="minor"/>
    </font>
    <font>
      <b/>
      <sz val="18"/>
      <color theme="0"/>
      <name val="Colibri"/>
    </font>
    <font>
      <sz val="14"/>
      <color theme="0"/>
      <name val="Colibri"/>
    </font>
    <font>
      <sz val="14"/>
      <name val="Colibri"/>
    </font>
    <font>
      <b/>
      <sz val="14"/>
      <color theme="0"/>
      <name val="Colibri"/>
    </font>
    <font>
      <sz val="8"/>
      <color theme="0"/>
      <name val="Colibri"/>
    </font>
    <font>
      <b/>
      <sz val="16"/>
      <color theme="1"/>
      <name val="Calibri"/>
      <family val="2"/>
      <scheme val="minor"/>
    </font>
    <font>
      <b/>
      <sz val="12"/>
      <name val="Arial"/>
      <family val="2"/>
    </font>
    <font>
      <sz val="9"/>
      <name val="Arial"/>
      <family val="2"/>
    </font>
    <font>
      <b/>
      <sz val="14"/>
      <color theme="0"/>
      <name val="Calibri"/>
      <family val="2"/>
      <scheme val="minor"/>
    </font>
    <font>
      <sz val="8"/>
      <name val="Calibri"/>
      <family val="2"/>
      <scheme val="minor"/>
    </font>
    <font>
      <sz val="16"/>
      <color theme="1"/>
      <name val="Calibri"/>
      <family val="2"/>
      <scheme val="minor"/>
    </font>
    <font>
      <sz val="11"/>
      <color theme="1"/>
      <name val="Colibri"/>
    </font>
    <font>
      <u/>
      <sz val="10"/>
      <color theme="10"/>
      <name val="Calibri"/>
      <family val="2"/>
      <scheme val="minor"/>
    </font>
    <font>
      <sz val="9"/>
      <name val="Colibri"/>
    </font>
    <font>
      <sz val="10"/>
      <color rgb="FF000000"/>
      <name val="Calibri"/>
      <family val="2"/>
    </font>
    <font>
      <sz val="11"/>
      <color rgb="FF000000"/>
      <name val="Calibri"/>
      <family val="2"/>
    </font>
    <font>
      <sz val="10"/>
      <color theme="1"/>
      <name val="Arial"/>
      <family val="2"/>
    </font>
    <font>
      <sz val="11"/>
      <color theme="1"/>
      <name val="Arial"/>
      <family val="2"/>
    </font>
    <font>
      <b/>
      <sz val="16"/>
      <name val="Arial"/>
      <family val="2"/>
    </font>
    <font>
      <b/>
      <sz val="22"/>
      <name val="Arial"/>
      <family val="2"/>
    </font>
    <font>
      <sz val="11"/>
      <color theme="1"/>
      <name val="Calibri"/>
      <family val="2"/>
    </font>
  </fonts>
  <fills count="2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2A385C"/>
        <bgColor indexed="64"/>
      </patternFill>
    </fill>
    <fill>
      <patternFill patternType="solid">
        <fgColor rgb="FFA9AEBD"/>
        <bgColor indexed="64"/>
      </patternFill>
    </fill>
    <fill>
      <patternFill patternType="solid">
        <fgColor rgb="FFD5D6E8"/>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59999389629810485"/>
        <bgColor indexed="64"/>
      </patternFill>
    </fill>
    <fill>
      <gradientFill degree="45">
        <stop position="0">
          <color theme="5" tint="0.59999389629810485"/>
        </stop>
        <stop position="1">
          <color theme="8" tint="0.59999389629810485"/>
        </stop>
      </gradientFill>
    </fill>
    <fill>
      <patternFill patternType="lightGray"/>
    </fill>
    <fill>
      <patternFill patternType="solid">
        <fgColor theme="0" tint="-0.34998626667073579"/>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00B050"/>
        <bgColor indexed="64"/>
      </patternFill>
    </fill>
    <fill>
      <patternFill patternType="solid">
        <fgColor theme="3" tint="0.79998168889431442"/>
        <bgColor indexed="64"/>
      </patternFill>
    </fill>
    <fill>
      <patternFill patternType="solid">
        <fgColor rgb="FFFFC000"/>
        <bgColor indexed="64"/>
      </patternFill>
    </fill>
    <fill>
      <patternFill patternType="solid">
        <fgColor rgb="FFFF0000"/>
        <bgColor indexed="64"/>
      </patternFill>
    </fill>
    <fill>
      <patternFill patternType="solid">
        <fgColor theme="4" tint="0.79998168889431442"/>
        <bgColor indexed="64"/>
      </patternFill>
    </fill>
  </fills>
  <borders count="80">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dashed">
        <color indexed="64"/>
      </left>
      <right/>
      <top style="thin">
        <color indexed="64"/>
      </top>
      <bottom style="thin">
        <color indexed="64"/>
      </bottom>
      <diagonal/>
    </border>
    <border>
      <left style="dashed">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1">
    <xf numFmtId="0" fontId="0" fillId="0" borderId="0"/>
    <xf numFmtId="0" fontId="1" fillId="0" borderId="0"/>
    <xf numFmtId="164" fontId="1" fillId="0" borderId="0" applyFont="0" applyFill="0" applyBorder="0" applyAlignment="0" applyProtection="0"/>
    <xf numFmtId="0" fontId="2" fillId="0" borderId="0"/>
    <xf numFmtId="164" fontId="2" fillId="0" borderId="0" applyFont="0" applyFill="0" applyBorder="0" applyAlignment="0" applyProtection="0"/>
    <xf numFmtId="44" fontId="18" fillId="0" borderId="0" applyFont="0" applyFill="0" applyBorder="0" applyAlignment="0" applyProtection="0"/>
    <xf numFmtId="0" fontId="20" fillId="0" borderId="0" applyNumberFormat="0" applyFill="0" applyBorder="0" applyAlignment="0" applyProtection="0"/>
    <xf numFmtId="0" fontId="23" fillId="0" borderId="0"/>
    <xf numFmtId="9" fontId="18" fillId="0" borderId="0" applyFont="0" applyFill="0" applyBorder="0" applyAlignment="0" applyProtection="0"/>
    <xf numFmtId="9" fontId="1" fillId="0" borderId="0" applyFont="0" applyFill="0" applyBorder="0" applyAlignment="0" applyProtection="0"/>
    <xf numFmtId="170" fontId="1" fillId="0" borderId="0" applyFont="0" applyFill="0" applyBorder="0" applyAlignment="0" applyProtection="0"/>
  </cellStyleXfs>
  <cellXfs count="1223">
    <xf numFmtId="0" fontId="0" fillId="0" borderId="0" xfId="0"/>
    <xf numFmtId="0" fontId="0" fillId="0" borderId="0" xfId="0" applyAlignment="1">
      <alignment vertical="center"/>
    </xf>
    <xf numFmtId="0" fontId="12" fillId="0" borderId="0" xfId="0" applyFont="1" applyAlignment="1">
      <alignment horizontal="left" vertical="center"/>
    </xf>
    <xf numFmtId="0" fontId="12" fillId="0" borderId="0" xfId="0" applyFont="1" applyAlignment="1">
      <alignment vertical="center"/>
    </xf>
    <xf numFmtId="0" fontId="10" fillId="0" borderId="0" xfId="3" applyFont="1" applyAlignment="1">
      <alignment horizontal="right" vertical="center"/>
    </xf>
    <xf numFmtId="0" fontId="11" fillId="0" borderId="0" xfId="3" applyFont="1" applyAlignment="1">
      <alignment horizontal="left" vertical="center"/>
    </xf>
    <xf numFmtId="0" fontId="4" fillId="0" borderId="0" xfId="0" applyFont="1" applyAlignment="1">
      <alignment vertical="top"/>
    </xf>
    <xf numFmtId="0" fontId="14" fillId="0" borderId="45" xfId="0" applyFont="1" applyBorder="1" applyAlignment="1">
      <alignment vertical="center"/>
    </xf>
    <xf numFmtId="0" fontId="14" fillId="0" borderId="15" xfId="0" applyFont="1" applyBorder="1" applyAlignment="1">
      <alignment vertical="center"/>
    </xf>
    <xf numFmtId="0" fontId="14" fillId="0" borderId="43" xfId="0" applyFont="1" applyBorder="1" applyAlignment="1">
      <alignment vertical="center"/>
    </xf>
    <xf numFmtId="0" fontId="14" fillId="0" borderId="64" xfId="0" applyFont="1" applyBorder="1" applyAlignment="1">
      <alignment vertical="center"/>
    </xf>
    <xf numFmtId="0" fontId="14" fillId="0" borderId="45" xfId="0" applyFont="1" applyBorder="1" applyAlignment="1">
      <alignment horizontal="right" vertical="center"/>
    </xf>
    <xf numFmtId="0" fontId="14" fillId="0" borderId="15" xfId="0" applyFont="1" applyBorder="1" applyAlignment="1">
      <alignment horizontal="right" vertical="center"/>
    </xf>
    <xf numFmtId="0" fontId="14" fillId="0" borderId="43" xfId="0" applyFont="1" applyBorder="1" applyAlignment="1">
      <alignment horizontal="right" vertical="center"/>
    </xf>
    <xf numFmtId="0" fontId="14" fillId="0" borderId="66" xfId="0" applyFont="1" applyBorder="1" applyAlignment="1">
      <alignment horizontal="right" vertical="center"/>
    </xf>
    <xf numFmtId="0" fontId="14" fillId="0" borderId="66" xfId="0" applyFont="1" applyBorder="1" applyAlignment="1">
      <alignment vertical="center"/>
    </xf>
    <xf numFmtId="0" fontId="0" fillId="0" borderId="45" xfId="0" applyBorder="1"/>
    <xf numFmtId="0" fontId="0" fillId="0" borderId="15" xfId="0" applyBorder="1"/>
    <xf numFmtId="0" fontId="0" fillId="0" borderId="43" xfId="0" applyBorder="1"/>
    <xf numFmtId="0" fontId="0" fillId="0" borderId="64" xfId="0" applyBorder="1"/>
    <xf numFmtId="0" fontId="14" fillId="0" borderId="65" xfId="0" applyFont="1" applyBorder="1" applyAlignment="1">
      <alignment vertical="center"/>
    </xf>
    <xf numFmtId="0" fontId="0" fillId="0" borderId="65" xfId="0" applyBorder="1"/>
    <xf numFmtId="0" fontId="0" fillId="2" borderId="34" xfId="0" applyFill="1" applyBorder="1" applyAlignment="1">
      <alignment vertical="center"/>
    </xf>
    <xf numFmtId="0" fontId="14" fillId="0" borderId="70" xfId="0" applyFont="1" applyBorder="1" applyAlignment="1">
      <alignment vertical="center"/>
    </xf>
    <xf numFmtId="0" fontId="0" fillId="0" borderId="0" xfId="0" applyAlignment="1">
      <alignment horizontal="center" vertical="center"/>
    </xf>
    <xf numFmtId="0" fontId="7" fillId="0" borderId="10" xfId="3" applyFont="1" applyBorder="1" applyAlignment="1">
      <alignment horizontal="left" vertical="top" wrapText="1"/>
    </xf>
    <xf numFmtId="0" fontId="7" fillId="0" borderId="4" xfId="3" applyFont="1" applyBorder="1" applyAlignment="1">
      <alignment horizontal="left" vertical="top" wrapText="1"/>
    </xf>
    <xf numFmtId="0" fontId="7" fillId="0" borderId="14" xfId="3" applyFont="1" applyBorder="1" applyAlignment="1">
      <alignment horizontal="left" vertical="top" wrapText="1"/>
    </xf>
    <xf numFmtId="0" fontId="7" fillId="0" borderId="2" xfId="3" applyFont="1" applyBorder="1" applyAlignment="1">
      <alignment horizontal="left" vertical="top" wrapText="1"/>
    </xf>
    <xf numFmtId="0" fontId="1" fillId="0" borderId="0" xfId="1" applyAlignment="1">
      <alignment vertical="center"/>
    </xf>
    <xf numFmtId="0" fontId="1" fillId="0" borderId="0" xfId="1" applyAlignment="1">
      <alignment vertical="center" wrapText="1"/>
    </xf>
    <xf numFmtId="0" fontId="24" fillId="0" borderId="0" xfId="1" applyFont="1" applyAlignment="1">
      <alignment horizontal="center" vertical="center" wrapText="1"/>
    </xf>
    <xf numFmtId="0" fontId="1" fillId="0" borderId="0" xfId="1" applyAlignment="1">
      <alignment horizontal="center" vertical="center" wrapText="1"/>
    </xf>
    <xf numFmtId="0" fontId="1" fillId="0" borderId="0" xfId="1" applyAlignment="1">
      <alignment horizontal="left" vertical="center" wrapText="1"/>
    </xf>
    <xf numFmtId="0" fontId="0" fillId="0" borderId="15" xfId="0" applyBorder="1" applyAlignment="1">
      <alignment vertical="center"/>
    </xf>
    <xf numFmtId="0" fontId="0" fillId="6" borderId="12" xfId="0" applyFill="1" applyBorder="1" applyAlignment="1">
      <alignment vertical="center"/>
    </xf>
    <xf numFmtId="0" fontId="17" fillId="5" borderId="5" xfId="0" applyFont="1" applyFill="1" applyBorder="1" applyAlignment="1">
      <alignment horizontal="left" vertical="top"/>
    </xf>
    <xf numFmtId="0" fontId="17" fillId="5" borderId="6" xfId="0" applyFont="1" applyFill="1" applyBorder="1" applyAlignment="1">
      <alignment horizontal="left" vertical="top"/>
    </xf>
    <xf numFmtId="0" fontId="4" fillId="5" borderId="6" xfId="0" applyFont="1" applyFill="1" applyBorder="1" applyAlignment="1">
      <alignment vertical="top"/>
    </xf>
    <xf numFmtId="0" fontId="4" fillId="5" borderId="7" xfId="0" applyFont="1" applyFill="1" applyBorder="1" applyAlignment="1">
      <alignment vertical="top"/>
    </xf>
    <xf numFmtId="0" fontId="4" fillId="5" borderId="9" xfId="0" applyFont="1" applyFill="1" applyBorder="1" applyAlignment="1">
      <alignment vertical="top"/>
    </xf>
    <xf numFmtId="0" fontId="4" fillId="5" borderId="0" xfId="0" applyFont="1" applyFill="1" applyAlignment="1">
      <alignment vertical="top"/>
    </xf>
    <xf numFmtId="0" fontId="4" fillId="5" borderId="8" xfId="0" applyFont="1" applyFill="1" applyBorder="1" applyAlignment="1">
      <alignment vertical="top"/>
    </xf>
    <xf numFmtId="0" fontId="14" fillId="4" borderId="6" xfId="0" applyFont="1" applyFill="1" applyBorder="1"/>
    <xf numFmtId="0" fontId="14" fillId="4" borderId="7" xfId="0" applyFont="1" applyFill="1" applyBorder="1"/>
    <xf numFmtId="0" fontId="14" fillId="4" borderId="4" xfId="0" applyFont="1" applyFill="1" applyBorder="1"/>
    <xf numFmtId="0" fontId="14" fillId="4" borderId="14" xfId="0" applyFont="1" applyFill="1" applyBorder="1"/>
    <xf numFmtId="0" fontId="27" fillId="4" borderId="5" xfId="0" applyFont="1" applyFill="1" applyBorder="1" applyAlignment="1">
      <alignment vertical="center"/>
    </xf>
    <xf numFmtId="0" fontId="27" fillId="4" borderId="6" xfId="0" applyFont="1" applyFill="1" applyBorder="1"/>
    <xf numFmtId="0" fontId="27" fillId="4" borderId="7" xfId="0" applyFont="1" applyFill="1" applyBorder="1"/>
    <xf numFmtId="0" fontId="27" fillId="4" borderId="9" xfId="0" applyFont="1" applyFill="1" applyBorder="1" applyAlignment="1">
      <alignment vertical="center"/>
    </xf>
    <xf numFmtId="0" fontId="27" fillId="4" borderId="4" xfId="0" applyFont="1" applyFill="1" applyBorder="1"/>
    <xf numFmtId="0" fontId="27" fillId="4" borderId="14" xfId="0" applyFont="1" applyFill="1" applyBorder="1"/>
    <xf numFmtId="0" fontId="14" fillId="5" borderId="46" xfId="0" applyFont="1" applyFill="1" applyBorder="1" applyAlignment="1">
      <alignment vertical="center"/>
    </xf>
    <xf numFmtId="0" fontId="14" fillId="5" borderId="11" xfId="0" applyFont="1" applyFill="1" applyBorder="1" applyAlignment="1">
      <alignment vertical="center"/>
    </xf>
    <xf numFmtId="0" fontId="14" fillId="5" borderId="20" xfId="0" applyFont="1" applyFill="1" applyBorder="1" applyAlignment="1">
      <alignment vertical="center"/>
    </xf>
    <xf numFmtId="0" fontId="14" fillId="5" borderId="39" xfId="0" applyFont="1" applyFill="1" applyBorder="1" applyAlignment="1">
      <alignment vertical="center"/>
    </xf>
    <xf numFmtId="0" fontId="14" fillId="5" borderId="56" xfId="0" applyFont="1" applyFill="1" applyBorder="1" applyAlignment="1">
      <alignment vertical="center"/>
    </xf>
    <xf numFmtId="0" fontId="14" fillId="5" borderId="49" xfId="0" applyFont="1" applyFill="1" applyBorder="1" applyAlignment="1">
      <alignment vertical="center"/>
    </xf>
    <xf numFmtId="0" fontId="14" fillId="5" borderId="13" xfId="0" applyFont="1" applyFill="1" applyBorder="1" applyAlignment="1">
      <alignment vertical="center"/>
    </xf>
    <xf numFmtId="0" fontId="0" fillId="6" borderId="24" xfId="0" applyFill="1" applyBorder="1"/>
    <xf numFmtId="0" fontId="0" fillId="6" borderId="10" xfId="0" applyFill="1" applyBorder="1"/>
    <xf numFmtId="0" fontId="14" fillId="6" borderId="32" xfId="0" applyFont="1" applyFill="1" applyBorder="1" applyAlignment="1">
      <alignment vertical="center"/>
    </xf>
    <xf numFmtId="0" fontId="14" fillId="6" borderId="44" xfId="0" applyFont="1" applyFill="1" applyBorder="1" applyAlignment="1">
      <alignment vertical="center"/>
    </xf>
    <xf numFmtId="0" fontId="14" fillId="6" borderId="12" xfId="0" applyFont="1" applyFill="1" applyBorder="1" applyAlignment="1">
      <alignment vertical="center"/>
    </xf>
    <xf numFmtId="0" fontId="14" fillId="6" borderId="48" xfId="0" applyFont="1" applyFill="1" applyBorder="1" applyAlignment="1">
      <alignment vertical="center"/>
    </xf>
    <xf numFmtId="0" fontId="14" fillId="5" borderId="24" xfId="0" applyFont="1" applyFill="1" applyBorder="1" applyAlignment="1">
      <alignment vertical="center"/>
    </xf>
    <xf numFmtId="0" fontId="14" fillId="5" borderId="26" xfId="0" applyFont="1" applyFill="1" applyBorder="1" applyAlignment="1">
      <alignment vertical="center"/>
    </xf>
    <xf numFmtId="0" fontId="14" fillId="5" borderId="42" xfId="0" applyFont="1" applyFill="1" applyBorder="1" applyAlignment="1">
      <alignment vertical="center"/>
    </xf>
    <xf numFmtId="0" fontId="14" fillId="5" borderId="21" xfId="0" applyFont="1" applyFill="1" applyBorder="1" applyAlignment="1">
      <alignment vertical="center"/>
    </xf>
    <xf numFmtId="0" fontId="14" fillId="6" borderId="32" xfId="0" applyFont="1" applyFill="1" applyBorder="1" applyAlignment="1">
      <alignment horizontal="center" vertical="center"/>
    </xf>
    <xf numFmtId="0" fontId="5" fillId="5" borderId="36" xfId="3" applyFont="1" applyFill="1" applyBorder="1"/>
    <xf numFmtId="0" fontId="14" fillId="5" borderId="37" xfId="0" applyFont="1" applyFill="1" applyBorder="1"/>
    <xf numFmtId="0" fontId="8" fillId="5" borderId="37" xfId="0" applyFont="1" applyFill="1" applyBorder="1"/>
    <xf numFmtId="0" fontId="6" fillId="6" borderId="12" xfId="3" applyFont="1" applyFill="1" applyBorder="1"/>
    <xf numFmtId="0" fontId="14" fillId="6" borderId="12" xfId="0" applyFont="1" applyFill="1" applyBorder="1"/>
    <xf numFmtId="0" fontId="6" fillId="6" borderId="37" xfId="3" applyFont="1" applyFill="1" applyBorder="1"/>
    <xf numFmtId="0" fontId="14" fillId="6" borderId="37" xfId="0" applyFont="1" applyFill="1" applyBorder="1"/>
    <xf numFmtId="0" fontId="0" fillId="0" borderId="27" xfId="0" applyBorder="1" applyAlignment="1">
      <alignment horizontal="right" vertical="center"/>
    </xf>
    <xf numFmtId="0" fontId="0" fillId="0" borderId="23" xfId="0" applyBorder="1"/>
    <xf numFmtId="0" fontId="0" fillId="0" borderId="43" xfId="0" applyBorder="1" applyAlignment="1">
      <alignment vertical="center"/>
    </xf>
    <xf numFmtId="0" fontId="0" fillId="0" borderId="29" xfId="0" applyBorder="1" applyAlignment="1">
      <alignment vertical="center"/>
    </xf>
    <xf numFmtId="0" fontId="14" fillId="0" borderId="0" xfId="0" applyFont="1"/>
    <xf numFmtId="0" fontId="0" fillId="0" borderId="0" xfId="0" applyAlignment="1">
      <alignment horizontal="right" vertical="center" textRotation="90" wrapText="1"/>
    </xf>
    <xf numFmtId="0" fontId="0" fillId="0" borderId="0" xfId="0" applyAlignment="1">
      <alignment horizontal="right" vertical="center"/>
    </xf>
    <xf numFmtId="0" fontId="0" fillId="0" borderId="0" xfId="0" applyAlignment="1">
      <alignment horizontal="right" vertical="center" wrapText="1"/>
    </xf>
    <xf numFmtId="0" fontId="0" fillId="6" borderId="12" xfId="0" applyFill="1" applyBorder="1" applyAlignment="1">
      <alignment horizontal="left" vertical="center"/>
    </xf>
    <xf numFmtId="0" fontId="0" fillId="7" borderId="0" xfId="0" applyFill="1"/>
    <xf numFmtId="165" fontId="11" fillId="0" borderId="0" xfId="0" applyNumberFormat="1" applyFont="1"/>
    <xf numFmtId="9" fontId="11" fillId="0" borderId="0" xfId="0" applyNumberFormat="1" applyFont="1"/>
    <xf numFmtId="0" fontId="0" fillId="0" borderId="0" xfId="0" applyAlignment="1">
      <alignment horizontal="right"/>
    </xf>
    <xf numFmtId="14" fontId="0" fillId="0" borderId="0" xfId="0" applyNumberFormat="1"/>
    <xf numFmtId="0" fontId="0" fillId="7" borderId="34" xfId="0" applyFill="1" applyBorder="1" applyAlignment="1" applyProtection="1">
      <alignment vertical="center"/>
      <protection locked="0"/>
    </xf>
    <xf numFmtId="0" fontId="0" fillId="0" borderId="12" xfId="0" applyBorder="1" applyAlignment="1" applyProtection="1">
      <alignment vertical="center"/>
      <protection locked="0"/>
    </xf>
    <xf numFmtId="0" fontId="19" fillId="9" borderId="12" xfId="0" applyFont="1" applyFill="1" applyBorder="1" applyAlignment="1" applyProtection="1">
      <alignment horizontal="center" vertical="center"/>
      <protection locked="0"/>
    </xf>
    <xf numFmtId="0" fontId="6" fillId="7" borderId="32" xfId="3" applyFont="1" applyFill="1" applyBorder="1" applyAlignment="1" applyProtection="1">
      <alignment horizontal="center" vertical="center"/>
      <protection locked="0"/>
    </xf>
    <xf numFmtId="0" fontId="6" fillId="7" borderId="12" xfId="3" applyFont="1" applyFill="1" applyBorder="1" applyAlignment="1" applyProtection="1">
      <alignment horizontal="center" vertical="center"/>
      <protection locked="0"/>
    </xf>
    <xf numFmtId="0" fontId="6" fillId="7" borderId="47" xfId="3" applyFont="1" applyFill="1" applyBorder="1" applyAlignment="1" applyProtection="1">
      <alignment horizontal="center" vertical="center"/>
      <protection locked="0"/>
    </xf>
    <xf numFmtId="0" fontId="14" fillId="7" borderId="12" xfId="0" applyFont="1" applyFill="1" applyBorder="1" applyAlignment="1" applyProtection="1">
      <alignment horizontal="center" vertical="center"/>
      <protection locked="0"/>
    </xf>
    <xf numFmtId="0" fontId="14" fillId="0" borderId="32" xfId="0" applyFont="1" applyBorder="1" applyAlignment="1" applyProtection="1">
      <alignment horizontal="center" vertical="center"/>
      <protection locked="0"/>
    </xf>
    <xf numFmtId="0" fontId="14" fillId="0" borderId="12" xfId="0" applyFont="1" applyBorder="1" applyAlignment="1" applyProtection="1">
      <alignment horizontal="center" vertical="center"/>
      <protection locked="0"/>
    </xf>
    <xf numFmtId="0" fontId="14" fillId="0" borderId="37" xfId="0" applyFont="1" applyBorder="1" applyAlignment="1" applyProtection="1">
      <alignment horizontal="center" vertical="center"/>
      <protection locked="0"/>
    </xf>
    <xf numFmtId="0" fontId="7" fillId="0" borderId="6" xfId="3" applyFont="1" applyBorder="1" applyAlignment="1" applyProtection="1">
      <alignment vertical="top"/>
      <protection locked="0"/>
    </xf>
    <xf numFmtId="0" fontId="0" fillId="6" borderId="12" xfId="0" applyFill="1" applyBorder="1" applyAlignment="1">
      <alignment horizontal="right" vertical="center"/>
    </xf>
    <xf numFmtId="0" fontId="14" fillId="6" borderId="12" xfId="0" applyFont="1" applyFill="1" applyBorder="1" applyAlignment="1" applyProtection="1">
      <alignment vertical="center"/>
      <protection locked="0"/>
    </xf>
    <xf numFmtId="0" fontId="14" fillId="0" borderId="0" xfId="0" applyFont="1" applyProtection="1">
      <protection locked="0"/>
    </xf>
    <xf numFmtId="0" fontId="0" fillId="0" borderId="0" xfId="0" applyProtection="1">
      <protection locked="0"/>
    </xf>
    <xf numFmtId="0" fontId="22" fillId="0" borderId="0" xfId="1" applyFont="1" applyAlignment="1">
      <alignment horizontal="center" vertical="center" wrapText="1"/>
    </xf>
    <xf numFmtId="0" fontId="36" fillId="0" borderId="0" xfId="1" applyFont="1" applyAlignment="1">
      <alignment horizontal="left" vertical="center" wrapText="1"/>
    </xf>
    <xf numFmtId="0" fontId="37" fillId="0" borderId="0" xfId="1" applyFont="1" applyAlignment="1">
      <alignment vertical="center" wrapText="1"/>
    </xf>
    <xf numFmtId="0" fontId="5" fillId="0" borderId="12" xfId="3" applyFont="1" applyBorder="1" applyAlignment="1">
      <alignment horizontal="center" vertical="center"/>
    </xf>
    <xf numFmtId="0" fontId="3" fillId="5" borderId="25" xfId="0" applyFont="1" applyFill="1" applyBorder="1" applyAlignment="1">
      <alignment vertical="center"/>
    </xf>
    <xf numFmtId="0" fontId="3" fillId="5" borderId="16" xfId="0" applyFont="1" applyFill="1" applyBorder="1" applyAlignment="1">
      <alignment vertical="center"/>
    </xf>
    <xf numFmtId="0" fontId="3" fillId="5" borderId="16" xfId="0" applyFont="1" applyFill="1" applyBorder="1" applyAlignment="1" applyProtection="1">
      <alignment vertical="center"/>
      <protection locked="0"/>
    </xf>
    <xf numFmtId="0" fontId="5" fillId="0" borderId="48" xfId="3" applyFont="1" applyBorder="1" applyAlignment="1">
      <alignment horizontal="center" vertical="center"/>
    </xf>
    <xf numFmtId="0" fontId="5" fillId="0" borderId="16" xfId="3" applyFont="1" applyBorder="1" applyAlignment="1">
      <alignment horizontal="center" vertical="center"/>
    </xf>
    <xf numFmtId="0" fontId="0" fillId="0" borderId="58" xfId="0" applyBorder="1" applyAlignment="1">
      <alignment horizontal="center" vertical="center"/>
    </xf>
    <xf numFmtId="0" fontId="0" fillId="0" borderId="60" xfId="0" applyBorder="1" applyAlignment="1">
      <alignment horizontal="center" vertical="center"/>
    </xf>
    <xf numFmtId="0" fontId="0" fillId="0" borderId="0" xfId="0" applyAlignment="1">
      <alignment horizontal="center"/>
    </xf>
    <xf numFmtId="0" fontId="0" fillId="0" borderId="16" xfId="0" applyBorder="1" applyAlignment="1">
      <alignment horizontal="center"/>
    </xf>
    <xf numFmtId="0" fontId="0" fillId="0" borderId="0" xfId="0" applyAlignment="1">
      <alignment wrapText="1"/>
    </xf>
    <xf numFmtId="0" fontId="19" fillId="0" borderId="58" xfId="0" applyFont="1" applyBorder="1" applyAlignment="1">
      <alignment horizontal="center" vertical="center"/>
    </xf>
    <xf numFmtId="0" fontId="0" fillId="0" borderId="0" xfId="0" quotePrefix="1"/>
    <xf numFmtId="0" fontId="0" fillId="0" borderId="0" xfId="0" applyAlignment="1">
      <alignment horizontal="left"/>
    </xf>
    <xf numFmtId="0" fontId="0" fillId="0" borderId="36" xfId="0" applyBorder="1" applyAlignment="1">
      <alignment horizontal="right" vertical="center"/>
    </xf>
    <xf numFmtId="0" fontId="0" fillId="0" borderId="37" xfId="0" applyBorder="1" applyAlignment="1">
      <alignment horizontal="right" vertical="center"/>
    </xf>
    <xf numFmtId="0" fontId="0" fillId="7" borderId="37" xfId="0" applyFill="1" applyBorder="1" applyAlignment="1" applyProtection="1">
      <alignment horizontal="center" vertical="center"/>
      <protection locked="0"/>
    </xf>
    <xf numFmtId="0" fontId="0" fillId="0" borderId="37" xfId="0" applyBorder="1" applyAlignment="1">
      <alignment horizontal="left" vertical="center"/>
    </xf>
    <xf numFmtId="0" fontId="3" fillId="5" borderId="37" xfId="0" applyFont="1" applyFill="1" applyBorder="1" applyAlignment="1">
      <alignment horizontal="center" vertical="center"/>
    </xf>
    <xf numFmtId="0" fontId="3" fillId="5" borderId="38" xfId="0" applyFont="1" applyFill="1" applyBorder="1" applyAlignment="1">
      <alignment horizontal="center" vertical="center"/>
    </xf>
    <xf numFmtId="0" fontId="0" fillId="7" borderId="9" xfId="0" applyFill="1" applyBorder="1" applyAlignment="1" applyProtection="1">
      <alignment horizontal="left" vertical="top" wrapText="1"/>
      <protection locked="0"/>
    </xf>
    <xf numFmtId="0" fontId="0" fillId="7" borderId="0" xfId="0" applyFill="1" applyAlignment="1" applyProtection="1">
      <alignment horizontal="left" vertical="top" wrapText="1"/>
      <protection locked="0"/>
    </xf>
    <xf numFmtId="0" fontId="0" fillId="7" borderId="8" xfId="0" applyFill="1" applyBorder="1" applyAlignment="1" applyProtection="1">
      <alignment horizontal="left" vertical="top" wrapText="1"/>
      <protection locked="0"/>
    </xf>
    <xf numFmtId="0" fontId="3" fillId="5" borderId="24" xfId="0" applyFont="1" applyFill="1" applyBorder="1" applyAlignment="1">
      <alignment horizontal="left" vertical="center"/>
    </xf>
    <xf numFmtId="0" fontId="3" fillId="5" borderId="30" xfId="0" applyFont="1" applyFill="1" applyBorder="1" applyAlignment="1">
      <alignment horizontal="left" vertical="center"/>
    </xf>
    <xf numFmtId="0" fontId="3" fillId="5" borderId="23" xfId="0" applyFont="1" applyFill="1" applyBorder="1" applyAlignment="1">
      <alignment horizontal="left" vertical="center"/>
    </xf>
    <xf numFmtId="0" fontId="6" fillId="6" borderId="25" xfId="3" applyFont="1" applyFill="1" applyBorder="1" applyAlignment="1">
      <alignment horizontal="right" vertical="center"/>
    </xf>
    <xf numFmtId="0" fontId="6" fillId="6" borderId="16" xfId="3" applyFont="1" applyFill="1" applyBorder="1" applyAlignment="1">
      <alignment horizontal="right" vertical="center"/>
    </xf>
    <xf numFmtId="0" fontId="6" fillId="6" borderId="64" xfId="3" applyFont="1" applyFill="1" applyBorder="1" applyAlignment="1">
      <alignment horizontal="right" vertical="center"/>
    </xf>
    <xf numFmtId="0" fontId="6" fillId="0" borderId="17" xfId="3" applyFont="1" applyBorder="1" applyAlignment="1" applyProtection="1">
      <alignment horizontal="left" vertical="center"/>
      <protection locked="0"/>
    </xf>
    <xf numFmtId="0" fontId="6" fillId="0" borderId="16" xfId="3" applyFont="1" applyBorder="1" applyAlignment="1" applyProtection="1">
      <alignment horizontal="left" vertical="center"/>
      <protection locked="0"/>
    </xf>
    <xf numFmtId="0" fontId="6" fillId="6" borderId="39" xfId="3" applyFont="1" applyFill="1" applyBorder="1" applyAlignment="1">
      <alignment horizontal="right" vertical="center"/>
    </xf>
    <xf numFmtId="0" fontId="6" fillId="6" borderId="28" xfId="3" applyFont="1" applyFill="1" applyBorder="1" applyAlignment="1">
      <alignment horizontal="right" vertical="center"/>
    </xf>
    <xf numFmtId="0" fontId="6" fillId="0" borderId="39" xfId="3" applyFont="1" applyBorder="1" applyAlignment="1" applyProtection="1">
      <alignment horizontal="left" vertical="center"/>
      <protection locked="0"/>
    </xf>
    <xf numFmtId="0" fontId="6" fillId="0" borderId="28" xfId="3" applyFont="1" applyBorder="1" applyAlignment="1" applyProtection="1">
      <alignment horizontal="left" vertical="center"/>
      <protection locked="0"/>
    </xf>
    <xf numFmtId="0" fontId="6" fillId="0" borderId="29" xfId="3" applyFont="1" applyBorder="1" applyAlignment="1" applyProtection="1">
      <alignment horizontal="left" vertical="center"/>
      <protection locked="0"/>
    </xf>
    <xf numFmtId="0" fontId="0" fillId="7" borderId="13" xfId="0" applyFill="1" applyBorder="1" applyAlignment="1" applyProtection="1">
      <alignment horizontal="center" vertical="center"/>
      <protection locked="0"/>
    </xf>
    <xf numFmtId="0" fontId="0" fillId="7" borderId="4" xfId="0" applyFill="1" applyBorder="1" applyAlignment="1" applyProtection="1">
      <alignment horizontal="center" vertical="center"/>
      <protection locked="0"/>
    </xf>
    <xf numFmtId="0" fontId="0" fillId="7" borderId="14" xfId="0" applyFill="1" applyBorder="1" applyAlignment="1" applyProtection="1">
      <alignment horizontal="center" vertical="center"/>
      <protection locked="0"/>
    </xf>
    <xf numFmtId="0" fontId="0" fillId="6" borderId="26" xfId="0" applyFill="1" applyBorder="1" applyAlignment="1">
      <alignment horizontal="right" vertical="center" wrapText="1"/>
    </xf>
    <xf numFmtId="0" fontId="0" fillId="6" borderId="18" xfId="0" applyFill="1" applyBorder="1" applyAlignment="1">
      <alignment horizontal="right" vertical="center" wrapText="1"/>
    </xf>
    <xf numFmtId="0" fontId="0" fillId="6" borderId="26" xfId="0" applyFill="1" applyBorder="1" applyAlignment="1">
      <alignment horizontal="right" vertical="center"/>
    </xf>
    <xf numFmtId="0" fontId="0" fillId="6" borderId="18" xfId="0" applyFill="1" applyBorder="1" applyAlignment="1">
      <alignment horizontal="right" vertical="center"/>
    </xf>
    <xf numFmtId="0" fontId="0" fillId="6" borderId="15" xfId="0" applyFill="1" applyBorder="1" applyAlignment="1">
      <alignment horizontal="right" vertical="center"/>
    </xf>
    <xf numFmtId="0" fontId="0" fillId="6" borderId="25" xfId="0" applyFill="1" applyBorder="1" applyAlignment="1">
      <alignment horizontal="right" vertical="center"/>
    </xf>
    <xf numFmtId="0" fontId="0" fillId="6" borderId="16" xfId="0" applyFill="1" applyBorder="1" applyAlignment="1">
      <alignment horizontal="right" vertical="center"/>
    </xf>
    <xf numFmtId="0" fontId="0" fillId="8" borderId="17" xfId="0" applyFill="1" applyBorder="1" applyAlignment="1" applyProtection="1">
      <alignment horizontal="center" vertical="center"/>
      <protection locked="0"/>
    </xf>
    <xf numFmtId="0" fontId="0" fillId="8" borderId="16" xfId="0" applyFill="1" applyBorder="1" applyAlignment="1" applyProtection="1">
      <alignment horizontal="center" vertical="center"/>
      <protection locked="0"/>
    </xf>
    <xf numFmtId="0" fontId="0" fillId="8" borderId="22" xfId="0" applyFill="1" applyBorder="1" applyAlignment="1" applyProtection="1">
      <alignment horizontal="center" vertical="center"/>
      <protection locked="0"/>
    </xf>
    <xf numFmtId="14" fontId="0" fillId="10" borderId="17" xfId="0" applyNumberFormat="1" applyFill="1" applyBorder="1" applyAlignment="1" applyProtection="1">
      <alignment horizontal="center" vertical="center"/>
      <protection locked="0"/>
    </xf>
    <xf numFmtId="0" fontId="0" fillId="10" borderId="16" xfId="0" applyFill="1" applyBorder="1" applyAlignment="1" applyProtection="1">
      <alignment horizontal="center" vertical="center"/>
      <protection locked="0"/>
    </xf>
    <xf numFmtId="0" fontId="0" fillId="10" borderId="22" xfId="0" applyFill="1" applyBorder="1" applyAlignment="1" applyProtection="1">
      <alignment horizontal="center" vertical="center"/>
      <protection locked="0"/>
    </xf>
    <xf numFmtId="0" fontId="0" fillId="0" borderId="12" xfId="0" applyBorder="1" applyAlignment="1">
      <alignment horizontal="right" vertical="center"/>
    </xf>
    <xf numFmtId="0" fontId="0" fillId="7" borderId="12" xfId="0" applyFill="1" applyBorder="1" applyAlignment="1" applyProtection="1">
      <alignment horizontal="center" vertical="center"/>
      <protection locked="0"/>
    </xf>
    <xf numFmtId="0" fontId="0" fillId="0" borderId="12" xfId="0" applyBorder="1" applyAlignment="1">
      <alignment horizontal="left" vertical="center"/>
    </xf>
    <xf numFmtId="0" fontId="0" fillId="0" borderId="35" xfId="0" applyBorder="1" applyAlignment="1">
      <alignment horizontal="left" vertical="center"/>
    </xf>
    <xf numFmtId="0" fontId="0" fillId="0" borderId="34" xfId="0" applyBorder="1" applyAlignment="1">
      <alignment horizontal="right" vertical="center"/>
    </xf>
    <xf numFmtId="0" fontId="0" fillId="6" borderId="34" xfId="0" applyFill="1" applyBorder="1" applyAlignment="1">
      <alignment horizontal="right" vertical="center" wrapText="1"/>
    </xf>
    <xf numFmtId="0" fontId="0" fillId="6" borderId="12" xfId="0" applyFill="1" applyBorder="1" applyAlignment="1">
      <alignment horizontal="right" vertical="center" wrapText="1"/>
    </xf>
    <xf numFmtId="0" fontId="0" fillId="6" borderId="34" xfId="0" applyFill="1" applyBorder="1" applyAlignment="1">
      <alignment horizontal="right" vertical="center"/>
    </xf>
    <xf numFmtId="0" fontId="0" fillId="6" borderId="12" xfId="0" applyFill="1" applyBorder="1" applyAlignment="1">
      <alignment horizontal="right" vertical="center"/>
    </xf>
    <xf numFmtId="0" fontId="25" fillId="4" borderId="5" xfId="0" applyFont="1" applyFill="1" applyBorder="1" applyAlignment="1">
      <alignment horizontal="left" vertical="center"/>
    </xf>
    <xf numFmtId="0" fontId="25" fillId="4" borderId="6" xfId="0" applyFont="1" applyFill="1" applyBorder="1" applyAlignment="1">
      <alignment horizontal="left" vertical="center"/>
    </xf>
    <xf numFmtId="0" fontId="25" fillId="4" borderId="7" xfId="0" applyFont="1" applyFill="1" applyBorder="1" applyAlignment="1">
      <alignment horizontal="left" vertical="center"/>
    </xf>
    <xf numFmtId="0" fontId="25" fillId="4" borderId="10" xfId="0" applyFont="1" applyFill="1" applyBorder="1" applyAlignment="1">
      <alignment horizontal="left" vertical="center"/>
    </xf>
    <xf numFmtId="0" fontId="25" fillId="4" borderId="4" xfId="0" applyFont="1" applyFill="1" applyBorder="1" applyAlignment="1">
      <alignment horizontal="left" vertical="center"/>
    </xf>
    <xf numFmtId="0" fontId="25" fillId="4" borderId="14" xfId="0" applyFont="1" applyFill="1" applyBorder="1" applyAlignment="1">
      <alignment horizontal="left" vertical="center"/>
    </xf>
    <xf numFmtId="0" fontId="3" fillId="5" borderId="31" xfId="0" applyFont="1" applyFill="1" applyBorder="1" applyAlignment="1">
      <alignment horizontal="left" vertical="center"/>
    </xf>
    <xf numFmtId="0" fontId="3" fillId="5" borderId="32" xfId="0" applyFont="1" applyFill="1" applyBorder="1" applyAlignment="1">
      <alignment horizontal="left" vertical="center"/>
    </xf>
    <xf numFmtId="0" fontId="3" fillId="5" borderId="33" xfId="0" applyFont="1" applyFill="1" applyBorder="1" applyAlignment="1">
      <alignment horizontal="left" vertical="center"/>
    </xf>
    <xf numFmtId="0" fontId="0" fillId="0" borderId="12"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6" borderId="11" xfId="0" applyFill="1" applyBorder="1" applyAlignment="1">
      <alignment horizontal="left" vertical="center"/>
    </xf>
    <xf numFmtId="0" fontId="0" fillId="6" borderId="18" xfId="0" applyFill="1" applyBorder="1" applyAlignment="1">
      <alignment horizontal="left" vertical="center"/>
    </xf>
    <xf numFmtId="0" fontId="0" fillId="6" borderId="27" xfId="0" applyFill="1" applyBorder="1" applyAlignment="1">
      <alignment horizontal="left" vertical="center"/>
    </xf>
    <xf numFmtId="0" fontId="0" fillId="6" borderId="15" xfId="0" applyFill="1" applyBorder="1" applyAlignment="1">
      <alignment horizontal="left" vertical="center"/>
    </xf>
    <xf numFmtId="0" fontId="3" fillId="5" borderId="24" xfId="0" applyFont="1" applyFill="1" applyBorder="1" applyAlignment="1">
      <alignment horizontal="right" vertical="center"/>
    </xf>
    <xf numFmtId="0" fontId="3" fillId="5" borderId="30" xfId="0" applyFont="1" applyFill="1" applyBorder="1" applyAlignment="1">
      <alignment horizontal="right" vertical="center"/>
    </xf>
    <xf numFmtId="0" fontId="3" fillId="5" borderId="45" xfId="0" applyFont="1" applyFill="1" applyBorder="1" applyAlignment="1">
      <alignment horizontal="right" vertical="center"/>
    </xf>
    <xf numFmtId="0" fontId="3" fillId="0" borderId="46" xfId="0" applyFont="1" applyBorder="1" applyAlignment="1">
      <alignment horizontal="center" vertical="center"/>
    </xf>
    <xf numFmtId="0" fontId="3" fillId="0" borderId="30" xfId="0" applyFont="1" applyBorder="1" applyAlignment="1">
      <alignment horizontal="center" vertical="center"/>
    </xf>
    <xf numFmtId="0" fontId="3" fillId="0" borderId="23" xfId="0" applyFont="1" applyBorder="1" applyAlignment="1">
      <alignment horizontal="center" vertical="center"/>
    </xf>
    <xf numFmtId="9" fontId="0" fillId="0" borderId="17" xfId="0" applyNumberFormat="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44" fontId="0" fillId="0" borderId="17" xfId="5" applyFont="1" applyFill="1" applyBorder="1" applyAlignment="1" applyProtection="1">
      <alignment horizontal="center" vertical="center"/>
      <protection locked="0"/>
    </xf>
    <xf numFmtId="44" fontId="0" fillId="0" borderId="16" xfId="5" applyFont="1" applyFill="1" applyBorder="1" applyAlignment="1" applyProtection="1">
      <alignment horizontal="center" vertical="center"/>
      <protection locked="0"/>
    </xf>
    <xf numFmtId="44" fontId="0" fillId="0" borderId="22" xfId="5" applyFont="1" applyFill="1" applyBorder="1" applyAlignment="1" applyProtection="1">
      <alignment horizontal="center" vertical="center"/>
      <protection locked="0"/>
    </xf>
    <xf numFmtId="0" fontId="0" fillId="6" borderId="42" xfId="0" applyFill="1" applyBorder="1" applyAlignment="1">
      <alignment horizontal="right" vertical="center" wrapText="1"/>
    </xf>
    <xf numFmtId="0" fontId="0" fillId="6" borderId="28" xfId="0" applyFill="1" applyBorder="1" applyAlignment="1">
      <alignment horizontal="right" vertical="center" wrapText="1"/>
    </xf>
    <xf numFmtId="0" fontId="0" fillId="8" borderId="13" xfId="0" applyFill="1" applyBorder="1" applyAlignment="1" applyProtection="1">
      <alignment horizontal="center" vertical="center"/>
      <protection locked="0"/>
    </xf>
    <xf numFmtId="0" fontId="0" fillId="8" borderId="4"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6" borderId="41" xfId="0" applyFill="1" applyBorder="1" applyAlignment="1">
      <alignment horizontal="right" vertical="center"/>
    </xf>
    <xf numFmtId="0" fontId="0" fillId="6" borderId="44" xfId="0" applyFill="1" applyBorder="1" applyAlignment="1">
      <alignment horizontal="right" vertical="center"/>
    </xf>
    <xf numFmtId="0" fontId="0" fillId="7" borderId="44" xfId="0" applyFill="1" applyBorder="1" applyAlignment="1" applyProtection="1">
      <alignment horizontal="center" vertical="center"/>
      <protection locked="0"/>
    </xf>
    <xf numFmtId="0" fontId="0" fillId="7" borderId="51" xfId="0" applyFill="1" applyBorder="1" applyAlignment="1" applyProtection="1">
      <alignment horizontal="center" vertical="center"/>
      <protection locked="0"/>
    </xf>
    <xf numFmtId="0" fontId="0" fillId="6" borderId="15" xfId="0" applyFill="1" applyBorder="1" applyAlignment="1">
      <alignment horizontal="right" vertical="center" wrapText="1"/>
    </xf>
    <xf numFmtId="0" fontId="0" fillId="7" borderId="11" xfId="0"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0" fontId="0" fillId="7" borderId="27" xfId="0" applyFill="1" applyBorder="1" applyAlignment="1" applyProtection="1">
      <alignment horizontal="center" vertical="center"/>
      <protection locked="0"/>
    </xf>
    <xf numFmtId="0" fontId="0" fillId="7" borderId="12" xfId="0" quotePrefix="1" applyFill="1" applyBorder="1" applyAlignment="1" applyProtection="1">
      <alignment horizontal="center" vertical="center"/>
      <protection locked="0"/>
    </xf>
    <xf numFmtId="14" fontId="0" fillId="7" borderId="17" xfId="0" applyNumberFormat="1" applyFill="1" applyBorder="1" applyAlignment="1" applyProtection="1">
      <alignment horizontal="center" vertical="center"/>
      <protection locked="0"/>
    </xf>
    <xf numFmtId="0" fontId="0" fillId="7" borderId="16" xfId="0" applyFill="1" applyBorder="1" applyAlignment="1" applyProtection="1">
      <alignment horizontal="center" vertical="center"/>
      <protection locked="0"/>
    </xf>
    <xf numFmtId="0" fontId="0" fillId="7" borderId="22" xfId="0" applyFill="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6" borderId="37" xfId="0" applyFill="1" applyBorder="1" applyAlignment="1">
      <alignment horizontal="left" vertical="center"/>
    </xf>
    <xf numFmtId="0" fontId="0" fillId="0" borderId="38" xfId="0" applyBorder="1" applyAlignment="1" applyProtection="1">
      <alignment horizontal="center" vertical="center"/>
      <protection locked="0"/>
    </xf>
    <xf numFmtId="0" fontId="0" fillId="7" borderId="35" xfId="0" applyFill="1" applyBorder="1" applyAlignment="1" applyProtection="1">
      <alignment horizontal="center" vertical="center"/>
      <protection locked="0"/>
    </xf>
    <xf numFmtId="0" fontId="0" fillId="7" borderId="38" xfId="0" applyFill="1" applyBorder="1" applyAlignment="1" applyProtection="1">
      <alignment horizontal="center" vertical="center"/>
      <protection locked="0"/>
    </xf>
    <xf numFmtId="0" fontId="3" fillId="5" borderId="46" xfId="0" applyFont="1" applyFill="1" applyBorder="1" applyAlignment="1">
      <alignment horizontal="left" vertical="center"/>
    </xf>
    <xf numFmtId="0" fontId="38" fillId="4" borderId="6" xfId="0" applyFont="1" applyFill="1" applyBorder="1" applyAlignment="1">
      <alignment horizontal="center" vertical="center" wrapText="1"/>
    </xf>
    <xf numFmtId="0" fontId="38" fillId="4" borderId="0" xfId="0" applyFont="1" applyFill="1" applyAlignment="1">
      <alignment horizontal="center" vertical="center" wrapText="1"/>
    </xf>
    <xf numFmtId="0" fontId="38" fillId="4" borderId="4" xfId="0" applyFont="1" applyFill="1" applyBorder="1" applyAlignment="1">
      <alignment horizontal="center" vertical="center" wrapText="1"/>
    </xf>
    <xf numFmtId="0" fontId="5" fillId="6" borderId="54" xfId="3" applyFont="1" applyFill="1" applyBorder="1" applyAlignment="1">
      <alignment horizontal="right" vertical="center"/>
    </xf>
    <xf numFmtId="0" fontId="5" fillId="6" borderId="47" xfId="3" applyFont="1" applyFill="1" applyBorder="1" applyAlignment="1">
      <alignment horizontal="right" vertical="center"/>
    </xf>
    <xf numFmtId="0" fontId="43" fillId="6" borderId="47" xfId="3" applyFont="1" applyFill="1" applyBorder="1" applyAlignment="1">
      <alignment horizontal="left" vertical="center"/>
    </xf>
    <xf numFmtId="0" fontId="8" fillId="6" borderId="47" xfId="0" applyFont="1" applyFill="1" applyBorder="1" applyAlignment="1">
      <alignment horizontal="left" vertical="center"/>
    </xf>
    <xf numFmtId="0" fontId="8" fillId="6" borderId="55" xfId="0" applyFont="1" applyFill="1" applyBorder="1" applyAlignment="1">
      <alignment horizontal="left" vertical="center"/>
    </xf>
    <xf numFmtId="0" fontId="0" fillId="6" borderId="34" xfId="0" applyFill="1" applyBorder="1" applyAlignment="1">
      <alignment horizontal="left" vertical="center"/>
    </xf>
    <xf numFmtId="0" fontId="0" fillId="6" borderId="12" xfId="0" applyFill="1" applyBorder="1" applyAlignment="1">
      <alignment horizontal="left" vertical="center"/>
    </xf>
    <xf numFmtId="0" fontId="0" fillId="6" borderId="35" xfId="0" applyFill="1" applyBorder="1" applyAlignment="1">
      <alignment horizontal="left" vertical="center"/>
    </xf>
    <xf numFmtId="0" fontId="6" fillId="6" borderId="12" xfId="3" applyFont="1" applyFill="1" applyBorder="1" applyAlignment="1">
      <alignment horizontal="left" vertical="center"/>
    </xf>
    <xf numFmtId="0" fontId="8" fillId="6" borderId="12" xfId="0" applyFont="1" applyFill="1" applyBorder="1" applyAlignment="1">
      <alignment horizontal="left" vertical="center"/>
    </xf>
    <xf numFmtId="0" fontId="8" fillId="6" borderId="35" xfId="0" applyFont="1" applyFill="1" applyBorder="1" applyAlignment="1">
      <alignment horizontal="left" vertical="center"/>
    </xf>
    <xf numFmtId="0" fontId="5" fillId="6" borderId="34" xfId="3" applyFont="1" applyFill="1" applyBorder="1" applyAlignment="1">
      <alignment horizontal="right" vertical="center"/>
    </xf>
    <xf numFmtId="0" fontId="5" fillId="6" borderId="12" xfId="3" applyFont="1" applyFill="1" applyBorder="1" applyAlignment="1">
      <alignment horizontal="right" vertical="center"/>
    </xf>
    <xf numFmtId="0" fontId="33" fillId="4" borderId="59" xfId="0" applyFont="1" applyFill="1" applyBorder="1" applyAlignment="1">
      <alignment horizontal="left"/>
    </xf>
    <xf numFmtId="0" fontId="33" fillId="4" borderId="58" xfId="0" applyFont="1" applyFill="1" applyBorder="1" applyAlignment="1">
      <alignment horizontal="left"/>
    </xf>
    <xf numFmtId="0" fontId="33" fillId="4" borderId="60" xfId="0" applyFont="1" applyFill="1" applyBorder="1" applyAlignment="1">
      <alignment horizontal="left"/>
    </xf>
    <xf numFmtId="0" fontId="20" fillId="7" borderId="37" xfId="6" applyFill="1" applyBorder="1" applyAlignment="1" applyProtection="1">
      <alignment horizontal="center" vertical="center"/>
      <protection locked="0"/>
    </xf>
    <xf numFmtId="0" fontId="0" fillId="7" borderId="39" xfId="0" applyFill="1" applyBorder="1" applyAlignment="1" applyProtection="1">
      <alignment horizontal="center" vertical="center"/>
      <protection locked="0"/>
    </xf>
    <xf numFmtId="0" fontId="7" fillId="5" borderId="5" xfId="3" applyFont="1" applyFill="1" applyBorder="1" applyAlignment="1">
      <alignment horizontal="left" vertical="center"/>
    </xf>
    <xf numFmtId="0" fontId="7" fillId="5" borderId="6" xfId="3" applyFont="1" applyFill="1" applyBorder="1" applyAlignment="1">
      <alignment horizontal="left" vertical="center"/>
    </xf>
    <xf numFmtId="0" fontId="7" fillId="5" borderId="7" xfId="3" applyFont="1" applyFill="1" applyBorder="1" applyAlignment="1">
      <alignment horizontal="left" vertical="center"/>
    </xf>
    <xf numFmtId="0" fontId="6" fillId="6" borderId="46" xfId="3" applyFont="1" applyFill="1" applyBorder="1" applyAlignment="1">
      <alignment horizontal="left" vertical="center"/>
    </xf>
    <xf numFmtId="0" fontId="6" fillId="6" borderId="30" xfId="3" applyFont="1" applyFill="1" applyBorder="1" applyAlignment="1">
      <alignment horizontal="left" vertical="center"/>
    </xf>
    <xf numFmtId="0" fontId="6" fillId="6" borderId="23" xfId="3" applyFont="1" applyFill="1" applyBorder="1" applyAlignment="1">
      <alignment horizontal="left" vertical="center"/>
    </xf>
    <xf numFmtId="0" fontId="0" fillId="7" borderId="10" xfId="0" applyFill="1" applyBorder="1" applyAlignment="1" applyProtection="1">
      <alignment horizontal="left" vertical="top" wrapText="1"/>
      <protection locked="0"/>
    </xf>
    <xf numFmtId="0" fontId="0" fillId="7" borderId="4" xfId="0" applyFill="1" applyBorder="1" applyAlignment="1" applyProtection="1">
      <alignment horizontal="left" vertical="top" wrapText="1"/>
      <protection locked="0"/>
    </xf>
    <xf numFmtId="0" fontId="0" fillId="7" borderId="14" xfId="0" applyFill="1" applyBorder="1" applyAlignment="1" applyProtection="1">
      <alignment horizontal="left" vertical="top" wrapText="1"/>
      <protection locked="0"/>
    </xf>
    <xf numFmtId="0" fontId="0" fillId="6" borderId="36" xfId="0" applyFill="1" applyBorder="1" applyAlignment="1">
      <alignment horizontal="right" vertical="center" wrapText="1"/>
    </xf>
    <xf numFmtId="0" fontId="0" fillId="6" borderId="37" xfId="0" applyFill="1" applyBorder="1" applyAlignment="1">
      <alignment horizontal="right" vertical="center" wrapText="1"/>
    </xf>
    <xf numFmtId="14" fontId="0" fillId="9" borderId="12" xfId="0" applyNumberFormat="1" applyFill="1" applyBorder="1" applyAlignment="1" applyProtection="1">
      <alignment horizontal="left" vertical="center"/>
      <protection locked="0"/>
    </xf>
    <xf numFmtId="0" fontId="0" fillId="9" borderId="12" xfId="0" applyFill="1" applyBorder="1" applyAlignment="1" applyProtection="1">
      <alignment horizontal="left" vertical="center"/>
      <protection locked="0"/>
    </xf>
    <xf numFmtId="0" fontId="0" fillId="9" borderId="35" xfId="0" applyFill="1" applyBorder="1" applyAlignment="1" applyProtection="1">
      <alignment horizontal="left" vertical="center"/>
      <protection locked="0"/>
    </xf>
    <xf numFmtId="0" fontId="0" fillId="9" borderId="12" xfId="0" applyFill="1" applyBorder="1" applyAlignment="1" applyProtection="1">
      <alignment horizontal="center" vertical="center"/>
      <protection locked="0"/>
    </xf>
    <xf numFmtId="0" fontId="0" fillId="9" borderId="35" xfId="0" applyFill="1" applyBorder="1" applyAlignment="1" applyProtection="1">
      <alignment horizontal="center" vertical="center"/>
      <protection locked="0"/>
    </xf>
    <xf numFmtId="0" fontId="0" fillId="5" borderId="34" xfId="0" applyFill="1" applyBorder="1" applyAlignment="1">
      <alignment horizontal="right" vertical="center" textRotation="90" wrapText="1"/>
    </xf>
    <xf numFmtId="0" fontId="0" fillId="5" borderId="36" xfId="0" applyFill="1" applyBorder="1" applyAlignment="1">
      <alignment horizontal="right" vertical="center" textRotation="90" wrapText="1"/>
    </xf>
    <xf numFmtId="0" fontId="0" fillId="6" borderId="37" xfId="0" applyFill="1" applyBorder="1" applyAlignment="1">
      <alignment horizontal="right" vertical="center"/>
    </xf>
    <xf numFmtId="44" fontId="0" fillId="7" borderId="12" xfId="5" applyFont="1" applyFill="1" applyBorder="1" applyAlignment="1" applyProtection="1">
      <alignment horizontal="center" vertical="center"/>
      <protection locked="0"/>
    </xf>
    <xf numFmtId="44" fontId="0" fillId="7" borderId="11" xfId="5" applyFont="1" applyFill="1" applyBorder="1" applyAlignment="1" applyProtection="1">
      <alignment horizontal="center" vertical="center"/>
      <protection locked="0"/>
    </xf>
    <xf numFmtId="0" fontId="5" fillId="6" borderId="31" xfId="3" applyFont="1" applyFill="1" applyBorder="1" applyAlignment="1">
      <alignment horizontal="right" vertical="center"/>
    </xf>
    <xf numFmtId="0" fontId="5" fillId="6" borderId="32" xfId="3" applyFont="1" applyFill="1" applyBorder="1" applyAlignment="1">
      <alignment horizontal="right" vertical="center"/>
    </xf>
    <xf numFmtId="0" fontId="6" fillId="6" borderId="45" xfId="3" applyFont="1" applyFill="1" applyBorder="1" applyAlignment="1">
      <alignment horizontal="left" vertical="center"/>
    </xf>
    <xf numFmtId="0" fontId="7" fillId="7" borderId="10" xfId="3" applyFont="1" applyFill="1" applyBorder="1" applyAlignment="1" applyProtection="1">
      <alignment horizontal="left" vertical="top" wrapText="1"/>
      <protection locked="0"/>
    </xf>
    <xf numFmtId="0" fontId="7" fillId="7" borderId="4" xfId="3" applyFont="1" applyFill="1" applyBorder="1" applyAlignment="1" applyProtection="1">
      <alignment horizontal="left" vertical="top" wrapText="1"/>
      <protection locked="0"/>
    </xf>
    <xf numFmtId="0" fontId="7" fillId="7" borderId="14" xfId="3" applyFont="1" applyFill="1" applyBorder="1" applyAlignment="1" applyProtection="1">
      <alignment horizontal="left" vertical="top" wrapText="1"/>
      <protection locked="0"/>
    </xf>
    <xf numFmtId="49" fontId="0" fillId="8" borderId="11" xfId="0" quotePrefix="1" applyNumberFormat="1" applyFill="1" applyBorder="1" applyAlignment="1" applyProtection="1">
      <alignment horizontal="center" vertical="center"/>
      <protection locked="0"/>
    </xf>
    <xf numFmtId="49" fontId="0" fillId="8" borderId="18" xfId="0" applyNumberFormat="1" applyFill="1" applyBorder="1" applyAlignment="1" applyProtection="1">
      <alignment horizontal="center" vertical="center"/>
      <protection locked="0"/>
    </xf>
    <xf numFmtId="49" fontId="0" fillId="8" borderId="27" xfId="0" applyNumberFormat="1" applyFill="1" applyBorder="1" applyAlignment="1" applyProtection="1">
      <alignment horizontal="center" vertical="center"/>
      <protection locked="0"/>
    </xf>
    <xf numFmtId="0" fontId="0" fillId="6" borderId="36" xfId="0" applyFill="1" applyBorder="1" applyAlignment="1">
      <alignment horizontal="right" vertical="center"/>
    </xf>
    <xf numFmtId="0" fontId="0" fillId="6" borderId="24" xfId="0" applyFill="1" applyBorder="1" applyAlignment="1">
      <alignment horizontal="right" vertical="center"/>
    </xf>
    <xf numFmtId="0" fontId="0" fillId="6" borderId="30" xfId="0" applyFill="1" applyBorder="1" applyAlignment="1">
      <alignment horizontal="right" vertical="center"/>
    </xf>
    <xf numFmtId="0" fontId="0" fillId="6" borderId="45" xfId="0" applyFill="1" applyBorder="1" applyAlignment="1">
      <alignment horizontal="right" vertical="center"/>
    </xf>
    <xf numFmtId="0" fontId="0" fillId="7" borderId="46" xfId="0" applyFill="1" applyBorder="1" applyAlignment="1" applyProtection="1">
      <alignment horizontal="center" vertical="center"/>
      <protection locked="0"/>
    </xf>
    <xf numFmtId="0" fontId="0" fillId="7" borderId="30" xfId="0" applyFill="1" applyBorder="1" applyAlignment="1" applyProtection="1">
      <alignment horizontal="center" vertical="center"/>
      <protection locked="0"/>
    </xf>
    <xf numFmtId="0" fontId="0" fillId="7" borderId="23" xfId="0" applyFill="1" applyBorder="1" applyAlignment="1" applyProtection="1">
      <alignment horizontal="center" vertical="center"/>
      <protection locked="0"/>
    </xf>
    <xf numFmtId="0" fontId="25" fillId="4" borderId="31" xfId="0" applyFont="1" applyFill="1" applyBorder="1" applyAlignment="1">
      <alignment horizontal="center" vertical="center"/>
    </xf>
    <xf numFmtId="0" fontId="25" fillId="4" borderId="32" xfId="0" applyFont="1" applyFill="1" applyBorder="1" applyAlignment="1">
      <alignment horizontal="center" vertical="center"/>
    </xf>
    <xf numFmtId="0" fontId="25" fillId="4" borderId="33" xfId="0" applyFont="1" applyFill="1" applyBorder="1" applyAlignment="1">
      <alignment horizontal="center" vertical="center"/>
    </xf>
    <xf numFmtId="0" fontId="25" fillId="4" borderId="36" xfId="0" applyFont="1" applyFill="1" applyBorder="1" applyAlignment="1">
      <alignment horizontal="center" vertical="center"/>
    </xf>
    <xf numFmtId="0" fontId="25" fillId="4" borderId="37" xfId="0" applyFont="1" applyFill="1" applyBorder="1" applyAlignment="1">
      <alignment horizontal="center" vertical="center"/>
    </xf>
    <xf numFmtId="0" fontId="25" fillId="4" borderId="38" xfId="0" applyFont="1" applyFill="1" applyBorder="1" applyAlignment="1">
      <alignment horizontal="center" vertical="center"/>
    </xf>
    <xf numFmtId="0" fontId="0" fillId="0" borderId="11" xfId="0" applyBorder="1" applyAlignment="1" applyProtection="1">
      <alignment horizontal="center" vertical="center"/>
      <protection locked="0"/>
    </xf>
    <xf numFmtId="0" fontId="0" fillId="0" borderId="39" xfId="0" applyBorder="1" applyAlignment="1" applyProtection="1">
      <alignment horizontal="center" vertical="center"/>
      <protection locked="0"/>
    </xf>
    <xf numFmtId="0" fontId="0" fillId="8" borderId="3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14" fillId="6" borderId="36" xfId="0" applyFont="1" applyFill="1" applyBorder="1" applyAlignment="1">
      <alignment horizontal="right" vertical="center"/>
    </xf>
    <xf numFmtId="0" fontId="14" fillId="6" borderId="37" xfId="0" applyFont="1" applyFill="1" applyBorder="1" applyAlignment="1">
      <alignment horizontal="right" vertical="center"/>
    </xf>
    <xf numFmtId="0" fontId="14" fillId="0" borderId="37" xfId="0" applyFont="1" applyBorder="1" applyAlignment="1" applyProtection="1">
      <alignment horizontal="center" vertical="center"/>
      <protection locked="0"/>
    </xf>
    <xf numFmtId="0" fontId="14" fillId="0" borderId="38" xfId="0" applyFont="1" applyBorder="1" applyAlignment="1" applyProtection="1">
      <alignment horizontal="center" vertical="center"/>
      <protection locked="0"/>
    </xf>
    <xf numFmtId="0" fontId="33" fillId="4" borderId="52" xfId="0" applyFont="1" applyFill="1" applyBorder="1" applyAlignment="1">
      <alignment horizontal="left"/>
    </xf>
    <xf numFmtId="0" fontId="33" fillId="4" borderId="74" xfId="0" applyFont="1" applyFill="1" applyBorder="1" applyAlignment="1">
      <alignment horizontal="left"/>
    </xf>
    <xf numFmtId="0" fontId="33" fillId="4" borderId="53" xfId="0" applyFont="1" applyFill="1" applyBorder="1" applyAlignment="1">
      <alignment horizontal="left"/>
    </xf>
    <xf numFmtId="0" fontId="14" fillId="0" borderId="12" xfId="0" applyFont="1" applyBorder="1" applyAlignment="1" applyProtection="1">
      <alignment horizontal="center" vertical="center"/>
      <protection locked="0"/>
    </xf>
    <xf numFmtId="0" fontId="14" fillId="0" borderId="35" xfId="0" applyFont="1" applyBorder="1" applyAlignment="1" applyProtection="1">
      <alignment horizontal="center" vertical="center"/>
      <protection locked="0"/>
    </xf>
    <xf numFmtId="0" fontId="14" fillId="6" borderId="34" xfId="0" applyFont="1" applyFill="1" applyBorder="1" applyAlignment="1">
      <alignment horizontal="right" vertical="center"/>
    </xf>
    <xf numFmtId="0" fontId="14" fillId="6" borderId="12" xfId="0" applyFont="1" applyFill="1" applyBorder="1" applyAlignment="1">
      <alignment horizontal="right" vertical="center"/>
    </xf>
    <xf numFmtId="0" fontId="14" fillId="0" borderId="12" xfId="0" applyFont="1" applyBorder="1" applyAlignment="1">
      <alignment horizontal="center" vertical="center"/>
    </xf>
    <xf numFmtId="0" fontId="14" fillId="0" borderId="35" xfId="0" applyFont="1" applyBorder="1" applyAlignment="1">
      <alignment horizontal="center" vertical="center"/>
    </xf>
    <xf numFmtId="0" fontId="42" fillId="6" borderId="34" xfId="6" applyFont="1" applyFill="1" applyBorder="1" applyAlignment="1">
      <alignment horizontal="right" vertical="center"/>
    </xf>
    <xf numFmtId="0" fontId="42" fillId="6" borderId="12" xfId="6" applyFont="1" applyFill="1" applyBorder="1" applyAlignment="1">
      <alignment horizontal="right" vertical="center"/>
    </xf>
    <xf numFmtId="0" fontId="35" fillId="5" borderId="12" xfId="0" applyFont="1" applyFill="1" applyBorder="1" applyAlignment="1">
      <alignment horizontal="right" vertical="center"/>
    </xf>
    <xf numFmtId="44" fontId="14" fillId="0" borderId="11" xfId="5" applyFont="1" applyFill="1" applyBorder="1" applyAlignment="1" applyProtection="1">
      <alignment horizontal="center" vertical="center" wrapText="1"/>
      <protection locked="0"/>
    </xf>
    <xf numFmtId="44" fontId="14" fillId="0" borderId="18" xfId="5" applyFont="1" applyFill="1" applyBorder="1" applyAlignment="1" applyProtection="1">
      <alignment horizontal="center" vertical="center" wrapText="1"/>
      <protection locked="0"/>
    </xf>
    <xf numFmtId="44" fontId="14" fillId="0" borderId="15" xfId="5" applyFont="1" applyFill="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0" borderId="11" xfId="0" applyFont="1" applyBorder="1" applyAlignment="1" applyProtection="1">
      <alignment horizontal="center" vertical="center"/>
      <protection locked="0"/>
    </xf>
    <xf numFmtId="0" fontId="14" fillId="0" borderId="15" xfId="0" applyFont="1" applyBorder="1" applyAlignment="1" applyProtection="1">
      <alignment horizontal="center" vertical="center"/>
      <protection locked="0"/>
    </xf>
    <xf numFmtId="44" fontId="14" fillId="6" borderId="11" xfId="5" applyFont="1" applyFill="1" applyBorder="1" applyAlignment="1">
      <alignment horizontal="center" vertical="center" wrapText="1"/>
    </xf>
    <xf numFmtId="44" fontId="14" fillId="6" borderId="18" xfId="5" applyFont="1" applyFill="1" applyBorder="1" applyAlignment="1">
      <alignment horizontal="center" vertical="center" wrapText="1"/>
    </xf>
    <xf numFmtId="44" fontId="18" fillId="5" borderId="16" xfId="5" applyFont="1" applyFill="1" applyBorder="1" applyAlignment="1">
      <alignment horizontal="center" vertical="center"/>
    </xf>
    <xf numFmtId="0" fontId="0" fillId="6" borderId="12" xfId="0" applyFill="1" applyBorder="1" applyAlignment="1" applyProtection="1">
      <alignment horizontal="right" vertical="center"/>
      <protection locked="0"/>
    </xf>
    <xf numFmtId="0" fontId="14" fillId="0" borderId="18" xfId="0" applyFont="1" applyBorder="1" applyAlignment="1" applyProtection="1">
      <alignment horizontal="center" vertical="center"/>
      <protection locked="0"/>
    </xf>
    <xf numFmtId="44" fontId="14" fillId="5" borderId="11" xfId="5" applyFont="1" applyFill="1" applyBorder="1" applyAlignment="1">
      <alignment horizontal="center" vertical="center" wrapText="1"/>
    </xf>
    <xf numFmtId="44" fontId="14" fillId="5" borderId="18" xfId="5" applyFont="1" applyFill="1" applyBorder="1" applyAlignment="1">
      <alignment horizontal="center" vertical="center" wrapText="1"/>
    </xf>
    <xf numFmtId="44" fontId="14" fillId="5" borderId="15" xfId="5" applyFont="1" applyFill="1" applyBorder="1" applyAlignment="1">
      <alignment horizontal="center" vertical="center" wrapText="1"/>
    </xf>
    <xf numFmtId="0" fontId="3" fillId="5" borderId="11" xfId="0" applyFont="1" applyFill="1" applyBorder="1" applyAlignment="1" applyProtection="1">
      <alignment horizontal="center" vertical="center"/>
      <protection locked="0"/>
    </xf>
    <xf numFmtId="0" fontId="3" fillId="5" borderId="18" xfId="0" applyFont="1" applyFill="1" applyBorder="1" applyAlignment="1" applyProtection="1">
      <alignment horizontal="center" vertical="center"/>
      <protection locked="0"/>
    </xf>
    <xf numFmtId="0" fontId="3" fillId="5" borderId="15" xfId="0" applyFont="1" applyFill="1" applyBorder="1" applyAlignment="1" applyProtection="1">
      <alignment horizontal="center" vertical="center"/>
      <protection locked="0"/>
    </xf>
    <xf numFmtId="0" fontId="3" fillId="5" borderId="17" xfId="0"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locked="0"/>
    </xf>
    <xf numFmtId="0" fontId="3" fillId="5" borderId="64" xfId="0" applyFont="1" applyFill="1" applyBorder="1" applyAlignment="1" applyProtection="1">
      <alignment horizontal="center" vertical="center"/>
      <protection locked="0"/>
    </xf>
    <xf numFmtId="0" fontId="4" fillId="0" borderId="12" xfId="0" applyFont="1" applyBorder="1" applyAlignment="1">
      <alignment horizontal="center" vertical="center"/>
    </xf>
    <xf numFmtId="44" fontId="14" fillId="6" borderId="15" xfId="5" applyFont="1" applyFill="1" applyBorder="1" applyAlignment="1">
      <alignment horizontal="center" vertical="center" wrapText="1"/>
    </xf>
    <xf numFmtId="44" fontId="35" fillId="6" borderId="12" xfId="0" applyNumberFormat="1" applyFont="1" applyFill="1" applyBorder="1" applyAlignment="1">
      <alignment horizontal="center"/>
    </xf>
    <xf numFmtId="0" fontId="35" fillId="6" borderId="12" xfId="0" applyFont="1" applyFill="1" applyBorder="1" applyAlignment="1">
      <alignment horizontal="center"/>
    </xf>
    <xf numFmtId="9" fontId="35" fillId="6" borderId="12" xfId="8" applyFont="1" applyFill="1" applyBorder="1" applyAlignment="1" applyProtection="1">
      <alignment horizontal="center"/>
    </xf>
    <xf numFmtId="9" fontId="18" fillId="5" borderId="16" xfId="8" applyFont="1" applyFill="1" applyBorder="1" applyAlignment="1">
      <alignment horizontal="center" vertical="center"/>
    </xf>
    <xf numFmtId="9" fontId="14" fillId="6" borderId="11" xfId="8" applyFont="1" applyFill="1" applyBorder="1" applyAlignment="1">
      <alignment horizontal="center" vertical="center" wrapText="1"/>
    </xf>
    <xf numFmtId="9" fontId="14" fillId="6" borderId="15" xfId="8" applyFont="1" applyFill="1" applyBorder="1" applyAlignment="1">
      <alignment horizontal="center" vertical="center" wrapText="1"/>
    </xf>
    <xf numFmtId="44" fontId="14" fillId="5" borderId="11" xfId="5" applyFont="1" applyFill="1" applyBorder="1" applyAlignment="1" applyProtection="1">
      <alignment horizontal="center" vertical="center" wrapText="1"/>
      <protection locked="0"/>
    </xf>
    <xf numFmtId="44" fontId="14" fillId="5" borderId="18" xfId="5" applyFont="1" applyFill="1" applyBorder="1" applyAlignment="1" applyProtection="1">
      <alignment horizontal="center" vertical="center" wrapText="1"/>
      <protection locked="0"/>
    </xf>
    <xf numFmtId="44" fontId="14" fillId="5" borderId="15" xfId="5" applyFont="1" applyFill="1" applyBorder="1" applyAlignment="1" applyProtection="1">
      <alignment horizontal="center" vertical="center" wrapText="1"/>
      <protection locked="0"/>
    </xf>
    <xf numFmtId="0" fontId="14" fillId="11" borderId="11" xfId="0" applyFont="1" applyFill="1" applyBorder="1" applyAlignment="1" applyProtection="1">
      <alignment horizontal="center" vertical="center"/>
      <protection locked="0"/>
    </xf>
    <xf numFmtId="0" fontId="14" fillId="11" borderId="18" xfId="0" applyFont="1" applyFill="1" applyBorder="1" applyAlignment="1" applyProtection="1">
      <alignment horizontal="center" vertical="center"/>
      <protection locked="0"/>
    </xf>
    <xf numFmtId="0" fontId="14" fillId="11" borderId="15" xfId="0" applyFont="1" applyFill="1" applyBorder="1" applyAlignment="1" applyProtection="1">
      <alignment horizontal="center" vertical="center"/>
      <protection locked="0"/>
    </xf>
    <xf numFmtId="0" fontId="14" fillId="11" borderId="12" xfId="0" applyFont="1" applyFill="1" applyBorder="1" applyAlignment="1" applyProtection="1">
      <alignment horizontal="center" vertical="center" wrapText="1"/>
      <protection locked="0"/>
    </xf>
    <xf numFmtId="0" fontId="14" fillId="11" borderId="12" xfId="0" applyFont="1" applyFill="1" applyBorder="1" applyAlignment="1" applyProtection="1">
      <alignment horizontal="center" vertical="center"/>
      <protection locked="0"/>
    </xf>
    <xf numFmtId="0" fontId="14" fillId="0" borderId="11" xfId="0" applyFont="1" applyBorder="1" applyAlignment="1" applyProtection="1">
      <alignment horizontal="center" vertical="center" wrapText="1"/>
      <protection locked="0"/>
    </xf>
    <xf numFmtId="0" fontId="14" fillId="0" borderId="15" xfId="0" applyFont="1" applyBorder="1" applyAlignment="1" applyProtection="1">
      <alignment horizontal="center" vertical="center" wrapText="1"/>
      <protection locked="0"/>
    </xf>
    <xf numFmtId="0" fontId="0" fillId="0" borderId="46" xfId="0" applyBorder="1" applyAlignment="1">
      <alignment horizontal="center" vertical="center"/>
    </xf>
    <xf numFmtId="0" fontId="0" fillId="0" borderId="30" xfId="0" applyBorder="1" applyAlignment="1">
      <alignment horizontal="center" vertical="center"/>
    </xf>
    <xf numFmtId="0" fontId="0" fillId="0" borderId="23" xfId="0" applyBorder="1" applyAlignment="1">
      <alignment horizontal="center" vertical="center"/>
    </xf>
    <xf numFmtId="0" fontId="0" fillId="0" borderId="11" xfId="0" applyBorder="1" applyAlignment="1">
      <alignment horizontal="center" vertical="center"/>
    </xf>
    <xf numFmtId="0" fontId="0" fillId="0" borderId="18" xfId="0" applyBorder="1" applyAlignment="1">
      <alignment horizontal="center" vertical="center"/>
    </xf>
    <xf numFmtId="0" fontId="0" fillId="0" borderId="27" xfId="0" applyBorder="1" applyAlignment="1">
      <alignment horizontal="center" vertical="center"/>
    </xf>
    <xf numFmtId="0" fontId="0" fillId="2" borderId="42" xfId="0" applyFill="1" applyBorder="1" applyAlignment="1">
      <alignment horizontal="right" vertical="center"/>
    </xf>
    <xf numFmtId="0" fontId="0" fillId="2" borderId="28" xfId="0" applyFill="1" applyBorder="1" applyAlignment="1">
      <alignment horizontal="right" vertical="center"/>
    </xf>
    <xf numFmtId="0" fontId="0" fillId="2" borderId="43" xfId="0" applyFill="1" applyBorder="1" applyAlignment="1">
      <alignment horizontal="right" vertical="center"/>
    </xf>
    <xf numFmtId="0" fontId="14" fillId="6" borderId="12" xfId="0" applyFont="1" applyFill="1" applyBorder="1" applyAlignment="1">
      <alignment horizontal="center" vertical="center"/>
    </xf>
    <xf numFmtId="0" fontId="3" fillId="5" borderId="12" xfId="0" applyFont="1" applyFill="1" applyBorder="1" applyAlignment="1">
      <alignment horizontal="left" vertical="center"/>
    </xf>
    <xf numFmtId="0" fontId="14" fillId="6" borderId="12" xfId="0" applyFont="1" applyFill="1" applyBorder="1" applyAlignment="1">
      <alignment horizontal="center" vertical="center" wrapText="1"/>
    </xf>
    <xf numFmtId="0" fontId="25" fillId="4" borderId="6"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4" xfId="0" applyFont="1" applyFill="1" applyBorder="1" applyAlignment="1">
      <alignment horizontal="center" vertical="center" wrapText="1"/>
    </xf>
    <xf numFmtId="0" fontId="25" fillId="4" borderId="5"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7" xfId="0" applyFont="1" applyFill="1" applyBorder="1" applyAlignment="1">
      <alignment horizontal="center" vertical="center"/>
    </xf>
    <xf numFmtId="0" fontId="25" fillId="4" borderId="10" xfId="0" applyFont="1" applyFill="1" applyBorder="1" applyAlignment="1">
      <alignment horizontal="center" vertical="center"/>
    </xf>
    <xf numFmtId="0" fontId="25" fillId="4" borderId="4" xfId="0" applyFont="1" applyFill="1" applyBorder="1" applyAlignment="1">
      <alignment horizontal="center" vertical="center"/>
    </xf>
    <xf numFmtId="0" fontId="25" fillId="4" borderId="14" xfId="0" applyFont="1" applyFill="1" applyBorder="1" applyAlignment="1">
      <alignment horizontal="center" vertical="center"/>
    </xf>
    <xf numFmtId="0" fontId="0" fillId="6" borderId="12" xfId="0" applyFill="1" applyBorder="1" applyAlignment="1">
      <alignment horizontal="center" vertical="center"/>
    </xf>
    <xf numFmtId="0" fontId="0" fillId="2" borderId="26" xfId="0" applyFill="1" applyBorder="1" applyAlignment="1">
      <alignment horizontal="right" vertical="center"/>
    </xf>
    <xf numFmtId="0" fontId="0" fillId="2" borderId="18" xfId="0" applyFill="1" applyBorder="1" applyAlignment="1">
      <alignment horizontal="right" vertical="center"/>
    </xf>
    <xf numFmtId="0" fontId="0" fillId="2" borderId="15" xfId="0" applyFill="1" applyBorder="1" applyAlignment="1">
      <alignment horizontal="right" vertical="center"/>
    </xf>
    <xf numFmtId="0" fontId="33" fillId="4" borderId="9" xfId="0" applyFont="1" applyFill="1" applyBorder="1" applyAlignment="1">
      <alignment horizontal="center"/>
    </xf>
    <xf numFmtId="0" fontId="33" fillId="4" borderId="0" xfId="0" applyFont="1" applyFill="1" applyAlignment="1">
      <alignment horizontal="center"/>
    </xf>
    <xf numFmtId="0" fontId="0" fillId="2" borderId="24" xfId="0" applyFill="1" applyBorder="1" applyAlignment="1">
      <alignment horizontal="right" vertical="center"/>
    </xf>
    <xf numFmtId="0" fontId="0" fillId="2" borderId="30" xfId="0" applyFill="1" applyBorder="1" applyAlignment="1">
      <alignment horizontal="right" vertical="center"/>
    </xf>
    <xf numFmtId="0" fontId="0" fillId="2" borderId="45" xfId="0" applyFill="1" applyBorder="1" applyAlignment="1">
      <alignment horizontal="right" vertical="center"/>
    </xf>
    <xf numFmtId="0" fontId="0" fillId="0" borderId="39"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15" xfId="0" applyBorder="1" applyAlignment="1" applyProtection="1">
      <alignment horizontal="center" vertical="center"/>
      <protection locked="0"/>
    </xf>
    <xf numFmtId="44" fontId="35" fillId="0" borderId="12" xfId="0" applyNumberFormat="1" applyFont="1" applyBorder="1" applyAlignment="1" applyProtection="1">
      <alignment horizontal="center"/>
      <protection locked="0"/>
    </xf>
    <xf numFmtId="0" fontId="35" fillId="0" borderId="12" xfId="0" applyFont="1" applyBorder="1" applyAlignment="1" applyProtection="1">
      <alignment horizontal="center"/>
      <protection locked="0"/>
    </xf>
    <xf numFmtId="9" fontId="35" fillId="0" borderId="12" xfId="8" applyFont="1" applyFill="1" applyBorder="1" applyAlignment="1" applyProtection="1">
      <alignment horizont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6" borderId="43" xfId="0" applyFill="1" applyBorder="1" applyAlignment="1">
      <alignment horizontal="right"/>
    </xf>
    <xf numFmtId="0" fontId="0" fillId="6" borderId="37" xfId="0" applyFill="1" applyBorder="1" applyAlignment="1">
      <alignment horizontal="right"/>
    </xf>
    <xf numFmtId="0" fontId="0" fillId="0" borderId="37" xfId="0" applyBorder="1" applyAlignment="1" applyProtection="1">
      <alignment horizontal="center"/>
      <protection locked="0"/>
    </xf>
    <xf numFmtId="0" fontId="0" fillId="6" borderId="39"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46" xfId="0" applyFill="1" applyBorder="1" applyAlignment="1">
      <alignment horizontal="center"/>
    </xf>
    <xf numFmtId="0" fontId="0" fillId="6" borderId="30" xfId="0" applyFill="1" applyBorder="1" applyAlignment="1">
      <alignment horizontal="center"/>
    </xf>
    <xf numFmtId="0" fontId="0" fillId="6" borderId="45" xfId="0" applyFill="1" applyBorder="1" applyAlignment="1">
      <alignment horizontal="center"/>
    </xf>
    <xf numFmtId="0" fontId="0" fillId="6" borderId="11" xfId="0" applyFill="1" applyBorder="1" applyAlignment="1">
      <alignment horizontal="center"/>
    </xf>
    <xf numFmtId="0" fontId="0" fillId="6" borderId="18" xfId="0" applyFill="1" applyBorder="1" applyAlignment="1">
      <alignment horizontal="center"/>
    </xf>
    <xf numFmtId="0" fontId="0" fillId="6" borderId="15" xfId="0" applyFill="1" applyBorder="1" applyAlignment="1">
      <alignment horizontal="center"/>
    </xf>
    <xf numFmtId="0" fontId="0" fillId="6" borderId="49" xfId="0" applyFill="1" applyBorder="1" applyAlignment="1">
      <alignment horizontal="center"/>
    </xf>
    <xf numFmtId="0" fontId="0" fillId="6" borderId="0" xfId="0" applyFill="1" applyAlignment="1">
      <alignment horizontal="center"/>
    </xf>
    <xf numFmtId="0" fontId="0" fillId="6" borderId="63" xfId="0" applyFill="1" applyBorder="1" applyAlignment="1">
      <alignment horizontal="center"/>
    </xf>
    <xf numFmtId="0" fontId="0" fillId="6" borderId="45" xfId="0" applyFill="1" applyBorder="1" applyAlignment="1">
      <alignment horizontal="right"/>
    </xf>
    <xf numFmtId="0" fontId="0" fillId="6" borderId="32" xfId="0" applyFill="1" applyBorder="1" applyAlignment="1">
      <alignment horizontal="right"/>
    </xf>
    <xf numFmtId="0" fontId="14" fillId="0" borderId="20" xfId="0" applyFont="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14" fillId="0" borderId="65" xfId="0" applyFont="1" applyBorder="1" applyAlignment="1" applyProtection="1">
      <alignment horizontal="center" vertical="center"/>
      <protection locked="0"/>
    </xf>
    <xf numFmtId="0" fontId="14" fillId="6" borderId="46" xfId="0" applyFont="1" applyFill="1" applyBorder="1" applyAlignment="1">
      <alignment horizontal="right" vertical="center" wrapText="1"/>
    </xf>
    <xf numFmtId="0" fontId="14" fillId="6" borderId="30" xfId="0" applyFont="1" applyFill="1" applyBorder="1" applyAlignment="1">
      <alignment horizontal="right" vertical="center" wrapText="1"/>
    </xf>
    <xf numFmtId="0" fontId="14" fillId="6" borderId="45" xfId="0" applyFont="1" applyFill="1" applyBorder="1" applyAlignment="1">
      <alignment horizontal="right" vertical="center" wrapText="1"/>
    </xf>
    <xf numFmtId="0" fontId="14" fillId="6" borderId="11" xfId="0" applyFont="1" applyFill="1" applyBorder="1" applyAlignment="1">
      <alignment horizontal="right" vertical="center" wrapText="1"/>
    </xf>
    <xf numFmtId="0" fontId="14" fillId="6" borderId="18" xfId="0" applyFont="1" applyFill="1" applyBorder="1" applyAlignment="1">
      <alignment horizontal="right" vertical="center" wrapText="1"/>
    </xf>
    <xf numFmtId="0" fontId="14" fillId="6" borderId="15" xfId="0" applyFont="1" applyFill="1" applyBorder="1" applyAlignment="1">
      <alignment horizontal="right" vertical="center" wrapText="1"/>
    </xf>
    <xf numFmtId="0" fontId="14" fillId="6" borderId="49" xfId="0" applyFont="1" applyFill="1" applyBorder="1" applyAlignment="1">
      <alignment horizontal="right" vertical="center" wrapText="1"/>
    </xf>
    <xf numFmtId="0" fontId="14" fillId="6" borderId="0" xfId="0" applyFont="1" applyFill="1" applyAlignment="1">
      <alignment horizontal="right" vertical="center" wrapText="1"/>
    </xf>
    <xf numFmtId="0" fontId="14" fillId="6" borderId="63" xfId="0" applyFont="1" applyFill="1" applyBorder="1" applyAlignment="1">
      <alignment horizontal="right" vertical="center" wrapText="1"/>
    </xf>
    <xf numFmtId="0" fontId="14" fillId="0" borderId="46" xfId="0" applyFont="1" applyBorder="1" applyAlignment="1" applyProtection="1">
      <alignment horizontal="center" vertical="center"/>
      <protection locked="0"/>
    </xf>
    <xf numFmtId="0" fontId="14" fillId="0" borderId="30" xfId="0" applyFont="1" applyBorder="1" applyAlignment="1" applyProtection="1">
      <alignment horizontal="center" vertical="center"/>
      <protection locked="0"/>
    </xf>
    <xf numFmtId="0" fontId="14" fillId="0" borderId="49" xfId="0" applyFont="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14" fillId="6" borderId="32" xfId="0" applyFont="1" applyFill="1" applyBorder="1" applyAlignment="1">
      <alignment horizontal="right" vertical="center"/>
    </xf>
    <xf numFmtId="0" fontId="14" fillId="0" borderId="32" xfId="0" applyFont="1" applyBorder="1" applyAlignment="1" applyProtection="1">
      <alignment horizontal="center" vertical="center"/>
      <protection locked="0"/>
    </xf>
    <xf numFmtId="0" fontId="14" fillId="0" borderId="33" xfId="0" applyFont="1" applyBorder="1" applyAlignment="1" applyProtection="1">
      <alignment horizontal="center" vertical="center"/>
      <protection locked="0"/>
    </xf>
    <xf numFmtId="0" fontId="14" fillId="6" borderId="48" xfId="0" applyFont="1" applyFill="1" applyBorder="1" applyAlignment="1">
      <alignment horizontal="right" vertical="center"/>
    </xf>
    <xf numFmtId="0" fontId="14" fillId="0" borderId="48" xfId="0" applyFont="1" applyBorder="1" applyAlignment="1" applyProtection="1">
      <alignment horizontal="center" vertical="center"/>
      <protection locked="0"/>
    </xf>
    <xf numFmtId="0" fontId="14" fillId="0" borderId="50" xfId="0" applyFont="1" applyBorder="1" applyAlignment="1" applyProtection="1">
      <alignment horizontal="center" vertical="center"/>
      <protection locked="0"/>
    </xf>
    <xf numFmtId="0" fontId="29" fillId="4" borderId="52" xfId="3" applyFont="1" applyFill="1" applyBorder="1" applyAlignment="1">
      <alignment horizontal="center" vertical="center" textRotation="90"/>
    </xf>
    <xf numFmtId="0" fontId="29" fillId="4" borderId="57" xfId="3" applyFont="1" applyFill="1" applyBorder="1" applyAlignment="1">
      <alignment horizontal="center" vertical="center" textRotation="90"/>
    </xf>
    <xf numFmtId="0" fontId="14" fillId="6" borderId="31" xfId="0" applyFont="1" applyFill="1" applyBorder="1" applyAlignment="1">
      <alignment horizontal="right" vertical="center"/>
    </xf>
    <xf numFmtId="0" fontId="14" fillId="6" borderId="40" xfId="0" applyFont="1" applyFill="1" applyBorder="1" applyAlignment="1">
      <alignment horizontal="right" vertical="center"/>
    </xf>
    <xf numFmtId="0" fontId="14" fillId="0" borderId="31" xfId="0" applyFont="1" applyBorder="1" applyAlignment="1" applyProtection="1">
      <alignment horizontal="center" vertical="center"/>
      <protection locked="0"/>
    </xf>
    <xf numFmtId="0" fontId="14" fillId="0" borderId="34" xfId="0" applyFont="1" applyBorder="1" applyAlignment="1" applyProtection="1">
      <alignment horizontal="center" vertical="center"/>
      <protection locked="0"/>
    </xf>
    <xf numFmtId="0" fontId="14" fillId="0" borderId="40" xfId="0" applyFont="1" applyBorder="1" applyAlignment="1" applyProtection="1">
      <alignment horizontal="center" vertical="center"/>
      <protection locked="0"/>
    </xf>
    <xf numFmtId="0" fontId="14" fillId="0" borderId="45" xfId="0" applyFont="1" applyBorder="1" applyAlignment="1" applyProtection="1">
      <alignment horizontal="center" vertical="center"/>
      <protection locked="0"/>
    </xf>
    <xf numFmtId="0" fontId="14" fillId="6" borderId="34" xfId="0" applyFont="1" applyFill="1" applyBorder="1" applyAlignment="1">
      <alignment horizontal="right"/>
    </xf>
    <xf numFmtId="0" fontId="14" fillId="6" borderId="12" xfId="0" applyFont="1" applyFill="1" applyBorder="1" applyAlignment="1">
      <alignment horizontal="right"/>
    </xf>
    <xf numFmtId="0" fontId="14" fillId="6" borderId="36" xfId="0" applyFont="1" applyFill="1" applyBorder="1" applyAlignment="1">
      <alignment horizontal="right"/>
    </xf>
    <xf numFmtId="0" fontId="14" fillId="6" borderId="37" xfId="0" applyFont="1" applyFill="1" applyBorder="1" applyAlignment="1">
      <alignment horizontal="right"/>
    </xf>
    <xf numFmtId="0" fontId="14" fillId="0" borderId="45" xfId="0" applyFont="1" applyBorder="1" applyAlignment="1">
      <alignment horizontal="left" vertical="center"/>
    </xf>
    <xf numFmtId="0" fontId="14" fillId="0" borderId="46" xfId="0" applyFont="1" applyBorder="1" applyAlignment="1">
      <alignment horizontal="left" vertical="center"/>
    </xf>
    <xf numFmtId="0" fontId="14" fillId="0" borderId="15" xfId="0" applyFont="1" applyBorder="1" applyAlignment="1">
      <alignment horizontal="left" vertical="center"/>
    </xf>
    <xf numFmtId="0" fontId="14" fillId="0" borderId="11" xfId="0" applyFont="1" applyBorder="1" applyAlignment="1">
      <alignment horizontal="left" vertical="center"/>
    </xf>
    <xf numFmtId="0" fontId="14" fillId="0" borderId="43" xfId="0" applyFont="1" applyBorder="1" applyAlignment="1">
      <alignment horizontal="left" vertical="center"/>
    </xf>
    <xf numFmtId="0" fontId="14" fillId="0" borderId="39" xfId="0" applyFont="1" applyBorder="1" applyAlignment="1">
      <alignment horizontal="left" vertical="center"/>
    </xf>
    <xf numFmtId="0" fontId="14" fillId="0" borderId="39" xfId="0" applyFont="1" applyBorder="1" applyAlignment="1" applyProtection="1">
      <alignment horizontal="center" vertical="center"/>
      <protection locked="0"/>
    </xf>
    <xf numFmtId="0" fontId="14" fillId="0" borderId="12" xfId="0" applyFont="1" applyBorder="1" applyAlignment="1">
      <alignment horizontal="left" vertical="center"/>
    </xf>
    <xf numFmtId="0" fontId="14" fillId="6" borderId="47" xfId="0" applyFont="1" applyFill="1" applyBorder="1" applyAlignment="1">
      <alignment horizontal="right"/>
    </xf>
    <xf numFmtId="0" fontId="14" fillId="0" borderId="44" xfId="0" applyFont="1" applyBorder="1" applyAlignment="1" applyProtection="1">
      <alignment horizontal="center" vertical="center"/>
      <protection locked="0"/>
    </xf>
    <xf numFmtId="0" fontId="14" fillId="0" borderId="17" xfId="0" applyFont="1" applyBorder="1" applyAlignment="1" applyProtection="1">
      <alignment horizontal="center" vertical="center"/>
      <protection locked="0"/>
    </xf>
    <xf numFmtId="0" fontId="14" fillId="0" borderId="64" xfId="0" applyFont="1" applyBorder="1" applyAlignment="1">
      <alignment horizontal="left" vertical="center"/>
    </xf>
    <xf numFmtId="0" fontId="14" fillId="0" borderId="44" xfId="0" applyFont="1" applyBorder="1" applyAlignment="1">
      <alignment horizontal="left" vertical="center"/>
    </xf>
    <xf numFmtId="0" fontId="0" fillId="6" borderId="17" xfId="0" applyFill="1" applyBorder="1" applyAlignment="1">
      <alignment horizontal="center"/>
    </xf>
    <xf numFmtId="0" fontId="0" fillId="6" borderId="16" xfId="0" applyFill="1" applyBorder="1" applyAlignment="1">
      <alignment horizontal="center"/>
    </xf>
    <xf numFmtId="0" fontId="0" fillId="6" borderId="64" xfId="0" applyFill="1" applyBorder="1" applyAlignment="1">
      <alignment horizontal="center"/>
    </xf>
    <xf numFmtId="0" fontId="14" fillId="0" borderId="36" xfId="0" applyFont="1" applyBorder="1" applyAlignment="1" applyProtection="1">
      <alignment horizontal="center" vertical="center"/>
      <protection locked="0"/>
    </xf>
    <xf numFmtId="0" fontId="14" fillId="6" borderId="31" xfId="0" applyFont="1" applyFill="1" applyBorder="1" applyAlignment="1">
      <alignment horizontal="right"/>
    </xf>
    <xf numFmtId="0" fontId="14" fillId="6" borderId="32" xfId="0" applyFont="1" applyFill="1" applyBorder="1" applyAlignment="1">
      <alignment horizontal="right"/>
    </xf>
    <xf numFmtId="0" fontId="14" fillId="6" borderId="46" xfId="0" applyFont="1" applyFill="1" applyBorder="1" applyAlignment="1">
      <alignment horizontal="right" vertical="center"/>
    </xf>
    <xf numFmtId="0" fontId="14" fillId="6" borderId="30" xfId="0" applyFont="1" applyFill="1" applyBorder="1" applyAlignment="1">
      <alignment horizontal="right" vertical="center"/>
    </xf>
    <xf numFmtId="0" fontId="14" fillId="6" borderId="45" xfId="0" applyFont="1" applyFill="1" applyBorder="1" applyAlignment="1">
      <alignment horizontal="right" vertical="center"/>
    </xf>
    <xf numFmtId="0" fontId="14" fillId="6" borderId="11" xfId="0" applyFont="1" applyFill="1" applyBorder="1" applyAlignment="1">
      <alignment horizontal="right" vertical="center"/>
    </xf>
    <xf numFmtId="0" fontId="14" fillId="6" borderId="18" xfId="0" applyFont="1" applyFill="1" applyBorder="1" applyAlignment="1">
      <alignment horizontal="right" vertical="center"/>
    </xf>
    <xf numFmtId="0" fontId="14" fillId="6" borderId="15" xfId="0" applyFont="1" applyFill="1" applyBorder="1" applyAlignment="1">
      <alignment horizontal="right" vertical="center"/>
    </xf>
    <xf numFmtId="0" fontId="29" fillId="4" borderId="54" xfId="3" applyFont="1" applyFill="1" applyBorder="1" applyAlignment="1">
      <alignment horizontal="center" vertical="center" textRotation="90"/>
    </xf>
    <xf numFmtId="0" fontId="14" fillId="0" borderId="32" xfId="0" applyFont="1" applyBorder="1" applyAlignment="1" applyProtection="1">
      <alignment horizontal="center"/>
      <protection locked="0"/>
    </xf>
    <xf numFmtId="0" fontId="14" fillId="0" borderId="46" xfId="0" applyFont="1" applyBorder="1" applyAlignment="1" applyProtection="1">
      <alignment horizontal="center"/>
      <protection locked="0"/>
    </xf>
    <xf numFmtId="0" fontId="14" fillId="0" borderId="12" xfId="0" applyFont="1" applyBorder="1" applyAlignment="1" applyProtection="1">
      <alignment horizontal="center"/>
      <protection locked="0"/>
    </xf>
    <xf numFmtId="0" fontId="14" fillId="0" borderId="11" xfId="0" applyFont="1" applyBorder="1" applyAlignment="1" applyProtection="1">
      <alignment horizontal="center"/>
      <protection locked="0"/>
    </xf>
    <xf numFmtId="0" fontId="14" fillId="0" borderId="37" xfId="0" applyFont="1" applyBorder="1" applyAlignment="1" applyProtection="1">
      <alignment horizontal="center"/>
      <protection locked="0"/>
    </xf>
    <xf numFmtId="0" fontId="14" fillId="0" borderId="39" xfId="0" applyFont="1" applyBorder="1" applyAlignment="1" applyProtection="1">
      <alignment horizontal="center"/>
      <protection locked="0"/>
    </xf>
    <xf numFmtId="0" fontId="13" fillId="6" borderId="37" xfId="0" applyFont="1" applyFill="1" applyBorder="1" applyAlignment="1">
      <alignment horizontal="left" vertical="center"/>
    </xf>
    <xf numFmtId="0" fontId="13" fillId="6" borderId="38" xfId="0" applyFont="1" applyFill="1" applyBorder="1" applyAlignment="1">
      <alignment horizontal="left" vertical="center"/>
    </xf>
    <xf numFmtId="0" fontId="13" fillId="6" borderId="36" xfId="0" applyFont="1" applyFill="1" applyBorder="1" applyAlignment="1">
      <alignment horizontal="left" vertical="center" wrapText="1"/>
    </xf>
    <xf numFmtId="0" fontId="13" fillId="6" borderId="37" xfId="0" applyFont="1" applyFill="1" applyBorder="1" applyAlignment="1">
      <alignment horizontal="left" vertical="center" wrapText="1"/>
    </xf>
    <xf numFmtId="0" fontId="16" fillId="0" borderId="37" xfId="0" applyFont="1" applyBorder="1" applyAlignment="1" applyProtection="1">
      <alignment horizontal="center" vertical="center"/>
      <protection locked="0"/>
    </xf>
    <xf numFmtId="0" fontId="0" fillId="0" borderId="10"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29" fillId="4" borderId="52" xfId="3" applyFont="1" applyFill="1" applyBorder="1" applyAlignment="1">
      <alignment horizontal="center" textRotation="90"/>
    </xf>
    <xf numFmtId="0" fontId="29" fillId="4" borderId="57" xfId="3" applyFont="1" applyFill="1" applyBorder="1" applyAlignment="1">
      <alignment horizontal="center" textRotation="90"/>
    </xf>
    <xf numFmtId="0" fontId="29" fillId="4" borderId="54" xfId="3" applyFont="1" applyFill="1" applyBorder="1" applyAlignment="1">
      <alignment horizontal="center" textRotation="90"/>
    </xf>
    <xf numFmtId="0" fontId="14" fillId="6" borderId="57" xfId="0" applyFont="1" applyFill="1" applyBorder="1" applyAlignment="1">
      <alignment horizontal="right"/>
    </xf>
    <xf numFmtId="0" fontId="14" fillId="6" borderId="61" xfId="0" applyFont="1" applyFill="1" applyBorder="1" applyAlignment="1">
      <alignment horizontal="right"/>
    </xf>
    <xf numFmtId="49" fontId="0" fillId="0" borderId="32"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48" xfId="0" applyNumberFormat="1" applyBorder="1" applyAlignment="1" applyProtection="1">
      <alignment horizontal="center"/>
      <protection locked="0"/>
    </xf>
    <xf numFmtId="0" fontId="13" fillId="6" borderId="12" xfId="0" applyFont="1" applyFill="1" applyBorder="1" applyAlignment="1">
      <alignment horizontal="left" vertical="center"/>
    </xf>
    <xf numFmtId="0" fontId="13" fillId="6" borderId="35" xfId="0" applyFont="1" applyFill="1" applyBorder="1" applyAlignment="1">
      <alignment horizontal="left" vertical="center"/>
    </xf>
    <xf numFmtId="0" fontId="13" fillId="6" borderId="34" xfId="0" applyFont="1" applyFill="1" applyBorder="1" applyAlignment="1">
      <alignment horizontal="left" vertical="center" wrapText="1"/>
    </xf>
    <xf numFmtId="0" fontId="13" fillId="6" borderId="12" xfId="0" applyFont="1" applyFill="1" applyBorder="1" applyAlignment="1">
      <alignment horizontal="left" vertical="center" wrapText="1"/>
    </xf>
    <xf numFmtId="0" fontId="0" fillId="3" borderId="11" xfId="0" applyFill="1" applyBorder="1" applyAlignment="1" applyProtection="1">
      <alignment horizontal="left" vertical="top"/>
      <protection locked="0"/>
    </xf>
    <xf numFmtId="0" fontId="0" fillId="3" borderId="18" xfId="0" applyFill="1" applyBorder="1" applyAlignment="1" applyProtection="1">
      <alignment horizontal="left" vertical="top"/>
      <protection locked="0"/>
    </xf>
    <xf numFmtId="0" fontId="0" fillId="3" borderId="15" xfId="0" applyFill="1" applyBorder="1" applyAlignment="1" applyProtection="1">
      <alignment horizontal="left" vertical="top"/>
      <protection locked="0"/>
    </xf>
    <xf numFmtId="0" fontId="16" fillId="0" borderId="12" xfId="0" applyFont="1" applyBorder="1" applyAlignment="1" applyProtection="1">
      <alignment horizontal="center" vertical="center"/>
      <protection locked="0"/>
    </xf>
    <xf numFmtId="0" fontId="21" fillId="3" borderId="11" xfId="0" applyFont="1" applyFill="1" applyBorder="1" applyAlignment="1" applyProtection="1">
      <alignment horizontal="left" vertical="top"/>
      <protection locked="0"/>
    </xf>
    <xf numFmtId="0" fontId="21" fillId="3" borderId="18" xfId="0" applyFont="1" applyFill="1" applyBorder="1" applyAlignment="1" applyProtection="1">
      <alignment horizontal="left" vertical="top"/>
      <protection locked="0"/>
    </xf>
    <xf numFmtId="0" fontId="21" fillId="3" borderId="27" xfId="0" applyFont="1" applyFill="1" applyBorder="1" applyAlignment="1" applyProtection="1">
      <alignment horizontal="left" vertical="top"/>
      <protection locked="0"/>
    </xf>
    <xf numFmtId="0" fontId="13" fillId="6" borderId="35" xfId="0" applyFont="1" applyFill="1" applyBorder="1" applyAlignment="1">
      <alignment horizontal="left" vertical="center" wrapText="1"/>
    </xf>
    <xf numFmtId="0" fontId="26" fillId="4" borderId="5" xfId="0" applyFont="1" applyFill="1" applyBorder="1" applyAlignment="1">
      <alignment horizontal="center" wrapText="1"/>
    </xf>
    <xf numFmtId="0" fontId="26" fillId="4" borderId="6" xfId="0" applyFont="1" applyFill="1" applyBorder="1" applyAlignment="1">
      <alignment horizontal="center" wrapText="1"/>
    </xf>
    <xf numFmtId="0" fontId="26" fillId="4" borderId="7" xfId="0" applyFont="1" applyFill="1" applyBorder="1" applyAlignment="1">
      <alignment horizontal="center" wrapText="1"/>
    </xf>
    <xf numFmtId="0" fontId="26" fillId="4" borderId="9" xfId="0" applyFont="1" applyFill="1" applyBorder="1" applyAlignment="1">
      <alignment horizontal="center" wrapText="1"/>
    </xf>
    <xf numFmtId="0" fontId="26" fillId="4" borderId="0" xfId="0" applyFont="1" applyFill="1" applyAlignment="1">
      <alignment horizontal="center" wrapText="1"/>
    </xf>
    <xf numFmtId="0" fontId="26" fillId="4" borderId="8" xfId="0" applyFont="1" applyFill="1" applyBorder="1" applyAlignment="1">
      <alignment horizontal="center" wrapText="1"/>
    </xf>
    <xf numFmtId="0" fontId="13" fillId="6" borderId="31" xfId="0" applyFont="1" applyFill="1" applyBorder="1" applyAlignment="1">
      <alignment horizontal="left" vertical="center" wrapText="1"/>
    </xf>
    <xf numFmtId="0" fontId="13" fillId="6" borderId="32" xfId="0" applyFont="1" applyFill="1" applyBorder="1" applyAlignment="1">
      <alignment horizontal="left" vertical="center" wrapText="1"/>
    </xf>
    <xf numFmtId="0" fontId="16" fillId="0" borderId="32" xfId="0" applyFont="1" applyBorder="1" applyAlignment="1" applyProtection="1">
      <alignment horizontal="center" vertical="center"/>
      <protection locked="0"/>
    </xf>
    <xf numFmtId="0" fontId="13" fillId="6" borderId="32" xfId="0" applyFont="1" applyFill="1" applyBorder="1" applyAlignment="1">
      <alignment horizontal="left" vertical="center"/>
    </xf>
    <xf numFmtId="0" fontId="13" fillId="6" borderId="33" xfId="0" applyFont="1" applyFill="1" applyBorder="1" applyAlignment="1">
      <alignment horizontal="left" vertical="center"/>
    </xf>
    <xf numFmtId="0" fontId="16" fillId="0" borderId="11"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16" fillId="0" borderId="15" xfId="0" applyFont="1" applyBorder="1" applyAlignment="1" applyProtection="1">
      <alignment horizontal="center" vertical="center"/>
      <protection locked="0"/>
    </xf>
    <xf numFmtId="0" fontId="0" fillId="0" borderId="44" xfId="0" applyBorder="1" applyAlignment="1">
      <alignment horizontal="center" vertical="center"/>
    </xf>
    <xf numFmtId="0" fontId="0" fillId="0" borderId="51" xfId="0" applyBorder="1" applyAlignment="1">
      <alignment horizontal="center" vertical="center"/>
    </xf>
    <xf numFmtId="0" fontId="0" fillId="0" borderId="12"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6" borderId="42" xfId="0" applyFill="1" applyBorder="1" applyAlignment="1">
      <alignment horizontal="right" vertical="center"/>
    </xf>
    <xf numFmtId="0" fontId="0" fillId="6" borderId="28" xfId="0" applyFill="1" applyBorder="1" applyAlignment="1">
      <alignment horizontal="right" vertical="center"/>
    </xf>
    <xf numFmtId="0" fontId="0" fillId="6" borderId="43" xfId="0" applyFill="1" applyBorder="1" applyAlignment="1">
      <alignment horizontal="right" vertical="center"/>
    </xf>
    <xf numFmtId="0" fontId="27" fillId="4" borderId="53" xfId="0" applyFont="1" applyFill="1" applyBorder="1" applyAlignment="1">
      <alignment horizontal="left" textRotation="90"/>
    </xf>
    <xf numFmtId="0" fontId="27" fillId="4" borderId="62" xfId="0" applyFont="1" applyFill="1" applyBorder="1" applyAlignment="1">
      <alignment horizontal="left" textRotation="90"/>
    </xf>
    <xf numFmtId="0" fontId="27" fillId="4" borderId="5" xfId="0" applyFont="1" applyFill="1" applyBorder="1" applyAlignment="1">
      <alignment horizontal="center"/>
    </xf>
    <xf numFmtId="0" fontId="27" fillId="4" borderId="6" xfId="0" applyFont="1" applyFill="1" applyBorder="1" applyAlignment="1">
      <alignment horizontal="center"/>
    </xf>
    <xf numFmtId="0" fontId="27" fillId="4" borderId="9" xfId="0" applyFont="1" applyFill="1" applyBorder="1" applyAlignment="1">
      <alignment horizontal="center"/>
    </xf>
    <xf numFmtId="0" fontId="27" fillId="4" borderId="0" xfId="0" applyFont="1" applyFill="1" applyAlignment="1">
      <alignment horizontal="center"/>
    </xf>
    <xf numFmtId="0" fontId="27" fillId="4" borderId="7" xfId="0" applyFont="1" applyFill="1" applyBorder="1" applyAlignment="1">
      <alignment horizontal="center"/>
    </xf>
    <xf numFmtId="0" fontId="27" fillId="4" borderId="8" xfId="0" applyFont="1" applyFill="1" applyBorder="1" applyAlignment="1">
      <alignment horizontal="center"/>
    </xf>
    <xf numFmtId="0" fontId="28" fillId="4" borderId="5" xfId="3" applyFont="1" applyFill="1" applyBorder="1" applyAlignment="1">
      <alignment horizontal="center" vertical="center" wrapText="1"/>
    </xf>
    <xf numFmtId="0" fontId="28" fillId="4" borderId="6" xfId="3" applyFont="1" applyFill="1" applyBorder="1" applyAlignment="1">
      <alignment horizontal="center" vertical="center" wrapText="1"/>
    </xf>
    <xf numFmtId="0" fontId="28" fillId="4" borderId="10" xfId="3" applyFont="1" applyFill="1" applyBorder="1" applyAlignment="1">
      <alignment horizontal="center" vertical="center" wrapText="1"/>
    </xf>
    <xf numFmtId="0" fontId="28" fillId="4" borderId="4" xfId="3" applyFont="1" applyFill="1" applyBorder="1" applyAlignment="1">
      <alignment horizontal="center" vertical="center" wrapText="1"/>
    </xf>
    <xf numFmtId="0" fontId="0" fillId="0" borderId="46" xfId="0" applyBorder="1" applyAlignment="1" applyProtection="1">
      <alignment horizontal="center"/>
      <protection locked="0"/>
    </xf>
    <xf numFmtId="0" fontId="0" fillId="0" borderId="30" xfId="0" applyBorder="1" applyAlignment="1" applyProtection="1">
      <alignment horizontal="center"/>
      <protection locked="0"/>
    </xf>
    <xf numFmtId="0" fontId="14" fillId="6" borderId="41" xfId="0" applyFont="1" applyFill="1" applyBorder="1" applyAlignment="1">
      <alignment horizontal="right"/>
    </xf>
    <xf numFmtId="0" fontId="14" fillId="6" borderId="44" xfId="0" applyFont="1" applyFill="1" applyBorder="1" applyAlignment="1">
      <alignment horizontal="right"/>
    </xf>
    <xf numFmtId="0" fontId="14" fillId="0" borderId="16" xfId="0" applyFont="1" applyBorder="1" applyAlignment="1" applyProtection="1">
      <alignment horizontal="center" vertical="center"/>
      <protection locked="0"/>
    </xf>
    <xf numFmtId="0" fontId="14" fillId="0" borderId="64" xfId="0" applyFont="1" applyBorder="1" applyAlignment="1" applyProtection="1">
      <alignment horizontal="center" vertical="center"/>
      <protection locked="0"/>
    </xf>
    <xf numFmtId="0" fontId="14" fillId="6" borderId="17" xfId="0" applyFont="1" applyFill="1" applyBorder="1" applyAlignment="1">
      <alignment horizontal="right" vertical="center"/>
    </xf>
    <xf numFmtId="0" fontId="14" fillId="6" borderId="16" xfId="0" applyFont="1" applyFill="1" applyBorder="1" applyAlignment="1">
      <alignment horizontal="right" vertical="center"/>
    </xf>
    <xf numFmtId="0" fontId="14" fillId="6" borderId="64" xfId="0" applyFont="1" applyFill="1" applyBorder="1" applyAlignment="1">
      <alignment horizontal="right" vertical="center"/>
    </xf>
    <xf numFmtId="0" fontId="0" fillId="0" borderId="17" xfId="0" applyBorder="1" applyAlignment="1" applyProtection="1">
      <alignment horizontal="center"/>
      <protection locked="0"/>
    </xf>
    <xf numFmtId="0" fontId="0" fillId="0" borderId="16" xfId="0" applyBorder="1" applyAlignment="1" applyProtection="1">
      <alignment horizontal="center"/>
      <protection locked="0"/>
    </xf>
    <xf numFmtId="0" fontId="14" fillId="0" borderId="44"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0" fillId="0" borderId="11" xfId="0" applyBorder="1" applyAlignment="1" applyProtection="1">
      <alignment horizontal="center"/>
      <protection locked="0"/>
    </xf>
    <xf numFmtId="0" fontId="0" fillId="0" borderId="18" xfId="0" applyBorder="1" applyAlignment="1" applyProtection="1">
      <alignment horizontal="center"/>
      <protection locked="0"/>
    </xf>
    <xf numFmtId="0" fontId="14" fillId="6" borderId="40" xfId="0" applyFont="1" applyFill="1" applyBorder="1" applyAlignment="1">
      <alignment horizontal="right"/>
    </xf>
    <xf numFmtId="0" fontId="14" fillId="6" borderId="48" xfId="0" applyFont="1" applyFill="1" applyBorder="1" applyAlignment="1">
      <alignment horizontal="right"/>
    </xf>
    <xf numFmtId="0" fontId="14" fillId="6" borderId="20" xfId="0" applyFont="1" applyFill="1" applyBorder="1" applyAlignment="1">
      <alignment horizontal="right" vertical="center"/>
    </xf>
    <xf numFmtId="0" fontId="14" fillId="6" borderId="19" xfId="0" applyFont="1" applyFill="1" applyBorder="1" applyAlignment="1">
      <alignment horizontal="right" vertical="center"/>
    </xf>
    <xf numFmtId="0" fontId="14" fillId="6" borderId="65" xfId="0" applyFont="1" applyFill="1" applyBorder="1" applyAlignment="1">
      <alignment horizontal="right" vertical="center"/>
    </xf>
    <xf numFmtId="0" fontId="0" fillId="0" borderId="20" xfId="0" applyBorder="1" applyAlignment="1" applyProtection="1">
      <alignment horizontal="center"/>
      <protection locked="0"/>
    </xf>
    <xf numFmtId="0" fontId="0" fillId="0" borderId="19" xfId="0" applyBorder="1" applyAlignment="1" applyProtection="1">
      <alignment horizontal="center"/>
      <protection locked="0"/>
    </xf>
    <xf numFmtId="0" fontId="14" fillId="0" borderId="48"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32" xfId="0" applyFont="1" applyBorder="1" applyAlignment="1">
      <alignment horizontal="left" vertical="center"/>
    </xf>
    <xf numFmtId="1" fontId="0" fillId="0" borderId="11" xfId="0" applyNumberFormat="1" applyBorder="1" applyAlignment="1" applyProtection="1">
      <alignment horizontal="center"/>
      <protection locked="0"/>
    </xf>
    <xf numFmtId="1" fontId="0" fillId="0" borderId="15" xfId="0" applyNumberFormat="1" applyBorder="1" applyAlignment="1" applyProtection="1">
      <alignment horizontal="center"/>
      <protection locked="0"/>
    </xf>
    <xf numFmtId="0" fontId="0" fillId="0" borderId="15" xfId="0" applyBorder="1" applyAlignment="1" applyProtection="1">
      <alignment horizontal="center"/>
      <protection locked="0"/>
    </xf>
    <xf numFmtId="0" fontId="14" fillId="0" borderId="11" xfId="0" applyFont="1" applyBorder="1" applyAlignment="1">
      <alignment horizontal="center"/>
    </xf>
    <xf numFmtId="0" fontId="14" fillId="0" borderId="18" xfId="0" applyFont="1" applyBorder="1" applyAlignment="1">
      <alignment horizontal="center"/>
    </xf>
    <xf numFmtId="0" fontId="14" fillId="0" borderId="15" xfId="0" applyFont="1" applyBorder="1" applyAlignment="1">
      <alignment horizontal="center"/>
    </xf>
    <xf numFmtId="0" fontId="14" fillId="6" borderId="39" xfId="0" applyFont="1" applyFill="1" applyBorder="1" applyAlignment="1">
      <alignment horizontal="right" vertical="center"/>
    </xf>
    <xf numFmtId="0" fontId="14" fillId="6" borderId="28" xfId="0" applyFont="1" applyFill="1" applyBorder="1" applyAlignment="1">
      <alignment horizontal="right" vertical="center"/>
    </xf>
    <xf numFmtId="0" fontId="14" fillId="6" borderId="39" xfId="0" applyFont="1" applyFill="1" applyBorder="1" applyAlignment="1">
      <alignment horizontal="center" vertical="center"/>
    </xf>
    <xf numFmtId="0" fontId="14" fillId="6" borderId="28" xfId="0" applyFont="1" applyFill="1" applyBorder="1" applyAlignment="1">
      <alignment horizontal="center" vertical="center"/>
    </xf>
    <xf numFmtId="0" fontId="14" fillId="6" borderId="43" xfId="0" applyFont="1" applyFill="1" applyBorder="1" applyAlignment="1">
      <alignment horizontal="center" vertical="center"/>
    </xf>
    <xf numFmtId="0" fontId="14" fillId="5" borderId="67" xfId="0" applyFont="1" applyFill="1" applyBorder="1" applyAlignment="1">
      <alignment horizontal="center" vertical="center" textRotation="90" wrapText="1"/>
    </xf>
    <xf numFmtId="0" fontId="14" fillId="5" borderId="68" xfId="0" applyFont="1" applyFill="1" applyBorder="1" applyAlignment="1">
      <alignment horizontal="center" vertical="center" textRotation="90" wrapText="1"/>
    </xf>
    <xf numFmtId="0" fontId="14" fillId="5" borderId="69" xfId="0" applyFont="1" applyFill="1" applyBorder="1" applyAlignment="1">
      <alignment horizontal="center" vertical="center" textRotation="90" wrapText="1"/>
    </xf>
    <xf numFmtId="0" fontId="14" fillId="0" borderId="5" xfId="0" applyFont="1" applyBorder="1" applyAlignment="1" applyProtection="1">
      <alignment horizontal="center" vertical="center"/>
      <protection locked="0"/>
    </xf>
    <xf numFmtId="0" fontId="14" fillId="0" borderId="6" xfId="0" applyFont="1" applyBorder="1" applyAlignment="1" applyProtection="1">
      <alignment horizontal="center" vertical="center"/>
      <protection locked="0"/>
    </xf>
    <xf numFmtId="0" fontId="14" fillId="0" borderId="7" xfId="0" applyFont="1" applyBorder="1" applyAlignment="1" applyProtection="1">
      <alignment horizontal="center" vertical="center"/>
      <protection locked="0"/>
    </xf>
    <xf numFmtId="0" fontId="14" fillId="0" borderId="9" xfId="0" applyFont="1" applyBorder="1" applyAlignment="1" applyProtection="1">
      <alignment horizontal="center" vertical="center"/>
      <protection locked="0"/>
    </xf>
    <xf numFmtId="0" fontId="14" fillId="0" borderId="8"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0" borderId="14" xfId="0" applyFont="1" applyBorder="1" applyAlignment="1" applyProtection="1">
      <alignment horizontal="center" vertical="center"/>
      <protection locked="0"/>
    </xf>
    <xf numFmtId="0" fontId="14" fillId="6" borderId="15" xfId="0" applyFont="1" applyFill="1" applyBorder="1" applyAlignment="1">
      <alignment horizontal="right"/>
    </xf>
    <xf numFmtId="0" fontId="14" fillId="0" borderId="18" xfId="0" applyFont="1" applyBorder="1" applyAlignment="1" applyProtection="1">
      <alignment horizontal="center"/>
      <protection locked="0"/>
    </xf>
    <xf numFmtId="0" fontId="14" fillId="0" borderId="15" xfId="0" applyFont="1" applyBorder="1" applyAlignment="1" applyProtection="1">
      <alignment horizontal="center"/>
      <protection locked="0"/>
    </xf>
    <xf numFmtId="0" fontId="14" fillId="6" borderId="18" xfId="0" applyFont="1" applyFill="1" applyBorder="1" applyAlignment="1">
      <alignment horizontal="center"/>
    </xf>
    <xf numFmtId="0" fontId="14" fillId="6" borderId="15" xfId="0" applyFont="1" applyFill="1" applyBorder="1" applyAlignment="1">
      <alignment horizontal="center"/>
    </xf>
    <xf numFmtId="0" fontId="14" fillId="0" borderId="16" xfId="0" applyFont="1" applyBorder="1" applyAlignment="1" applyProtection="1">
      <alignment horizontal="center"/>
      <protection locked="0"/>
    </xf>
    <xf numFmtId="0" fontId="14" fillId="0" borderId="64" xfId="0" applyFont="1" applyBorder="1" applyAlignment="1" applyProtection="1">
      <alignment horizontal="center"/>
      <protection locked="0"/>
    </xf>
    <xf numFmtId="0" fontId="14" fillId="0" borderId="75" xfId="0" applyFont="1" applyBorder="1" applyAlignment="1" applyProtection="1">
      <alignment horizontal="center" vertical="center"/>
      <protection locked="0"/>
    </xf>
    <xf numFmtId="0" fontId="14" fillId="0" borderId="11" xfId="0" applyFont="1" applyBorder="1" applyAlignment="1" applyProtection="1">
      <alignment horizontal="left" vertical="center"/>
      <protection locked="0"/>
    </xf>
    <xf numFmtId="0" fontId="14" fillId="0" borderId="18" xfId="0" applyFont="1" applyBorder="1" applyAlignment="1" applyProtection="1">
      <alignment horizontal="left" vertical="center"/>
      <protection locked="0"/>
    </xf>
    <xf numFmtId="0" fontId="29" fillId="4" borderId="67" xfId="3" applyFont="1" applyFill="1" applyBorder="1" applyAlignment="1">
      <alignment horizontal="center" vertical="center" textRotation="90" wrapText="1"/>
    </xf>
    <xf numFmtId="0" fontId="29" fillId="4" borderId="68" xfId="3" applyFont="1" applyFill="1" applyBorder="1" applyAlignment="1">
      <alignment horizontal="center" vertical="center" textRotation="90" wrapText="1"/>
    </xf>
    <xf numFmtId="0" fontId="29" fillId="4" borderId="69" xfId="3" applyFont="1" applyFill="1" applyBorder="1" applyAlignment="1">
      <alignment horizontal="center" vertical="center" textRotation="90" wrapText="1"/>
    </xf>
    <xf numFmtId="0" fontId="14" fillId="0" borderId="74" xfId="0" applyFont="1" applyBorder="1" applyAlignment="1" applyProtection="1">
      <alignment horizontal="left" vertical="center"/>
      <protection locked="0"/>
    </xf>
    <xf numFmtId="0" fontId="14" fillId="0" borderId="56" xfId="0" applyFont="1" applyBorder="1" applyAlignment="1" applyProtection="1">
      <alignment horizontal="left" vertical="center"/>
      <protection locked="0"/>
    </xf>
    <xf numFmtId="0" fontId="14" fillId="0" borderId="76" xfId="0" applyFont="1" applyBorder="1" applyAlignment="1" applyProtection="1">
      <alignment horizontal="center" vertical="center"/>
      <protection locked="0"/>
    </xf>
    <xf numFmtId="0" fontId="14" fillId="6" borderId="43" xfId="0" applyFont="1" applyFill="1" applyBorder="1" applyAlignment="1">
      <alignment horizontal="right" vertical="center"/>
    </xf>
    <xf numFmtId="0" fontId="14" fillId="0" borderId="28"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14" fillId="6" borderId="11"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5" xfId="0" applyFont="1" applyFill="1" applyBorder="1" applyAlignment="1">
      <alignment horizontal="center" vertical="center"/>
    </xf>
    <xf numFmtId="0" fontId="14" fillId="6" borderId="47" xfId="0" applyFont="1" applyFill="1" applyBorder="1" applyAlignment="1">
      <alignment horizontal="right" vertical="center"/>
    </xf>
    <xf numFmtId="0" fontId="14" fillId="0" borderId="13" xfId="0" applyFont="1" applyBorder="1" applyAlignment="1" applyProtection="1">
      <alignment horizontal="center" vertical="center"/>
      <protection locked="0"/>
    </xf>
    <xf numFmtId="0" fontId="14" fillId="0" borderId="66" xfId="0" applyFont="1" applyBorder="1" applyAlignment="1" applyProtection="1">
      <alignment horizontal="center" vertical="center"/>
      <protection locked="0"/>
    </xf>
    <xf numFmtId="0" fontId="14" fillId="6" borderId="13" xfId="0" applyFont="1" applyFill="1" applyBorder="1" applyAlignment="1">
      <alignment horizontal="right" vertical="center"/>
    </xf>
    <xf numFmtId="0" fontId="14" fillId="6" borderId="4" xfId="0" applyFont="1" applyFill="1" applyBorder="1" applyAlignment="1">
      <alignment horizontal="right" vertical="center"/>
    </xf>
    <xf numFmtId="0" fontId="14" fillId="6" borderId="66" xfId="0" applyFont="1" applyFill="1" applyBorder="1" applyAlignment="1">
      <alignment horizontal="right" vertical="center"/>
    </xf>
    <xf numFmtId="0" fontId="14" fillId="5" borderId="15" xfId="0" applyFont="1" applyFill="1" applyBorder="1" applyAlignment="1">
      <alignment horizontal="left" vertical="center"/>
    </xf>
    <xf numFmtId="0" fontId="14" fillId="5" borderId="12" xfId="0" applyFont="1" applyFill="1" applyBorder="1" applyAlignment="1">
      <alignment horizontal="left" vertical="center"/>
    </xf>
    <xf numFmtId="0" fontId="14" fillId="6" borderId="44" xfId="0" applyFont="1" applyFill="1" applyBorder="1" applyAlignment="1">
      <alignment horizontal="right" vertical="center"/>
    </xf>
    <xf numFmtId="0" fontId="14" fillId="0" borderId="63" xfId="0" applyFont="1" applyBorder="1" applyAlignment="1" applyProtection="1">
      <alignment horizontal="center" vertical="center"/>
      <protection locked="0"/>
    </xf>
    <xf numFmtId="0" fontId="14" fillId="0" borderId="41" xfId="0" applyFont="1" applyBorder="1" applyAlignment="1" applyProtection="1">
      <alignment horizontal="center" vertical="center"/>
      <protection locked="0"/>
    </xf>
    <xf numFmtId="0" fontId="14" fillId="0" borderId="51" xfId="0" applyFont="1" applyBorder="1" applyAlignment="1" applyProtection="1">
      <alignment horizontal="center" vertical="center"/>
      <protection locked="0"/>
    </xf>
    <xf numFmtId="0" fontId="16" fillId="0" borderId="46" xfId="0" applyFont="1" applyBorder="1" applyAlignment="1" applyProtection="1">
      <alignment horizontal="center" vertical="center"/>
      <protection locked="0"/>
    </xf>
    <xf numFmtId="0" fontId="16" fillId="0" borderId="30" xfId="0" applyFont="1" applyBorder="1" applyAlignment="1" applyProtection="1">
      <alignment horizontal="center" vertical="center"/>
      <protection locked="0"/>
    </xf>
    <xf numFmtId="0" fontId="16" fillId="0" borderId="45" xfId="0" applyFont="1" applyBorder="1" applyAlignment="1" applyProtection="1">
      <alignment horizontal="center" vertical="center"/>
      <protection locked="0"/>
    </xf>
    <xf numFmtId="0" fontId="13" fillId="2" borderId="46" xfId="0" applyFont="1" applyFill="1" applyBorder="1" applyAlignment="1">
      <alignment horizontal="left" vertical="center"/>
    </xf>
    <xf numFmtId="0" fontId="13" fillId="2" borderId="30" xfId="0" applyFont="1" applyFill="1" applyBorder="1" applyAlignment="1">
      <alignment horizontal="left" vertical="center"/>
    </xf>
    <xf numFmtId="0" fontId="13" fillId="2" borderId="45" xfId="0" applyFont="1" applyFill="1" applyBorder="1" applyAlignment="1">
      <alignment horizontal="left" vertical="center"/>
    </xf>
    <xf numFmtId="0" fontId="13" fillId="2" borderId="46" xfId="0" applyFont="1" applyFill="1" applyBorder="1" applyAlignment="1">
      <alignment horizontal="left" vertical="center" wrapText="1"/>
    </xf>
    <xf numFmtId="0" fontId="13" fillId="2" borderId="30" xfId="0" applyFont="1" applyFill="1" applyBorder="1" applyAlignment="1">
      <alignment horizontal="left" vertical="center" wrapText="1"/>
    </xf>
    <xf numFmtId="0" fontId="13" fillId="2" borderId="45" xfId="0" applyFont="1" applyFill="1" applyBorder="1" applyAlignment="1">
      <alignment horizontal="left" vertical="center" wrapText="1"/>
    </xf>
    <xf numFmtId="0" fontId="13" fillId="2" borderId="23" xfId="0" applyFont="1" applyFill="1" applyBorder="1" applyAlignment="1">
      <alignment horizontal="left" vertical="center"/>
    </xf>
    <xf numFmtId="0" fontId="13" fillId="2" borderId="73" xfId="0" applyFont="1" applyFill="1" applyBorder="1" applyAlignment="1">
      <alignment horizontal="left" vertical="center"/>
    </xf>
    <xf numFmtId="0" fontId="13" fillId="2" borderId="2" xfId="0" applyFont="1" applyFill="1" applyBorder="1" applyAlignment="1">
      <alignment horizontal="left" vertical="center"/>
    </xf>
    <xf numFmtId="0" fontId="13" fillId="2" borderId="71" xfId="0" applyFont="1" applyFill="1" applyBorder="1" applyAlignment="1">
      <alignment horizontal="left" vertical="center"/>
    </xf>
    <xf numFmtId="0" fontId="13" fillId="2" borderId="24" xfId="0" applyFont="1" applyFill="1" applyBorder="1" applyAlignment="1">
      <alignment horizontal="left" vertical="center" wrapText="1"/>
    </xf>
    <xf numFmtId="0" fontId="13" fillId="2" borderId="42" xfId="0" applyFont="1" applyFill="1" applyBorder="1" applyAlignment="1">
      <alignment horizontal="left" vertical="center" wrapText="1"/>
    </xf>
    <xf numFmtId="0" fontId="13" fillId="2" borderId="28" xfId="0" applyFont="1" applyFill="1" applyBorder="1" applyAlignment="1">
      <alignment horizontal="left" vertical="center" wrapText="1"/>
    </xf>
    <xf numFmtId="0" fontId="13" fillId="2" borderId="43" xfId="0" applyFont="1" applyFill="1" applyBorder="1" applyAlignment="1">
      <alignment horizontal="left" vertical="center" wrapText="1"/>
    </xf>
    <xf numFmtId="0" fontId="25" fillId="4" borderId="5" xfId="0" applyFont="1" applyFill="1" applyBorder="1" applyAlignment="1">
      <alignment horizontal="center" vertical="center" wrapText="1"/>
    </xf>
    <xf numFmtId="0" fontId="25" fillId="4" borderId="7" xfId="0" applyFont="1" applyFill="1" applyBorder="1" applyAlignment="1">
      <alignment horizontal="center" vertical="center" wrapText="1"/>
    </xf>
    <xf numFmtId="0" fontId="25" fillId="4" borderId="10" xfId="0" applyFont="1" applyFill="1" applyBorder="1" applyAlignment="1">
      <alignment horizontal="center" vertical="center" wrapText="1"/>
    </xf>
    <xf numFmtId="0" fontId="25" fillId="4" borderId="14" xfId="0" applyFont="1" applyFill="1" applyBorder="1" applyAlignment="1">
      <alignment horizontal="center" vertical="center" wrapText="1"/>
    </xf>
    <xf numFmtId="0" fontId="0" fillId="0" borderId="18"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9" fillId="6" borderId="59" xfId="3" applyFont="1" applyFill="1" applyBorder="1" applyAlignment="1">
      <alignment horizontal="right" vertical="center"/>
    </xf>
    <xf numFmtId="0" fontId="9" fillId="6" borderId="58" xfId="3" applyFont="1" applyFill="1" applyBorder="1" applyAlignment="1">
      <alignment horizontal="right" vertical="center"/>
    </xf>
    <xf numFmtId="0" fontId="9" fillId="6" borderId="60" xfId="3" applyFont="1" applyFill="1" applyBorder="1" applyAlignment="1">
      <alignment horizontal="right" vertical="center"/>
    </xf>
    <xf numFmtId="0" fontId="9" fillId="6" borderId="57" xfId="3" applyFont="1" applyFill="1" applyBorder="1" applyAlignment="1">
      <alignment horizontal="right" vertical="center"/>
    </xf>
    <xf numFmtId="0" fontId="9" fillId="6" borderId="61" xfId="3" applyFont="1" applyFill="1" applyBorder="1" applyAlignment="1">
      <alignment horizontal="right" vertical="center"/>
    </xf>
    <xf numFmtId="0" fontId="9" fillId="6" borderId="62" xfId="3" applyFont="1" applyFill="1" applyBorder="1" applyAlignment="1">
      <alignment horizontal="right" vertical="center"/>
    </xf>
    <xf numFmtId="0" fontId="9" fillId="6" borderId="47" xfId="3" applyFont="1" applyFill="1" applyBorder="1" applyAlignment="1">
      <alignment horizontal="right" vertical="center"/>
    </xf>
    <xf numFmtId="0" fontId="9" fillId="6" borderId="55" xfId="3" applyFont="1" applyFill="1" applyBorder="1" applyAlignment="1">
      <alignment horizontal="right" vertical="center"/>
    </xf>
    <xf numFmtId="0" fontId="14" fillId="6" borderId="45" xfId="0" applyFont="1" applyFill="1" applyBorder="1" applyAlignment="1">
      <alignment horizontal="right"/>
    </xf>
    <xf numFmtId="0" fontId="13" fillId="2" borderId="17" xfId="0" applyFont="1" applyFill="1" applyBorder="1" applyAlignment="1">
      <alignment horizontal="left" vertical="center" wrapText="1"/>
    </xf>
    <xf numFmtId="0" fontId="13" fillId="2" borderId="16" xfId="0" applyFont="1" applyFill="1" applyBorder="1" applyAlignment="1">
      <alignment horizontal="left" vertical="center" wrapText="1"/>
    </xf>
    <xf numFmtId="0" fontId="13" fillId="2" borderId="64" xfId="0" applyFont="1" applyFill="1" applyBorder="1" applyAlignment="1">
      <alignment horizontal="left" vertical="center" wrapText="1"/>
    </xf>
    <xf numFmtId="0" fontId="16" fillId="0" borderId="17" xfId="0" applyFont="1" applyBorder="1" applyAlignment="1" applyProtection="1">
      <alignment horizontal="center" vertical="center"/>
      <protection locked="0"/>
    </xf>
    <xf numFmtId="0" fontId="16" fillId="0" borderId="16" xfId="0" applyFont="1" applyBorder="1" applyAlignment="1" applyProtection="1">
      <alignment horizontal="center" vertical="center"/>
      <protection locked="0"/>
    </xf>
    <xf numFmtId="0" fontId="16" fillId="0" borderId="64" xfId="0" applyFont="1" applyBorder="1" applyAlignment="1" applyProtection="1">
      <alignment horizontal="center" vertical="center"/>
      <protection locked="0"/>
    </xf>
    <xf numFmtId="0" fontId="13" fillId="2" borderId="17" xfId="0" applyFont="1" applyFill="1" applyBorder="1" applyAlignment="1">
      <alignment horizontal="left" vertical="center"/>
    </xf>
    <xf numFmtId="0" fontId="13" fillId="2" borderId="16" xfId="0" applyFont="1" applyFill="1" applyBorder="1" applyAlignment="1">
      <alignment horizontal="left" vertical="center"/>
    </xf>
    <xf numFmtId="0" fontId="13" fillId="2" borderId="22" xfId="0" applyFont="1" applyFill="1" applyBorder="1" applyAlignment="1">
      <alignment horizontal="left" vertical="center"/>
    </xf>
    <xf numFmtId="0" fontId="16" fillId="0" borderId="39" xfId="0" applyFont="1" applyBorder="1" applyAlignment="1" applyProtection="1">
      <alignment horizontal="center" vertical="center"/>
      <protection locked="0"/>
    </xf>
    <xf numFmtId="0" fontId="16" fillId="0" borderId="28" xfId="0" applyFont="1" applyBorder="1" applyAlignment="1" applyProtection="1">
      <alignment horizontal="center" vertical="center"/>
      <protection locked="0"/>
    </xf>
    <xf numFmtId="0" fontId="16" fillId="0" borderId="43" xfId="0" applyFont="1" applyBorder="1" applyAlignment="1" applyProtection="1">
      <alignment horizontal="center" vertical="center"/>
      <protection locked="0"/>
    </xf>
    <xf numFmtId="0" fontId="13" fillId="2" borderId="1" xfId="0" applyFont="1" applyFill="1" applyBorder="1" applyAlignment="1">
      <alignment horizontal="left" vertical="center" wrapText="1"/>
    </xf>
    <xf numFmtId="0" fontId="13" fillId="2" borderId="2" xfId="0" applyFont="1" applyFill="1" applyBorder="1" applyAlignment="1">
      <alignment horizontal="left" vertical="center" wrapText="1"/>
    </xf>
    <xf numFmtId="0" fontId="13" fillId="2" borderId="71" xfId="0" applyFont="1" applyFill="1" applyBorder="1" applyAlignment="1">
      <alignment horizontal="left" vertical="center" wrapText="1"/>
    </xf>
    <xf numFmtId="0" fontId="16" fillId="0" borderId="73"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16" fillId="0" borderId="71" xfId="0" applyFont="1" applyBorder="1" applyAlignment="1" applyProtection="1">
      <alignment horizontal="center" vertical="center"/>
      <protection locked="0"/>
    </xf>
    <xf numFmtId="0" fontId="4" fillId="2" borderId="73" xfId="0" applyFont="1" applyFill="1" applyBorder="1" applyAlignment="1">
      <alignment horizontal="center" vertical="top"/>
    </xf>
    <xf numFmtId="0" fontId="4" fillId="2" borderId="2" xfId="0" applyFont="1" applyFill="1" applyBorder="1" applyAlignment="1">
      <alignment horizontal="center" vertical="top"/>
    </xf>
    <xf numFmtId="0" fontId="4" fillId="2" borderId="3" xfId="0" applyFont="1" applyFill="1" applyBorder="1" applyAlignment="1">
      <alignment horizontal="center" vertical="top"/>
    </xf>
    <xf numFmtId="0" fontId="14" fillId="6" borderId="56" xfId="0" applyFont="1" applyFill="1" applyBorder="1" applyAlignment="1">
      <alignment horizontal="center" vertical="center"/>
    </xf>
    <xf numFmtId="0" fontId="14" fillId="6" borderId="70" xfId="0" applyFont="1" applyFill="1" applyBorder="1" applyAlignment="1">
      <alignment horizontal="center" vertical="center"/>
    </xf>
    <xf numFmtId="0" fontId="14" fillId="0" borderId="61" xfId="0" applyFont="1" applyBorder="1" applyAlignment="1" applyProtection="1">
      <alignment horizontal="center"/>
      <protection locked="0"/>
    </xf>
    <xf numFmtId="0" fontId="14" fillId="0" borderId="49" xfId="0" applyFont="1" applyBorder="1" applyAlignment="1" applyProtection="1">
      <alignment horizontal="center"/>
      <protection locked="0"/>
    </xf>
    <xf numFmtId="0" fontId="0" fillId="0" borderId="49" xfId="0" applyBorder="1" applyAlignment="1" applyProtection="1">
      <alignment horizontal="center"/>
      <protection locked="0"/>
    </xf>
    <xf numFmtId="0" fontId="0" fillId="0" borderId="0" xfId="0" applyAlignment="1" applyProtection="1">
      <alignment horizontal="center"/>
      <protection locked="0"/>
    </xf>
    <xf numFmtId="0" fontId="14" fillId="6" borderId="43" xfId="0" applyFont="1" applyFill="1" applyBorder="1" applyAlignment="1">
      <alignment horizontal="right"/>
    </xf>
    <xf numFmtId="0" fontId="29" fillId="4" borderId="5" xfId="3" applyFont="1" applyFill="1" applyBorder="1" applyAlignment="1">
      <alignment horizontal="center" vertical="center" textRotation="90"/>
    </xf>
    <xf numFmtId="0" fontId="29" fillId="4" borderId="9" xfId="3" applyFont="1" applyFill="1" applyBorder="1" applyAlignment="1">
      <alignment horizontal="center" vertical="center" textRotation="90"/>
    </xf>
    <xf numFmtId="0" fontId="29" fillId="4" borderId="10" xfId="3" applyFont="1" applyFill="1" applyBorder="1" applyAlignment="1">
      <alignment horizontal="center" vertical="center" textRotation="90"/>
    </xf>
    <xf numFmtId="0" fontId="29" fillId="4" borderId="5" xfId="3" applyFont="1" applyFill="1" applyBorder="1" applyAlignment="1">
      <alignment horizontal="center" vertical="center" textRotation="90" wrapText="1"/>
    </xf>
    <xf numFmtId="0" fontId="29" fillId="4" borderId="9" xfId="3" applyFont="1" applyFill="1" applyBorder="1" applyAlignment="1">
      <alignment horizontal="center" vertical="center" textRotation="90" wrapText="1"/>
    </xf>
    <xf numFmtId="0" fontId="29" fillId="4" borderId="10" xfId="3" applyFont="1" applyFill="1" applyBorder="1" applyAlignment="1">
      <alignment horizontal="center" vertical="center" textRotation="90" wrapText="1"/>
    </xf>
    <xf numFmtId="0" fontId="14" fillId="5" borderId="45" xfId="0" applyFont="1" applyFill="1" applyBorder="1" applyAlignment="1">
      <alignment horizontal="left" vertical="center"/>
    </xf>
    <xf numFmtId="0" fontId="14" fillId="5" borderId="32" xfId="0" applyFont="1" applyFill="1" applyBorder="1" applyAlignment="1">
      <alignment horizontal="left" vertical="center"/>
    </xf>
    <xf numFmtId="0" fontId="14" fillId="0" borderId="47" xfId="0" applyFont="1" applyBorder="1" applyAlignment="1" applyProtection="1">
      <alignment horizontal="center" vertical="center"/>
      <protection locked="0"/>
    </xf>
    <xf numFmtId="0" fontId="14" fillId="0" borderId="55" xfId="0" applyFont="1" applyBorder="1" applyAlignment="1" applyProtection="1">
      <alignment horizontal="center" vertical="center"/>
      <protection locked="0"/>
    </xf>
    <xf numFmtId="0" fontId="29" fillId="4" borderId="67" xfId="3" applyFont="1" applyFill="1" applyBorder="1" applyAlignment="1">
      <alignment horizontal="center" vertical="center" textRotation="90"/>
    </xf>
    <xf numFmtId="0" fontId="29" fillId="4" borderId="68" xfId="3" applyFont="1" applyFill="1" applyBorder="1" applyAlignment="1">
      <alignment horizontal="center" vertical="center" textRotation="90"/>
    </xf>
    <xf numFmtId="0" fontId="29" fillId="4" borderId="69" xfId="3" applyFont="1" applyFill="1" applyBorder="1" applyAlignment="1">
      <alignment horizontal="center" vertical="center" textRotation="90"/>
    </xf>
    <xf numFmtId="0" fontId="14" fillId="6" borderId="64" xfId="0" applyFont="1" applyFill="1" applyBorder="1" applyAlignment="1">
      <alignment horizontal="right"/>
    </xf>
    <xf numFmtId="0" fontId="14" fillId="6" borderId="65" xfId="0" applyFont="1" applyFill="1" applyBorder="1" applyAlignment="1">
      <alignment horizontal="right"/>
    </xf>
    <xf numFmtId="0" fontId="14" fillId="0" borderId="47" xfId="0" applyFont="1" applyBorder="1" applyAlignment="1" applyProtection="1">
      <alignment horizontal="center"/>
      <protection locked="0"/>
    </xf>
    <xf numFmtId="0" fontId="14" fillId="0" borderId="13" xfId="0" applyFont="1" applyBorder="1" applyAlignment="1" applyProtection="1">
      <alignment horizontal="center"/>
      <protection locked="0"/>
    </xf>
    <xf numFmtId="0" fontId="14" fillId="0" borderId="0" xfId="0" applyFont="1" applyAlignment="1" applyProtection="1">
      <alignment horizontal="center"/>
      <protection locked="0"/>
    </xf>
    <xf numFmtId="0" fontId="14" fillId="0" borderId="63" xfId="0" applyFont="1" applyBorder="1" applyAlignment="1" applyProtection="1">
      <alignment horizontal="center"/>
      <protection locked="0"/>
    </xf>
    <xf numFmtId="0" fontId="14" fillId="6" borderId="61" xfId="0" applyFont="1" applyFill="1" applyBorder="1" applyAlignment="1">
      <alignment horizontal="right" vertical="center"/>
    </xf>
    <xf numFmtId="0" fontId="14" fillId="0" borderId="61" xfId="0" applyFont="1" applyBorder="1" applyAlignment="1" applyProtection="1">
      <alignment horizontal="center" vertical="center"/>
      <protection locked="0"/>
    </xf>
    <xf numFmtId="0" fontId="14" fillId="0" borderId="62" xfId="0" applyFont="1" applyBorder="1" applyAlignment="1" applyProtection="1">
      <alignment horizontal="center" vertical="center"/>
      <protection locked="0"/>
    </xf>
    <xf numFmtId="0" fontId="14" fillId="6" borderId="16" xfId="0" applyFont="1" applyFill="1" applyBorder="1" applyAlignment="1">
      <alignment horizontal="center"/>
    </xf>
    <xf numFmtId="0" fontId="14" fillId="6" borderId="64" xfId="0" applyFont="1" applyFill="1" applyBorder="1" applyAlignment="1">
      <alignment horizontal="center"/>
    </xf>
    <xf numFmtId="0" fontId="14" fillId="6" borderId="0" xfId="0" applyFont="1" applyFill="1" applyAlignment="1">
      <alignment horizontal="center"/>
    </xf>
    <xf numFmtId="0" fontId="14" fillId="6" borderId="63" xfId="0" applyFont="1" applyFill="1" applyBorder="1" applyAlignment="1">
      <alignment horizontal="center"/>
    </xf>
    <xf numFmtId="0" fontId="14" fillId="5" borderId="19" xfId="0" applyFont="1" applyFill="1" applyBorder="1" applyAlignment="1">
      <alignment horizontal="left" vertical="center"/>
    </xf>
    <xf numFmtId="0" fontId="14" fillId="5" borderId="65" xfId="0" applyFont="1" applyFill="1" applyBorder="1" applyAlignment="1">
      <alignment horizontal="left" vertical="center"/>
    </xf>
    <xf numFmtId="0" fontId="14" fillId="0" borderId="1" xfId="0" applyFont="1" applyBorder="1" applyAlignment="1" applyProtection="1">
      <alignment horizontal="center"/>
      <protection locked="0"/>
    </xf>
    <xf numFmtId="0" fontId="14" fillId="0" borderId="2" xfId="0" applyFont="1" applyBorder="1" applyAlignment="1" applyProtection="1">
      <alignment horizontal="center"/>
      <protection locked="0"/>
    </xf>
    <xf numFmtId="0" fontId="14" fillId="0" borderId="3" xfId="0" applyFont="1" applyBorder="1" applyAlignment="1" applyProtection="1">
      <alignment horizontal="center"/>
      <protection locked="0"/>
    </xf>
    <xf numFmtId="0" fontId="15" fillId="0" borderId="5" xfId="0" applyFont="1" applyBorder="1" applyAlignment="1" applyProtection="1">
      <alignment horizontal="center" vertical="top"/>
      <protection locked="0"/>
    </xf>
    <xf numFmtId="0" fontId="15" fillId="0" borderId="6" xfId="0" applyFont="1" applyBorder="1" applyAlignment="1" applyProtection="1">
      <alignment horizontal="center" vertical="top"/>
      <protection locked="0"/>
    </xf>
    <xf numFmtId="0" fontId="15" fillId="0" borderId="7" xfId="0" applyFont="1" applyBorder="1" applyAlignment="1" applyProtection="1">
      <alignment horizontal="center" vertical="top"/>
      <protection locked="0"/>
    </xf>
    <xf numFmtId="0" fontId="14" fillId="0" borderId="46" xfId="0" applyFont="1" applyBorder="1" applyAlignment="1" applyProtection="1">
      <alignment horizontal="left" vertical="center"/>
      <protection locked="0"/>
    </xf>
    <xf numFmtId="0" fontId="14" fillId="0" borderId="30" xfId="0" applyFont="1" applyBorder="1" applyAlignment="1" applyProtection="1">
      <alignment horizontal="left" vertical="center"/>
      <protection locked="0"/>
    </xf>
    <xf numFmtId="0" fontId="14" fillId="0" borderId="45" xfId="0" applyFont="1" applyBorder="1" applyAlignment="1" applyProtection="1">
      <alignment horizontal="left" vertical="center"/>
      <protection locked="0"/>
    </xf>
    <xf numFmtId="0" fontId="14" fillId="6" borderId="20" xfId="0" applyFont="1" applyFill="1" applyBorder="1" applyAlignment="1">
      <alignment horizontal="center" vertical="center"/>
    </xf>
    <xf numFmtId="0" fontId="14" fillId="6" borderId="19" xfId="0" applyFont="1" applyFill="1" applyBorder="1" applyAlignment="1">
      <alignment horizontal="center" vertical="center"/>
    </xf>
    <xf numFmtId="0" fontId="14" fillId="6" borderId="72" xfId="0" applyFont="1" applyFill="1" applyBorder="1" applyAlignment="1">
      <alignment horizontal="center" vertical="center"/>
    </xf>
    <xf numFmtId="0" fontId="14" fillId="6" borderId="49" xfId="0" applyFont="1" applyFill="1" applyBorder="1" applyAlignment="1">
      <alignment horizontal="center" vertical="center"/>
    </xf>
    <xf numFmtId="0" fontId="14" fillId="6" borderId="0" xfId="0" applyFont="1" applyFill="1" applyAlignment="1">
      <alignment horizontal="center" vertical="center"/>
    </xf>
    <xf numFmtId="0" fontId="14" fillId="6" borderId="8" xfId="0" applyFont="1" applyFill="1" applyBorder="1" applyAlignment="1">
      <alignment horizontal="center" vertical="center"/>
    </xf>
    <xf numFmtId="0" fontId="14" fillId="6" borderId="17" xfId="0" applyFont="1" applyFill="1" applyBorder="1" applyAlignment="1">
      <alignment horizontal="center" vertical="center"/>
    </xf>
    <xf numFmtId="0" fontId="14" fillId="6" borderId="16" xfId="0" applyFont="1" applyFill="1" applyBorder="1" applyAlignment="1">
      <alignment horizontal="center" vertical="center"/>
    </xf>
    <xf numFmtId="0" fontId="14" fillId="6" borderId="22" xfId="0" applyFont="1" applyFill="1" applyBorder="1" applyAlignment="1">
      <alignment horizontal="center" vertical="center"/>
    </xf>
    <xf numFmtId="0" fontId="15" fillId="0" borderId="1" xfId="0" applyFont="1" applyBorder="1" applyAlignment="1" applyProtection="1">
      <alignment horizontal="center" vertical="top"/>
      <protection locked="0"/>
    </xf>
    <xf numFmtId="0" fontId="15" fillId="0" borderId="2" xfId="0" applyFont="1" applyBorder="1" applyAlignment="1" applyProtection="1">
      <alignment horizontal="center" vertical="top"/>
      <protection locked="0"/>
    </xf>
    <xf numFmtId="0" fontId="15" fillId="0" borderId="73" xfId="0" applyFont="1" applyBorder="1" applyAlignment="1" applyProtection="1">
      <alignment horizontal="center" vertical="top"/>
      <protection locked="0"/>
    </xf>
    <xf numFmtId="0" fontId="15" fillId="0" borderId="3" xfId="0" applyFont="1" applyBorder="1" applyAlignment="1" applyProtection="1">
      <alignment horizontal="center" vertical="top"/>
      <protection locked="0"/>
    </xf>
    <xf numFmtId="0" fontId="0" fillId="0" borderId="39" xfId="0" applyBorder="1" applyAlignment="1" applyProtection="1">
      <alignment horizontal="center"/>
      <protection locked="0"/>
    </xf>
    <xf numFmtId="0" fontId="0" fillId="0" borderId="28" xfId="0" applyBorder="1" applyAlignment="1" applyProtection="1">
      <alignment horizontal="center"/>
      <protection locked="0"/>
    </xf>
    <xf numFmtId="0" fontId="14" fillId="6" borderId="11" xfId="0" applyFont="1" applyFill="1" applyBorder="1" applyAlignment="1">
      <alignment horizontal="right"/>
    </xf>
    <xf numFmtId="0" fontId="14" fillId="6" borderId="18" xfId="0" applyFont="1" applyFill="1" applyBorder="1" applyAlignment="1">
      <alignment horizontal="right"/>
    </xf>
    <xf numFmtId="0" fontId="6" fillId="0" borderId="39" xfId="3" applyFont="1" applyBorder="1" applyAlignment="1" applyProtection="1">
      <alignment horizontal="center"/>
      <protection locked="0"/>
    </xf>
    <xf numFmtId="0" fontId="6" fillId="0" borderId="28" xfId="3" applyFont="1" applyBorder="1" applyAlignment="1" applyProtection="1">
      <alignment horizontal="center"/>
      <protection locked="0"/>
    </xf>
    <xf numFmtId="0" fontId="6" fillId="0" borderId="43" xfId="3" applyFont="1" applyBorder="1" applyAlignment="1" applyProtection="1">
      <alignment horizontal="center"/>
      <protection locked="0"/>
    </xf>
    <xf numFmtId="0" fontId="6" fillId="6" borderId="12" xfId="3" applyFont="1" applyFill="1" applyBorder="1" applyAlignment="1">
      <alignment horizontal="right"/>
    </xf>
    <xf numFmtId="0" fontId="5" fillId="5" borderId="34" xfId="3" applyFont="1" applyFill="1" applyBorder="1" applyAlignment="1">
      <alignment horizontal="left"/>
    </xf>
    <xf numFmtId="0" fontId="5" fillId="5" borderId="12" xfId="3" applyFont="1" applyFill="1" applyBorder="1" applyAlignment="1">
      <alignment horizontal="left"/>
    </xf>
    <xf numFmtId="0" fontId="30" fillId="4" borderId="31" xfId="0" applyFont="1" applyFill="1" applyBorder="1" applyAlignment="1">
      <alignment horizontal="left" vertical="center"/>
    </xf>
    <xf numFmtId="0" fontId="30" fillId="4" borderId="32" xfId="0" applyFont="1" applyFill="1" applyBorder="1" applyAlignment="1">
      <alignment horizontal="left" vertical="center"/>
    </xf>
    <xf numFmtId="0" fontId="30" fillId="4" borderId="33" xfId="0" applyFont="1" applyFill="1" applyBorder="1" applyAlignment="1">
      <alignment horizontal="left" vertical="center"/>
    </xf>
    <xf numFmtId="0" fontId="30" fillId="4" borderId="36" xfId="0" applyFont="1" applyFill="1" applyBorder="1" applyAlignment="1">
      <alignment horizontal="left" vertical="center"/>
    </xf>
    <xf numFmtId="0" fontId="30" fillId="4" borderId="37" xfId="0" applyFont="1" applyFill="1" applyBorder="1" applyAlignment="1">
      <alignment horizontal="left" vertical="center"/>
    </xf>
    <xf numFmtId="0" fontId="30" fillId="4" borderId="38" xfId="0" applyFont="1" applyFill="1" applyBorder="1" applyAlignment="1">
      <alignment horizontal="left" vertical="center"/>
    </xf>
    <xf numFmtId="0" fontId="31" fillId="4" borderId="59" xfId="0" applyFont="1" applyFill="1" applyBorder="1" applyAlignment="1">
      <alignment horizontal="left"/>
    </xf>
    <xf numFmtId="0" fontId="31" fillId="4" borderId="58" xfId="0" applyFont="1" applyFill="1" applyBorder="1" applyAlignment="1">
      <alignment horizontal="left"/>
    </xf>
    <xf numFmtId="0" fontId="31" fillId="4" borderId="60" xfId="0" applyFont="1" applyFill="1" applyBorder="1" applyAlignment="1">
      <alignment horizontal="left"/>
    </xf>
    <xf numFmtId="0" fontId="8" fillId="6" borderId="41" xfId="0" applyFont="1" applyFill="1" applyBorder="1" applyAlignment="1">
      <alignment horizontal="right"/>
    </xf>
    <xf numFmtId="0" fontId="8" fillId="6" borderId="44" xfId="0" applyFont="1" applyFill="1" applyBorder="1" applyAlignment="1">
      <alignment horizontal="right"/>
    </xf>
    <xf numFmtId="0" fontId="14" fillId="0" borderId="51" xfId="0" applyFont="1" applyBorder="1" applyAlignment="1" applyProtection="1">
      <alignment horizontal="center"/>
      <protection locked="0"/>
    </xf>
    <xf numFmtId="0" fontId="14" fillId="0" borderId="35" xfId="0" applyFont="1" applyBorder="1" applyAlignment="1" applyProtection="1">
      <alignment horizontal="center"/>
      <protection locked="0"/>
    </xf>
    <xf numFmtId="0" fontId="6" fillId="6" borderId="12" xfId="3" applyFont="1" applyFill="1" applyBorder="1" applyAlignment="1">
      <alignment horizontal="left"/>
    </xf>
    <xf numFmtId="0" fontId="7" fillId="0" borderId="32" xfId="3" applyFont="1" applyBorder="1" applyAlignment="1" applyProtection="1">
      <alignment horizontal="center"/>
      <protection locked="0"/>
    </xf>
    <xf numFmtId="0" fontId="7" fillId="2" borderId="32" xfId="3" applyFont="1" applyFill="1" applyBorder="1" applyAlignment="1">
      <alignment horizontal="left"/>
    </xf>
    <xf numFmtId="0" fontId="7" fillId="2" borderId="33" xfId="3" applyFont="1" applyFill="1" applyBorder="1" applyAlignment="1">
      <alignment horizontal="left"/>
    </xf>
    <xf numFmtId="0" fontId="8" fillId="6" borderId="36" xfId="0" applyFont="1" applyFill="1" applyBorder="1" applyAlignment="1">
      <alignment horizontal="right"/>
    </xf>
    <xf numFmtId="0" fontId="8" fillId="6" borderId="37" xfId="0" applyFont="1" applyFill="1" applyBorder="1" applyAlignment="1">
      <alignment horizontal="right"/>
    </xf>
    <xf numFmtId="0" fontId="8" fillId="6" borderId="37" xfId="0" applyFont="1" applyFill="1" applyBorder="1" applyAlignment="1">
      <alignment horizontal="center"/>
    </xf>
    <xf numFmtId="0" fontId="8" fillId="6" borderId="38" xfId="0" applyFont="1" applyFill="1" applyBorder="1" applyAlignment="1">
      <alignment horizontal="center"/>
    </xf>
    <xf numFmtId="0" fontId="8" fillId="6" borderId="12" xfId="0" applyFont="1" applyFill="1" applyBorder="1" applyAlignment="1">
      <alignment horizontal="right"/>
    </xf>
    <xf numFmtId="0" fontId="8" fillId="0" borderId="12" xfId="0" applyFont="1" applyBorder="1" applyAlignment="1" applyProtection="1">
      <alignment horizontal="center"/>
      <protection locked="0"/>
    </xf>
    <xf numFmtId="0" fontId="8" fillId="0" borderId="46" xfId="0" applyFont="1" applyBorder="1" applyAlignment="1" applyProtection="1">
      <alignment horizontal="center"/>
      <protection locked="0"/>
    </xf>
    <xf numFmtId="0" fontId="8" fillId="0" borderId="30" xfId="0" applyFont="1" applyBorder="1" applyAlignment="1" applyProtection="1">
      <alignment horizontal="center"/>
      <protection locked="0"/>
    </xf>
    <xf numFmtId="0" fontId="8" fillId="0" borderId="45" xfId="0" applyFont="1" applyBorder="1" applyAlignment="1" applyProtection="1">
      <alignment horizontal="center"/>
      <protection locked="0"/>
    </xf>
    <xf numFmtId="0" fontId="8" fillId="0" borderId="39" xfId="0" applyFont="1" applyBorder="1" applyAlignment="1" applyProtection="1">
      <alignment horizontal="center"/>
      <protection locked="0"/>
    </xf>
    <xf numFmtId="0" fontId="8" fillId="0" borderId="28" xfId="0" applyFont="1" applyBorder="1" applyAlignment="1" applyProtection="1">
      <alignment horizontal="center"/>
      <protection locked="0"/>
    </xf>
    <xf numFmtId="0" fontId="8" fillId="0" borderId="43" xfId="0" applyFont="1" applyBorder="1" applyAlignment="1" applyProtection="1">
      <alignment horizontal="center"/>
      <protection locked="0"/>
    </xf>
    <xf numFmtId="0" fontId="8" fillId="6" borderId="46" xfId="0" applyFont="1" applyFill="1" applyBorder="1" applyAlignment="1">
      <alignment horizontal="right"/>
    </xf>
    <xf numFmtId="0" fontId="8" fillId="6" borderId="30" xfId="0" applyFont="1" applyFill="1" applyBorder="1" applyAlignment="1">
      <alignment horizontal="right"/>
    </xf>
    <xf numFmtId="0" fontId="8" fillId="6" borderId="45" xfId="0" applyFont="1" applyFill="1" applyBorder="1" applyAlignment="1">
      <alignment horizontal="right"/>
    </xf>
    <xf numFmtId="0" fontId="7" fillId="6" borderId="31" xfId="3" applyFont="1" applyFill="1" applyBorder="1" applyAlignment="1">
      <alignment horizontal="right"/>
    </xf>
    <xf numFmtId="0" fontId="7" fillId="6" borderId="32" xfId="3" applyFont="1" applyFill="1" applyBorder="1" applyAlignment="1">
      <alignment horizontal="right"/>
    </xf>
    <xf numFmtId="0" fontId="6" fillId="0" borderId="11" xfId="3" applyFont="1" applyBorder="1" applyAlignment="1" applyProtection="1">
      <alignment horizontal="center"/>
      <protection locked="0"/>
    </xf>
    <xf numFmtId="0" fontId="6" fillId="0" borderId="18" xfId="3" applyFont="1" applyBorder="1" applyAlignment="1" applyProtection="1">
      <alignment horizontal="center"/>
      <protection locked="0"/>
    </xf>
    <xf numFmtId="0" fontId="6" fillId="0" borderId="15" xfId="3" applyFont="1" applyBorder="1" applyAlignment="1" applyProtection="1">
      <alignment horizontal="center"/>
      <protection locked="0"/>
    </xf>
    <xf numFmtId="0" fontId="0" fillId="2" borderId="25" xfId="0" applyFill="1" applyBorder="1" applyAlignment="1">
      <alignment horizontal="right" vertical="center"/>
    </xf>
    <xf numFmtId="0" fontId="0" fillId="2" borderId="16" xfId="0" applyFill="1" applyBorder="1" applyAlignment="1">
      <alignment horizontal="right" vertical="center"/>
    </xf>
    <xf numFmtId="0" fontId="0" fillId="2" borderId="64" xfId="0" applyFill="1" applyBorder="1" applyAlignment="1">
      <alignment horizontal="right" vertical="center"/>
    </xf>
    <xf numFmtId="0" fontId="7" fillId="0" borderId="10" xfId="3" applyFont="1" applyBorder="1" applyAlignment="1" applyProtection="1">
      <alignment horizontal="left" vertical="top" wrapText="1"/>
      <protection locked="0"/>
    </xf>
    <xf numFmtId="0" fontId="7" fillId="0" borderId="4" xfId="3" applyFont="1" applyBorder="1" applyAlignment="1" applyProtection="1">
      <alignment horizontal="left" vertical="top" wrapText="1"/>
      <protection locked="0"/>
    </xf>
    <xf numFmtId="0" fontId="7" fillId="0" borderId="14" xfId="3" applyFont="1" applyBorder="1" applyAlignment="1" applyProtection="1">
      <alignment horizontal="left" vertical="top" wrapText="1"/>
      <protection locked="0"/>
    </xf>
    <xf numFmtId="0" fontId="6" fillId="6" borderId="37" xfId="3" applyFont="1" applyFill="1" applyBorder="1" applyAlignment="1">
      <alignment horizontal="right"/>
    </xf>
    <xf numFmtId="0" fontId="7" fillId="5" borderId="5" xfId="3" applyFont="1" applyFill="1" applyBorder="1" applyAlignment="1">
      <alignment horizontal="left" vertical="top"/>
    </xf>
    <xf numFmtId="0" fontId="7" fillId="5" borderId="6" xfId="3" applyFont="1" applyFill="1" applyBorder="1" applyAlignment="1">
      <alignment horizontal="left" vertical="top"/>
    </xf>
    <xf numFmtId="0" fontId="7" fillId="5" borderId="7" xfId="3" applyFont="1" applyFill="1" applyBorder="1" applyAlignment="1">
      <alignment horizontal="left" vertical="top"/>
    </xf>
    <xf numFmtId="0" fontId="14" fillId="0" borderId="38" xfId="0" applyFont="1" applyBorder="1" applyAlignment="1" applyProtection="1">
      <alignment horizontal="center"/>
      <protection locked="0"/>
    </xf>
    <xf numFmtId="0" fontId="8" fillId="0" borderId="37" xfId="0" applyFont="1" applyBorder="1" applyAlignment="1" applyProtection="1">
      <alignment horizontal="center"/>
      <protection locked="0"/>
    </xf>
    <xf numFmtId="0" fontId="14" fillId="6" borderId="39" xfId="0" applyFont="1" applyFill="1" applyBorder="1" applyAlignment="1">
      <alignment horizontal="right"/>
    </xf>
    <xf numFmtId="0" fontId="14" fillId="6" borderId="28" xfId="0" applyFont="1" applyFill="1" applyBorder="1" applyAlignment="1">
      <alignment horizontal="right"/>
    </xf>
    <xf numFmtId="0" fontId="5" fillId="6" borderId="12" xfId="3" applyFont="1" applyFill="1" applyBorder="1" applyAlignment="1">
      <alignment horizontal="right"/>
    </xf>
    <xf numFmtId="0" fontId="31" fillId="4" borderId="31" xfId="0" applyFont="1" applyFill="1" applyBorder="1" applyAlignment="1">
      <alignment horizontal="left"/>
    </xf>
    <xf numFmtId="0" fontId="31" fillId="4" borderId="32" xfId="0" applyFont="1" applyFill="1" applyBorder="1" applyAlignment="1">
      <alignment horizontal="left"/>
    </xf>
    <xf numFmtId="0" fontId="31" fillId="4" borderId="33" xfId="0" applyFont="1" applyFill="1" applyBorder="1" applyAlignment="1">
      <alignment horizontal="left"/>
    </xf>
    <xf numFmtId="0" fontId="5" fillId="6" borderId="18" xfId="3" applyFont="1" applyFill="1" applyBorder="1" applyAlignment="1">
      <alignment horizontal="right"/>
    </xf>
    <xf numFmtId="0" fontId="5" fillId="6" borderId="15" xfId="3" applyFont="1" applyFill="1" applyBorder="1" applyAlignment="1">
      <alignment horizontal="right"/>
    </xf>
    <xf numFmtId="0" fontId="5" fillId="6" borderId="11" xfId="3" applyFont="1" applyFill="1" applyBorder="1" applyAlignment="1">
      <alignment horizontal="right"/>
    </xf>
    <xf numFmtId="0" fontId="7" fillId="6" borderId="31" xfId="3" applyFont="1" applyFill="1" applyBorder="1" applyAlignment="1">
      <alignment horizontal="left" vertical="center"/>
    </xf>
    <xf numFmtId="0" fontId="7" fillId="6" borderId="32" xfId="3" applyFont="1" applyFill="1" applyBorder="1" applyAlignment="1">
      <alignment horizontal="left" vertical="center"/>
    </xf>
    <xf numFmtId="0" fontId="7" fillId="6" borderId="33" xfId="3" applyFont="1" applyFill="1" applyBorder="1" applyAlignment="1">
      <alignment horizontal="left" vertical="center"/>
    </xf>
    <xf numFmtId="0" fontId="7" fillId="0" borderId="46" xfId="3" applyFont="1" applyBorder="1" applyAlignment="1" applyProtection="1">
      <alignment horizontal="center" vertical="center"/>
      <protection locked="0"/>
    </xf>
    <xf numFmtId="0" fontId="7" fillId="0" borderId="30" xfId="3" applyFont="1" applyBorder="1" applyAlignment="1" applyProtection="1">
      <alignment horizontal="center" vertical="center"/>
      <protection locked="0"/>
    </xf>
    <xf numFmtId="0" fontId="7" fillId="6" borderId="46" xfId="3" applyFont="1" applyFill="1" applyBorder="1" applyAlignment="1">
      <alignment horizontal="right" vertical="center"/>
    </xf>
    <xf numFmtId="0" fontId="7" fillId="6" borderId="30" xfId="3" applyFont="1" applyFill="1" applyBorder="1" applyAlignment="1">
      <alignment horizontal="right" vertical="center"/>
    </xf>
    <xf numFmtId="0" fontId="7" fillId="6" borderId="45" xfId="3" applyFont="1" applyFill="1" applyBorder="1" applyAlignment="1">
      <alignment horizontal="right" vertical="center"/>
    </xf>
    <xf numFmtId="0" fontId="7" fillId="0" borderId="20" xfId="3" applyFont="1" applyBorder="1" applyAlignment="1" applyProtection="1">
      <alignment horizontal="center"/>
      <protection locked="0"/>
    </xf>
    <xf numFmtId="0" fontId="7" fillId="0" borderId="19" xfId="3" applyFont="1" applyBorder="1" applyAlignment="1" applyProtection="1">
      <alignment horizontal="center"/>
      <protection locked="0"/>
    </xf>
    <xf numFmtId="0" fontId="7" fillId="0" borderId="65" xfId="3" applyFont="1" applyBorder="1" applyAlignment="1" applyProtection="1">
      <alignment horizontal="center"/>
      <protection locked="0"/>
    </xf>
    <xf numFmtId="0" fontId="7" fillId="6" borderId="49" xfId="3" applyFont="1" applyFill="1" applyBorder="1" applyAlignment="1">
      <alignment horizontal="right" vertical="center"/>
    </xf>
    <xf numFmtId="0" fontId="7" fillId="6" borderId="0" xfId="3" applyFont="1" applyFill="1" applyAlignment="1">
      <alignment horizontal="right" vertical="center"/>
    </xf>
    <xf numFmtId="0" fontId="7" fillId="0" borderId="49" xfId="3" applyFont="1" applyBorder="1" applyAlignment="1" applyProtection="1">
      <alignment horizontal="center" vertical="center"/>
      <protection locked="0"/>
    </xf>
    <xf numFmtId="0" fontId="7" fillId="0" borderId="0" xfId="3" applyFont="1" applyAlignment="1" applyProtection="1">
      <alignment horizontal="center" vertical="center"/>
      <protection locked="0"/>
    </xf>
    <xf numFmtId="0" fontId="7" fillId="0" borderId="8" xfId="3" applyFont="1" applyBorder="1" applyAlignment="1" applyProtection="1">
      <alignment horizontal="center" vertical="center"/>
      <protection locked="0"/>
    </xf>
    <xf numFmtId="0" fontId="7" fillId="0" borderId="36" xfId="3" applyFont="1" applyBorder="1" applyAlignment="1" applyProtection="1">
      <alignment horizontal="left" vertical="top" wrapText="1"/>
      <protection locked="0"/>
    </xf>
    <xf numFmtId="0" fontId="7" fillId="0" borderId="37" xfId="3" applyFont="1" applyBorder="1" applyAlignment="1" applyProtection="1">
      <alignment horizontal="left" vertical="top" wrapText="1"/>
      <protection locked="0"/>
    </xf>
    <xf numFmtId="0" fontId="7" fillId="0" borderId="38" xfId="3" applyFont="1" applyBorder="1" applyAlignment="1" applyProtection="1">
      <alignment horizontal="left" vertical="top" wrapText="1"/>
      <protection locked="0"/>
    </xf>
    <xf numFmtId="0" fontId="7" fillId="0" borderId="12" xfId="3" applyFont="1" applyBorder="1" applyAlignment="1" applyProtection="1">
      <alignment horizontal="center"/>
      <protection locked="0"/>
    </xf>
    <xf numFmtId="0" fontId="7" fillId="0" borderId="48" xfId="3" applyFont="1" applyBorder="1" applyAlignment="1" applyProtection="1">
      <alignment horizontal="center"/>
      <protection locked="0"/>
    </xf>
    <xf numFmtId="0" fontId="6" fillId="6" borderId="44" xfId="3" applyFont="1" applyFill="1" applyBorder="1" applyAlignment="1">
      <alignment horizontal="center" vertical="center"/>
    </xf>
    <xf numFmtId="0" fontId="6" fillId="6" borderId="51" xfId="3" applyFont="1" applyFill="1" applyBorder="1" applyAlignment="1">
      <alignment horizontal="center" vertical="center"/>
    </xf>
    <xf numFmtId="0" fontId="6" fillId="6" borderId="12" xfId="3" applyFont="1" applyFill="1" applyBorder="1" applyAlignment="1">
      <alignment horizontal="center" vertical="center"/>
    </xf>
    <xf numFmtId="0" fontId="6" fillId="6" borderId="35" xfId="3" applyFont="1" applyFill="1" applyBorder="1" applyAlignment="1">
      <alignment horizontal="center" vertical="center"/>
    </xf>
    <xf numFmtId="0" fontId="7" fillId="0" borderId="35" xfId="3" applyFont="1" applyBorder="1" applyAlignment="1" applyProtection="1">
      <alignment horizontal="center"/>
      <protection locked="0"/>
    </xf>
    <xf numFmtId="0" fontId="7" fillId="0" borderId="34" xfId="3" applyFont="1" applyBorder="1" applyAlignment="1" applyProtection="1">
      <alignment horizontal="center"/>
      <protection locked="0"/>
    </xf>
    <xf numFmtId="0" fontId="7" fillId="0" borderId="40" xfId="3" applyFont="1" applyBorder="1" applyAlignment="1" applyProtection="1">
      <alignment horizontal="center"/>
      <protection locked="0"/>
    </xf>
    <xf numFmtId="0" fontId="7" fillId="6" borderId="24" xfId="3" applyFont="1" applyFill="1" applyBorder="1" applyAlignment="1">
      <alignment horizontal="right" vertical="center"/>
    </xf>
    <xf numFmtId="0" fontId="6" fillId="6" borderId="41" xfId="3" applyFont="1" applyFill="1" applyBorder="1" applyAlignment="1">
      <alignment horizontal="center" vertical="center"/>
    </xf>
    <xf numFmtId="0" fontId="32" fillId="5" borderId="34" xfId="0" applyFont="1" applyFill="1" applyBorder="1" applyAlignment="1">
      <alignment horizontal="left"/>
    </xf>
    <xf numFmtId="0" fontId="32" fillId="5" borderId="12" xfId="0" applyFont="1" applyFill="1" applyBorder="1" applyAlignment="1">
      <alignment horizontal="left"/>
    </xf>
    <xf numFmtId="0" fontId="32" fillId="5" borderId="35" xfId="0" applyFont="1" applyFill="1" applyBorder="1" applyAlignment="1">
      <alignment horizontal="left"/>
    </xf>
    <xf numFmtId="0" fontId="8" fillId="3" borderId="39" xfId="0" applyFont="1" applyFill="1" applyBorder="1" applyAlignment="1" applyProtection="1">
      <alignment horizontal="center" vertical="center"/>
      <protection locked="0"/>
    </xf>
    <xf numFmtId="0" fontId="8" fillId="3" borderId="28" xfId="0" applyFont="1" applyFill="1" applyBorder="1" applyAlignment="1" applyProtection="1">
      <alignment horizontal="center" vertical="center"/>
      <protection locked="0"/>
    </xf>
    <xf numFmtId="0" fontId="8" fillId="3" borderId="43" xfId="0" applyFont="1" applyFill="1" applyBorder="1" applyAlignment="1" applyProtection="1">
      <alignment horizontal="center" vertical="center"/>
      <protection locked="0"/>
    </xf>
    <xf numFmtId="0" fontId="8" fillId="6" borderId="39" xfId="0" applyFont="1" applyFill="1" applyBorder="1" applyAlignment="1">
      <alignment horizontal="right" vertical="center"/>
    </xf>
    <xf numFmtId="0" fontId="8" fillId="6" borderId="28" xfId="0" applyFont="1" applyFill="1" applyBorder="1" applyAlignment="1">
      <alignment horizontal="right" vertical="center"/>
    </xf>
    <xf numFmtId="0" fontId="8" fillId="6" borderId="43" xfId="0" applyFont="1" applyFill="1" applyBorder="1" applyAlignment="1">
      <alignment horizontal="right" vertical="center"/>
    </xf>
    <xf numFmtId="0" fontId="8" fillId="0" borderId="39" xfId="0" applyFont="1" applyBorder="1" applyAlignment="1" applyProtection="1">
      <alignment horizontal="center" vertical="center"/>
      <protection locked="0"/>
    </xf>
    <xf numFmtId="0" fontId="8" fillId="0" borderId="28" xfId="0" applyFont="1" applyBorder="1" applyAlignment="1" applyProtection="1">
      <alignment horizontal="center" vertical="center"/>
      <protection locked="0"/>
    </xf>
    <xf numFmtId="0" fontId="8" fillId="0" borderId="29" xfId="0" applyFont="1" applyBorder="1" applyAlignment="1" applyProtection="1">
      <alignment horizontal="center" vertical="center"/>
      <protection locked="0"/>
    </xf>
    <xf numFmtId="0" fontId="7" fillId="6" borderId="25" xfId="3" applyFont="1" applyFill="1" applyBorder="1" applyAlignment="1">
      <alignment horizontal="right" vertical="center"/>
    </xf>
    <xf numFmtId="0" fontId="7" fillId="6" borderId="16" xfId="3" applyFont="1" applyFill="1" applyBorder="1" applyAlignment="1">
      <alignment horizontal="right" vertical="center"/>
    </xf>
    <xf numFmtId="0" fontId="7" fillId="6" borderId="64" xfId="3" applyFont="1" applyFill="1" applyBorder="1" applyAlignment="1">
      <alignment horizontal="right" vertical="center"/>
    </xf>
    <xf numFmtId="0" fontId="8" fillId="3" borderId="17" xfId="0" applyFont="1" applyFill="1" applyBorder="1" applyAlignment="1" applyProtection="1">
      <alignment horizontal="center" vertical="center"/>
      <protection locked="0"/>
    </xf>
    <xf numFmtId="0" fontId="8" fillId="3" borderId="16" xfId="0" applyFont="1" applyFill="1" applyBorder="1" applyAlignment="1" applyProtection="1">
      <alignment horizontal="center" vertical="center"/>
      <protection locked="0"/>
    </xf>
    <xf numFmtId="0" fontId="8" fillId="3" borderId="64" xfId="0" applyFont="1" applyFill="1" applyBorder="1" applyAlignment="1" applyProtection="1">
      <alignment horizontal="center" vertical="center"/>
      <protection locked="0"/>
    </xf>
    <xf numFmtId="0" fontId="7" fillId="0" borderId="36" xfId="3" applyFont="1" applyBorder="1" applyAlignment="1" applyProtection="1">
      <alignment horizontal="center"/>
      <protection locked="0"/>
    </xf>
    <xf numFmtId="0" fontId="7" fillId="0" borderId="37" xfId="3" applyFont="1" applyBorder="1" applyAlignment="1" applyProtection="1">
      <alignment horizontal="center"/>
      <protection locked="0"/>
    </xf>
    <xf numFmtId="0" fontId="7" fillId="0" borderId="38" xfId="3" applyFont="1" applyBorder="1" applyAlignment="1" applyProtection="1">
      <alignment horizontal="center"/>
      <protection locked="0"/>
    </xf>
    <xf numFmtId="0" fontId="8" fillId="6" borderId="17" xfId="0" applyFont="1" applyFill="1" applyBorder="1" applyAlignment="1">
      <alignment horizontal="right" vertical="center"/>
    </xf>
    <xf numFmtId="0" fontId="8" fillId="6" borderId="16" xfId="0" applyFont="1" applyFill="1" applyBorder="1" applyAlignment="1">
      <alignment horizontal="right" vertical="center"/>
    </xf>
    <xf numFmtId="0" fontId="8" fillId="6" borderId="64" xfId="0" applyFont="1" applyFill="1" applyBorder="1" applyAlignment="1">
      <alignment horizontal="right" vertical="center"/>
    </xf>
    <xf numFmtId="0" fontId="8" fillId="0" borderId="17" xfId="0" applyFont="1" applyBorder="1" applyAlignment="1" applyProtection="1">
      <alignment horizontal="center" vertical="center"/>
      <protection locked="0"/>
    </xf>
    <xf numFmtId="0" fontId="8" fillId="0" borderId="16" xfId="0" applyFont="1" applyBorder="1" applyAlignment="1" applyProtection="1">
      <alignment horizontal="center" vertical="center"/>
      <protection locked="0"/>
    </xf>
    <xf numFmtId="0" fontId="8" fillId="0" borderId="22" xfId="0" applyFont="1" applyBorder="1" applyAlignment="1" applyProtection="1">
      <alignment horizontal="center" vertical="center"/>
      <protection locked="0"/>
    </xf>
    <xf numFmtId="0" fontId="7" fillId="0" borderId="50" xfId="3" applyFont="1" applyBorder="1" applyAlignment="1" applyProtection="1">
      <alignment horizontal="center"/>
      <protection locked="0"/>
    </xf>
    <xf numFmtId="0" fontId="7" fillId="0" borderId="46" xfId="3" applyFont="1" applyBorder="1" applyAlignment="1" applyProtection="1">
      <alignment horizontal="center"/>
      <protection locked="0"/>
    </xf>
    <xf numFmtId="0" fontId="7" fillId="0" borderId="30" xfId="3" applyFont="1" applyBorder="1" applyAlignment="1" applyProtection="1">
      <alignment horizontal="center"/>
      <protection locked="0"/>
    </xf>
    <xf numFmtId="0" fontId="7" fillId="0" borderId="45" xfId="3" applyFont="1" applyBorder="1" applyAlignment="1" applyProtection="1">
      <alignment horizontal="center"/>
      <protection locked="0"/>
    </xf>
    <xf numFmtId="0" fontId="7" fillId="0" borderId="23" xfId="3" applyFont="1" applyBorder="1" applyAlignment="1" applyProtection="1">
      <alignment horizontal="center" vertical="center"/>
      <protection locked="0"/>
    </xf>
    <xf numFmtId="0" fontId="7" fillId="0" borderId="17" xfId="3" applyFont="1" applyBorder="1" applyAlignment="1" applyProtection="1">
      <alignment horizontal="center"/>
      <protection locked="0"/>
    </xf>
    <xf numFmtId="0" fontId="7" fillId="0" borderId="16" xfId="3" applyFont="1" applyBorder="1" applyAlignment="1" applyProtection="1">
      <alignment horizontal="center"/>
      <protection locked="0"/>
    </xf>
    <xf numFmtId="0" fontId="7" fillId="0" borderId="22" xfId="3" applyFont="1" applyBorder="1" applyAlignment="1" applyProtection="1">
      <alignment horizontal="center"/>
      <protection locked="0"/>
    </xf>
    <xf numFmtId="0" fontId="7" fillId="6" borderId="26" xfId="3" applyFont="1" applyFill="1" applyBorder="1" applyAlignment="1">
      <alignment horizontal="left" vertical="center" wrapText="1"/>
    </xf>
    <xf numFmtId="0" fontId="7" fillId="6" borderId="18" xfId="3" applyFont="1" applyFill="1" applyBorder="1" applyAlignment="1">
      <alignment horizontal="left" vertical="center" wrapText="1"/>
    </xf>
    <xf numFmtId="0" fontId="8" fillId="3" borderId="12" xfId="0" applyFont="1" applyFill="1" applyBorder="1" applyAlignment="1" applyProtection="1">
      <alignment horizontal="center" vertical="center" wrapText="1"/>
      <protection locked="0"/>
    </xf>
    <xf numFmtId="0" fontId="8" fillId="3" borderId="35" xfId="0" applyFont="1" applyFill="1" applyBorder="1" applyAlignment="1" applyProtection="1">
      <alignment horizontal="center" vertical="center" wrapText="1"/>
      <protection locked="0"/>
    </xf>
    <xf numFmtId="0" fontId="31" fillId="4" borderId="52" xfId="0" applyFont="1" applyFill="1" applyBorder="1" applyAlignment="1">
      <alignment horizontal="left"/>
    </xf>
    <xf numFmtId="0" fontId="31" fillId="4" borderId="74" xfId="0" applyFont="1" applyFill="1" applyBorder="1" applyAlignment="1">
      <alignment horizontal="left"/>
    </xf>
    <xf numFmtId="0" fontId="31" fillId="4" borderId="53" xfId="0" applyFont="1" applyFill="1" applyBorder="1" applyAlignment="1">
      <alignment horizontal="left"/>
    </xf>
    <xf numFmtId="0" fontId="7" fillId="6" borderId="41" xfId="3" applyFont="1" applyFill="1" applyBorder="1" applyAlignment="1">
      <alignment horizontal="right" vertical="center"/>
    </xf>
    <xf numFmtId="0" fontId="7" fillId="6" borderId="44" xfId="3" applyFont="1" applyFill="1" applyBorder="1" applyAlignment="1">
      <alignment horizontal="right" vertical="center"/>
    </xf>
    <xf numFmtId="0" fontId="8" fillId="3" borderId="11" xfId="0" applyFont="1" applyFill="1" applyBorder="1" applyAlignment="1" applyProtection="1">
      <alignment horizontal="center" vertical="center" wrapText="1"/>
      <protection locked="0"/>
    </xf>
    <xf numFmtId="0" fontId="8" fillId="3" borderId="18" xfId="0" applyFont="1" applyFill="1" applyBorder="1" applyAlignment="1" applyProtection="1">
      <alignment horizontal="center" vertical="center" wrapText="1"/>
      <protection locked="0"/>
    </xf>
    <xf numFmtId="0" fontId="8" fillId="3" borderId="27" xfId="0" applyFont="1" applyFill="1" applyBorder="1" applyAlignment="1" applyProtection="1">
      <alignment horizontal="center" vertical="center" wrapText="1"/>
      <protection locked="0"/>
    </xf>
    <xf numFmtId="0" fontId="7" fillId="6" borderId="36" xfId="3" applyFont="1" applyFill="1" applyBorder="1" applyAlignment="1">
      <alignment horizontal="right" vertical="center"/>
    </xf>
    <xf numFmtId="0" fontId="7" fillId="6" borderId="37" xfId="3" applyFont="1" applyFill="1" applyBorder="1" applyAlignment="1">
      <alignment horizontal="right" vertical="center"/>
    </xf>
    <xf numFmtId="14" fontId="8" fillId="3" borderId="39" xfId="0" applyNumberFormat="1" applyFont="1" applyFill="1" applyBorder="1" applyAlignment="1" applyProtection="1">
      <alignment horizontal="center" vertical="center"/>
      <protection locked="0"/>
    </xf>
    <xf numFmtId="14" fontId="0" fillId="2" borderId="2" xfId="0" applyNumberFormat="1" applyFill="1" applyBorder="1" applyAlignment="1">
      <alignment horizontal="center" vertical="center"/>
    </xf>
    <xf numFmtId="14" fontId="0" fillId="2" borderId="3" xfId="0" applyNumberFormat="1" applyFill="1" applyBorder="1" applyAlignment="1">
      <alignment horizontal="center" vertical="center"/>
    </xf>
    <xf numFmtId="0" fontId="0" fillId="2" borderId="2" xfId="0" applyFill="1" applyBorder="1" applyAlignment="1">
      <alignment horizontal="left" vertical="center"/>
    </xf>
    <xf numFmtId="0" fontId="7" fillId="6" borderId="31" xfId="3" applyFont="1" applyFill="1" applyBorder="1" applyAlignment="1">
      <alignment horizontal="right" vertical="center"/>
    </xf>
    <xf numFmtId="0" fontId="7" fillId="6" borderId="32" xfId="3" applyFont="1" applyFill="1" applyBorder="1" applyAlignment="1">
      <alignment horizontal="right" vertical="center"/>
    </xf>
    <xf numFmtId="0" fontId="8" fillId="3" borderId="46" xfId="0" applyFont="1" applyFill="1" applyBorder="1" applyAlignment="1" applyProtection="1">
      <alignment horizontal="center" vertical="center"/>
      <protection locked="0"/>
    </xf>
    <xf numFmtId="0" fontId="8" fillId="3" borderId="30" xfId="0" applyFont="1" applyFill="1" applyBorder="1" applyAlignment="1" applyProtection="1">
      <alignment horizontal="center" vertical="center"/>
      <protection locked="0"/>
    </xf>
    <xf numFmtId="0" fontId="8" fillId="3" borderId="45" xfId="0" applyFont="1" applyFill="1" applyBorder="1" applyAlignment="1" applyProtection="1">
      <alignment horizontal="center" vertical="center"/>
      <protection locked="0"/>
    </xf>
    <xf numFmtId="0" fontId="41" fillId="6" borderId="32" xfId="0" applyFont="1" applyFill="1" applyBorder="1" applyAlignment="1">
      <alignment horizontal="right" vertical="center"/>
    </xf>
    <xf numFmtId="0" fontId="8" fillId="0" borderId="32" xfId="0" applyFont="1" applyBorder="1" applyAlignment="1" applyProtection="1">
      <alignment horizontal="center" vertical="center"/>
      <protection locked="0"/>
    </xf>
    <xf numFmtId="0" fontId="8" fillId="0" borderId="33" xfId="0" applyFont="1" applyBorder="1" applyAlignment="1" applyProtection="1">
      <alignment horizontal="center" vertical="center"/>
      <protection locked="0"/>
    </xf>
    <xf numFmtId="0" fontId="41" fillId="6" borderId="37" xfId="0" applyFont="1" applyFill="1" applyBorder="1" applyAlignment="1">
      <alignment horizontal="right" vertical="center"/>
    </xf>
    <xf numFmtId="0" fontId="8" fillId="0" borderId="37" xfId="0" applyFont="1" applyBorder="1" applyAlignment="1" applyProtection="1">
      <alignment horizontal="center" vertical="center"/>
      <protection locked="0"/>
    </xf>
    <xf numFmtId="0" fontId="8" fillId="0" borderId="38" xfId="0" applyFont="1" applyBorder="1" applyAlignment="1" applyProtection="1">
      <alignment horizontal="center" vertical="center"/>
      <protection locked="0"/>
    </xf>
    <xf numFmtId="0" fontId="8" fillId="3" borderId="1" xfId="0" applyFont="1" applyFill="1" applyBorder="1" applyAlignment="1" applyProtection="1">
      <alignment horizontal="center" vertical="center"/>
      <protection locked="0"/>
    </xf>
    <xf numFmtId="0" fontId="8" fillId="3" borderId="2"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14" fontId="0" fillId="0" borderId="17" xfId="0" applyNumberFormat="1" applyBorder="1" applyAlignment="1">
      <alignment horizontal="center"/>
    </xf>
    <xf numFmtId="0" fontId="0" fillId="0" borderId="16" xfId="0" applyBorder="1" applyAlignment="1">
      <alignment horizontal="center"/>
    </xf>
    <xf numFmtId="0" fontId="0" fillId="0" borderId="64" xfId="0" applyBorder="1" applyAlignment="1">
      <alignment horizontal="center"/>
    </xf>
    <xf numFmtId="0" fontId="41" fillId="6" borderId="45" xfId="0" applyFont="1" applyFill="1" applyBorder="1" applyAlignment="1">
      <alignment horizontal="right" vertical="center"/>
    </xf>
    <xf numFmtId="0" fontId="0" fillId="0" borderId="11" xfId="0" applyBorder="1" applyAlignment="1">
      <alignment horizontal="center"/>
    </xf>
    <xf numFmtId="0" fontId="0" fillId="0" borderId="18" xfId="0" applyBorder="1" applyAlignment="1">
      <alignment horizontal="center"/>
    </xf>
    <xf numFmtId="0" fontId="0" fillId="0" borderId="15" xfId="0" applyBorder="1" applyAlignment="1">
      <alignment horizontal="center"/>
    </xf>
    <xf numFmtId="0" fontId="7" fillId="6" borderId="24" xfId="3" applyFont="1" applyFill="1" applyBorder="1" applyAlignment="1">
      <alignment horizontal="left" vertical="center"/>
    </xf>
    <xf numFmtId="0" fontId="7" fillId="6" borderId="30" xfId="3" applyFont="1" applyFill="1" applyBorder="1" applyAlignment="1">
      <alignment horizontal="left" vertical="center"/>
    </xf>
    <xf numFmtId="0" fontId="7" fillId="6" borderId="45" xfId="3" applyFont="1" applyFill="1" applyBorder="1" applyAlignment="1">
      <alignment horizontal="left" vertical="center"/>
    </xf>
    <xf numFmtId="0" fontId="41" fillId="6" borderId="46" xfId="0" applyFont="1" applyFill="1" applyBorder="1" applyAlignment="1">
      <alignment horizontal="right" vertical="center"/>
    </xf>
    <xf numFmtId="0" fontId="41" fillId="6" borderId="30" xfId="0" applyFont="1" applyFill="1" applyBorder="1" applyAlignment="1">
      <alignment horizontal="right" vertical="center"/>
    </xf>
    <xf numFmtId="0" fontId="8" fillId="0" borderId="46" xfId="0" applyFont="1" applyBorder="1" applyAlignment="1" applyProtection="1">
      <alignment horizontal="center" vertical="center"/>
      <protection locked="0"/>
    </xf>
    <xf numFmtId="0" fontId="8" fillId="0" borderId="30" xfId="0" applyFont="1" applyBorder="1" applyAlignment="1" applyProtection="1">
      <alignment horizontal="center" vertical="center"/>
      <protection locked="0"/>
    </xf>
    <xf numFmtId="0" fontId="8" fillId="0" borderId="23" xfId="0" applyFont="1" applyBorder="1" applyAlignment="1" applyProtection="1">
      <alignment horizontal="center" vertical="center"/>
      <protection locked="0"/>
    </xf>
    <xf numFmtId="0" fontId="8" fillId="3" borderId="17" xfId="0" applyFont="1" applyFill="1" applyBorder="1" applyAlignment="1" applyProtection="1">
      <alignment horizontal="center" vertical="center" wrapText="1"/>
      <protection locked="0"/>
    </xf>
    <xf numFmtId="0" fontId="8" fillId="3" borderId="16" xfId="0" applyFont="1" applyFill="1" applyBorder="1" applyAlignment="1" applyProtection="1">
      <alignment horizontal="center" vertical="center" wrapText="1"/>
      <protection locked="0"/>
    </xf>
    <xf numFmtId="0" fontId="0" fillId="0" borderId="12" xfId="0" applyBorder="1" applyAlignment="1">
      <alignment horizontal="center"/>
    </xf>
    <xf numFmtId="0" fontId="0" fillId="0" borderId="35" xfId="0" applyBorder="1" applyAlignment="1">
      <alignment horizontal="center"/>
    </xf>
    <xf numFmtId="0" fontId="0" fillId="0" borderId="34" xfId="0" applyBorder="1" applyAlignment="1">
      <alignment horizontal="center"/>
    </xf>
    <xf numFmtId="0" fontId="7" fillId="6" borderId="12" xfId="3" applyFont="1" applyFill="1" applyBorder="1" applyAlignment="1">
      <alignment horizontal="center" vertical="center" wrapText="1"/>
    </xf>
    <xf numFmtId="0" fontId="7" fillId="6" borderId="12" xfId="3" applyFont="1" applyFill="1" applyBorder="1" applyAlignment="1">
      <alignment horizontal="center" vertical="center"/>
    </xf>
    <xf numFmtId="0" fontId="7" fillId="6" borderId="34" xfId="3" applyFont="1" applyFill="1" applyBorder="1" applyAlignment="1">
      <alignment horizontal="center" vertical="center"/>
    </xf>
    <xf numFmtId="0" fontId="7" fillId="6" borderId="35" xfId="3" applyFont="1" applyFill="1" applyBorder="1" applyAlignment="1">
      <alignment horizontal="center" vertical="center"/>
    </xf>
    <xf numFmtId="0" fontId="7" fillId="6" borderId="59" xfId="3" applyFont="1" applyFill="1" applyBorder="1" applyAlignment="1">
      <alignment horizontal="right" vertical="center"/>
    </xf>
    <xf numFmtId="0" fontId="7" fillId="6" borderId="58" xfId="3" applyFont="1" applyFill="1" applyBorder="1" applyAlignment="1">
      <alignment horizontal="right" vertical="center"/>
    </xf>
    <xf numFmtId="0" fontId="8" fillId="0" borderId="73" xfId="0" applyFont="1" applyBorder="1" applyAlignment="1" applyProtection="1">
      <alignment horizontal="center" vertical="center"/>
      <protection locked="0"/>
    </xf>
    <xf numFmtId="0" fontId="8" fillId="0" borderId="2" xfId="0" applyFont="1" applyBorder="1" applyAlignment="1" applyProtection="1">
      <alignment horizontal="center" vertical="center"/>
      <protection locked="0"/>
    </xf>
    <xf numFmtId="0" fontId="8" fillId="0" borderId="3" xfId="0" applyFont="1" applyBorder="1" applyAlignment="1" applyProtection="1">
      <alignment horizontal="center" vertical="center"/>
      <protection locked="0"/>
    </xf>
    <xf numFmtId="0" fontId="0" fillId="2" borderId="1" xfId="0" applyFill="1" applyBorder="1" applyAlignment="1">
      <alignment horizontal="right" vertical="center"/>
    </xf>
    <xf numFmtId="0" fontId="0" fillId="2" borderId="2" xfId="0" applyFill="1" applyBorder="1" applyAlignment="1">
      <alignment horizontal="right" vertical="center"/>
    </xf>
    <xf numFmtId="0" fontId="7" fillId="6" borderId="12" xfId="3" applyFont="1" applyFill="1" applyBorder="1" applyAlignment="1">
      <alignment horizontal="right" vertical="center"/>
    </xf>
    <xf numFmtId="0" fontId="0" fillId="0" borderId="36"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7" fillId="6" borderId="41" xfId="3" applyFont="1" applyFill="1" applyBorder="1" applyAlignment="1">
      <alignment horizontal="right" vertical="center" wrapText="1"/>
    </xf>
    <xf numFmtId="0" fontId="7" fillId="6" borderId="44" xfId="3" applyFont="1" applyFill="1" applyBorder="1" applyAlignment="1">
      <alignment horizontal="right" vertical="center" wrapText="1"/>
    </xf>
    <xf numFmtId="0" fontId="7" fillId="6" borderId="11" xfId="3" applyFont="1" applyFill="1" applyBorder="1" applyAlignment="1">
      <alignment horizontal="right" vertical="center"/>
    </xf>
    <xf numFmtId="0" fontId="7" fillId="6" borderId="18" xfId="3" applyFont="1" applyFill="1" applyBorder="1" applyAlignment="1">
      <alignment horizontal="right" vertical="center"/>
    </xf>
    <xf numFmtId="0" fontId="7" fillId="6" borderId="15" xfId="3" applyFont="1" applyFill="1" applyBorder="1" applyAlignment="1">
      <alignment horizontal="right" vertical="center"/>
    </xf>
    <xf numFmtId="0" fontId="0" fillId="0" borderId="11" xfId="0" applyBorder="1" applyAlignment="1">
      <alignment horizontal="left" wrapText="1"/>
    </xf>
    <xf numFmtId="0" fontId="0" fillId="0" borderId="18" xfId="0" applyBorder="1" applyAlignment="1">
      <alignment horizontal="left" wrapText="1"/>
    </xf>
    <xf numFmtId="0" fontId="0" fillId="0" borderId="15" xfId="0" applyBorder="1" applyAlignment="1">
      <alignment horizontal="left" wrapText="1"/>
    </xf>
    <xf numFmtId="0" fontId="6" fillId="6" borderId="31" xfId="3" applyFont="1" applyFill="1" applyBorder="1" applyAlignment="1">
      <alignment horizontal="center" vertical="center"/>
    </xf>
    <xf numFmtId="0" fontId="6" fillId="6" borderId="32" xfId="3" applyFont="1" applyFill="1" applyBorder="1" applyAlignment="1">
      <alignment horizontal="center" vertical="center"/>
    </xf>
    <xf numFmtId="0" fontId="6" fillId="6" borderId="33" xfId="3" applyFont="1" applyFill="1" applyBorder="1" applyAlignment="1">
      <alignment horizontal="center" vertical="center"/>
    </xf>
    <xf numFmtId="14" fontId="7" fillId="0" borderId="34" xfId="3" applyNumberFormat="1" applyFont="1" applyBorder="1" applyAlignment="1" applyProtection="1">
      <alignment horizontal="center"/>
      <protection locked="0"/>
    </xf>
    <xf numFmtId="0" fontId="0" fillId="0" borderId="73" xfId="0" applyBorder="1" applyAlignment="1">
      <alignment horizontal="center" vertical="center" wrapText="1"/>
    </xf>
    <xf numFmtId="0" fontId="0" fillId="0" borderId="2" xfId="0" applyBorder="1" applyAlignment="1">
      <alignment horizontal="center" vertical="center" wrapText="1"/>
    </xf>
    <xf numFmtId="0" fontId="0" fillId="0" borderId="71" xfId="0" applyBorder="1" applyAlignment="1">
      <alignment horizontal="center" vertical="center" wrapText="1"/>
    </xf>
    <xf numFmtId="0" fontId="0" fillId="0" borderId="73" xfId="0" applyBorder="1" applyAlignment="1">
      <alignment horizontal="center"/>
    </xf>
    <xf numFmtId="0" fontId="0" fillId="0" borderId="2" xfId="0" applyBorder="1" applyAlignment="1">
      <alignment horizontal="center"/>
    </xf>
    <xf numFmtId="0" fontId="0" fillId="0" borderId="71" xfId="0" applyBorder="1" applyAlignment="1">
      <alignment horizontal="center"/>
    </xf>
    <xf numFmtId="0" fontId="40" fillId="0" borderId="59" xfId="0" applyFont="1" applyBorder="1" applyAlignment="1">
      <alignment horizontal="center" vertical="center"/>
    </xf>
    <xf numFmtId="0" fontId="40" fillId="0" borderId="58" xfId="0" applyFont="1" applyBorder="1" applyAlignment="1">
      <alignment horizontal="center" vertical="center"/>
    </xf>
    <xf numFmtId="0" fontId="0" fillId="0" borderId="58" xfId="0" applyBorder="1" applyAlignment="1">
      <alignment horizontal="right" vertical="center" wrapText="1"/>
    </xf>
    <xf numFmtId="0" fontId="0" fillId="0" borderId="58" xfId="0" applyBorder="1" applyAlignment="1">
      <alignment horizontal="center"/>
    </xf>
    <xf numFmtId="0" fontId="0" fillId="0" borderId="73" xfId="0" applyBorder="1" applyAlignment="1">
      <alignment horizontal="center" vertical="center"/>
    </xf>
    <xf numFmtId="0" fontId="0" fillId="0" borderId="2" xfId="0" applyBorder="1" applyAlignment="1">
      <alignment horizontal="center" vertical="center"/>
    </xf>
    <xf numFmtId="0" fontId="0" fillId="0" borderId="71" xfId="0" applyBorder="1" applyAlignment="1">
      <alignment horizontal="center" vertical="center"/>
    </xf>
    <xf numFmtId="0" fontId="0" fillId="0" borderId="13" xfId="0" applyBorder="1" applyAlignment="1">
      <alignment horizontal="left" vertical="top"/>
    </xf>
    <xf numFmtId="0" fontId="0" fillId="0" borderId="4" xfId="0" applyBorder="1" applyAlignment="1">
      <alignment horizontal="left" vertical="top"/>
    </xf>
    <xf numFmtId="14" fontId="0" fillId="0" borderId="4" xfId="0" applyNumberFormat="1" applyBorder="1" applyAlignment="1">
      <alignment horizontal="center" vertical="center"/>
    </xf>
    <xf numFmtId="0" fontId="0" fillId="0" borderId="4" xfId="0" applyBorder="1" applyAlignment="1">
      <alignment horizontal="center" vertical="center"/>
    </xf>
    <xf numFmtId="0" fontId="0" fillId="0" borderId="49" xfId="0" applyBorder="1" applyAlignment="1">
      <alignment horizontal="left" vertical="top"/>
    </xf>
    <xf numFmtId="0" fontId="0" fillId="0" borderId="0" xfId="0" applyAlignment="1">
      <alignment horizontal="left" vertical="top"/>
    </xf>
    <xf numFmtId="0" fontId="0" fillId="0" borderId="8" xfId="0" applyBorder="1" applyAlignment="1">
      <alignment horizontal="left" vertical="top"/>
    </xf>
    <xf numFmtId="0" fontId="0" fillId="0" borderId="17" xfId="0" applyBorder="1" applyAlignment="1">
      <alignment horizontal="left" vertical="top"/>
    </xf>
    <xf numFmtId="0" fontId="0" fillId="0" borderId="16" xfId="0" applyBorder="1" applyAlignment="1">
      <alignment horizontal="left" vertical="top"/>
    </xf>
    <xf numFmtId="0" fontId="0" fillId="0" borderId="22" xfId="0" applyBorder="1" applyAlignment="1">
      <alignment horizontal="left" vertical="top"/>
    </xf>
    <xf numFmtId="0" fontId="0" fillId="0" borderId="9" xfId="0" applyBorder="1" applyAlignment="1">
      <alignment horizontal="left"/>
    </xf>
    <xf numFmtId="0" fontId="0" fillId="0" borderId="0" xfId="0" applyAlignment="1">
      <alignment horizontal="left"/>
    </xf>
    <xf numFmtId="0" fontId="0" fillId="0" borderId="25" xfId="0" applyBorder="1" applyAlignment="1">
      <alignment horizontal="center"/>
    </xf>
    <xf numFmtId="0" fontId="0" fillId="0" borderId="49"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24" xfId="0" applyBorder="1" applyAlignment="1">
      <alignment horizontal="left"/>
    </xf>
    <xf numFmtId="0" fontId="0" fillId="0" borderId="30" xfId="0" applyBorder="1" applyAlignment="1">
      <alignment horizontal="left"/>
    </xf>
    <xf numFmtId="0" fontId="0" fillId="0" borderId="22" xfId="0" applyBorder="1" applyAlignment="1">
      <alignment horizontal="center"/>
    </xf>
    <xf numFmtId="0" fontId="0" fillId="0" borderId="30" xfId="0" applyBorder="1" applyAlignment="1">
      <alignment horizontal="center"/>
    </xf>
    <xf numFmtId="0" fontId="0" fillId="0" borderId="25" xfId="0" applyBorder="1" applyAlignment="1">
      <alignment horizontal="left"/>
    </xf>
    <xf numFmtId="0" fontId="0" fillId="0" borderId="16" xfId="0" applyBorder="1" applyAlignment="1">
      <alignment horizontal="left"/>
    </xf>
    <xf numFmtId="0" fontId="0" fillId="0" borderId="49" xfId="0" applyBorder="1" applyAlignment="1">
      <alignment horizontal="left"/>
    </xf>
    <xf numFmtId="0" fontId="0" fillId="0" borderId="8" xfId="0" applyBorder="1" applyAlignment="1">
      <alignment horizontal="left"/>
    </xf>
    <xf numFmtId="0" fontId="0" fillId="0" borderId="14" xfId="0" applyBorder="1" applyAlignment="1">
      <alignment horizontal="left" vertical="top"/>
    </xf>
    <xf numFmtId="0" fontId="0" fillId="0" borderId="56"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14" fillId="0" borderId="5" xfId="0" applyFont="1" applyBorder="1" applyAlignment="1">
      <alignment horizontal="left" vertical="top" wrapText="1"/>
    </xf>
    <xf numFmtId="0" fontId="14" fillId="0" borderId="6" xfId="0" applyFont="1" applyBorder="1" applyAlignment="1">
      <alignment horizontal="left" vertical="top" wrapText="1"/>
    </xf>
    <xf numFmtId="0" fontId="14" fillId="0" borderId="70" xfId="0" applyFont="1" applyBorder="1" applyAlignment="1">
      <alignment horizontal="left" vertical="top" wrapText="1"/>
    </xf>
    <xf numFmtId="0" fontId="14" fillId="0" borderId="9" xfId="0" applyFont="1" applyBorder="1" applyAlignment="1">
      <alignment horizontal="left" vertical="top" wrapText="1"/>
    </xf>
    <xf numFmtId="0" fontId="14" fillId="0" borderId="0" xfId="0" applyFont="1" applyAlignment="1">
      <alignment horizontal="left" vertical="top" wrapText="1"/>
    </xf>
    <xf numFmtId="0" fontId="14" fillId="0" borderId="63" xfId="0" applyFont="1" applyBorder="1" applyAlignment="1">
      <alignment horizontal="left" vertical="top" wrapText="1"/>
    </xf>
    <xf numFmtId="0" fontId="0" fillId="0" borderId="10" xfId="0" applyBorder="1" applyAlignment="1">
      <alignment horizontal="left" vertical="top"/>
    </xf>
    <xf numFmtId="0" fontId="0" fillId="5" borderId="5" xfId="0" applyFill="1" applyBorder="1" applyAlignment="1">
      <alignment horizontal="center" vertical="center" textRotation="90" wrapText="1"/>
    </xf>
    <xf numFmtId="0" fontId="0" fillId="5" borderId="70" xfId="0" applyFill="1" applyBorder="1" applyAlignment="1">
      <alignment horizontal="center" vertical="center" textRotation="90" wrapText="1"/>
    </xf>
    <xf numFmtId="0" fontId="0" fillId="5" borderId="9" xfId="0" applyFill="1" applyBorder="1" applyAlignment="1">
      <alignment horizontal="center" vertical="center" textRotation="90" wrapText="1"/>
    </xf>
    <xf numFmtId="0" fontId="0" fillId="5" borderId="63" xfId="0" applyFill="1" applyBorder="1" applyAlignment="1">
      <alignment horizontal="center" vertical="center" textRotation="90" wrapText="1"/>
    </xf>
    <xf numFmtId="0" fontId="0" fillId="5" borderId="10" xfId="0" applyFill="1" applyBorder="1" applyAlignment="1">
      <alignment horizontal="center" vertical="center" textRotation="90" wrapText="1"/>
    </xf>
    <xf numFmtId="0" fontId="0" fillId="5" borderId="66" xfId="0" applyFill="1" applyBorder="1" applyAlignment="1">
      <alignment horizontal="center" vertical="center" textRotation="90" wrapText="1"/>
    </xf>
    <xf numFmtId="0" fontId="0" fillId="6" borderId="32" xfId="0" applyFill="1" applyBorder="1" applyAlignment="1">
      <alignment horizontal="right" vertical="center"/>
    </xf>
    <xf numFmtId="0" fontId="0" fillId="0" borderId="32" xfId="0" applyBorder="1" applyAlignment="1">
      <alignment horizontal="center"/>
    </xf>
    <xf numFmtId="0" fontId="0" fillId="0" borderId="32" xfId="0" applyBorder="1" applyAlignment="1">
      <alignment horizontal="center" vertical="center"/>
    </xf>
    <xf numFmtId="0" fontId="0" fillId="6" borderId="46" xfId="0" applyFill="1" applyBorder="1" applyAlignment="1">
      <alignment horizontal="right" vertical="center"/>
    </xf>
    <xf numFmtId="0" fontId="0" fillId="0" borderId="46" xfId="0" applyBorder="1" applyAlignment="1">
      <alignment horizontal="center"/>
    </xf>
    <xf numFmtId="0" fontId="0" fillId="6" borderId="11" xfId="0" applyFill="1" applyBorder="1" applyAlignment="1">
      <alignment horizontal="right" vertical="center"/>
    </xf>
    <xf numFmtId="0" fontId="0" fillId="0" borderId="27" xfId="0" applyBorder="1" applyAlignment="1">
      <alignment horizontal="center"/>
    </xf>
    <xf numFmtId="0" fontId="0" fillId="6" borderId="39" xfId="0" applyFill="1" applyBorder="1" applyAlignment="1">
      <alignment horizontal="right" vertical="center"/>
    </xf>
    <xf numFmtId="0" fontId="0" fillId="0" borderId="39" xfId="0" applyBorder="1" applyAlignment="1">
      <alignment horizontal="center"/>
    </xf>
    <xf numFmtId="0" fontId="0" fillId="0" borderId="17" xfId="0" applyBorder="1" applyAlignment="1">
      <alignment horizontal="center" vertical="center"/>
    </xf>
    <xf numFmtId="0" fontId="0" fillId="0" borderId="64" xfId="0" applyBorder="1" applyAlignment="1">
      <alignment horizontal="center" vertical="center"/>
    </xf>
    <xf numFmtId="0" fontId="0" fillId="0" borderId="15" xfId="0" applyBorder="1" applyAlignment="1">
      <alignment horizontal="center" vertical="center"/>
    </xf>
    <xf numFmtId="0" fontId="0" fillId="0" borderId="27" xfId="0" applyBorder="1" applyAlignment="1" applyProtection="1">
      <alignment horizontal="center"/>
      <protection locked="0"/>
    </xf>
    <xf numFmtId="0" fontId="0" fillId="2" borderId="5" xfId="0" applyFill="1" applyBorder="1" applyAlignment="1">
      <alignment horizontal="right" vertical="center"/>
    </xf>
    <xf numFmtId="0" fontId="0" fillId="2" borderId="6" xfId="0" applyFill="1" applyBorder="1" applyAlignment="1">
      <alignment horizontal="right" vertical="center"/>
    </xf>
    <xf numFmtId="0" fontId="0" fillId="2" borderId="70" xfId="0" applyFill="1" applyBorder="1" applyAlignment="1">
      <alignment horizontal="right" vertical="center"/>
    </xf>
    <xf numFmtId="0" fontId="0" fillId="0" borderId="33" xfId="0" applyBorder="1" applyAlignment="1">
      <alignment horizontal="center" vertical="center"/>
    </xf>
    <xf numFmtId="0" fontId="0" fillId="2" borderId="26" xfId="0" applyFill="1" applyBorder="1" applyAlignment="1">
      <alignment horizontal="center" vertical="center" wrapText="1"/>
    </xf>
    <xf numFmtId="0" fontId="0" fillId="2" borderId="18" xfId="0" applyFill="1" applyBorder="1" applyAlignment="1">
      <alignment horizontal="center" vertical="center" wrapText="1"/>
    </xf>
    <xf numFmtId="0" fontId="0" fillId="2" borderId="15" xfId="0" applyFill="1" applyBorder="1" applyAlignment="1">
      <alignment horizontal="center" vertical="center" wrapText="1"/>
    </xf>
    <xf numFmtId="0" fontId="31" fillId="4" borderId="52" xfId="0" applyFont="1" applyFill="1" applyBorder="1" applyAlignment="1">
      <alignment horizontal="center" vertical="center" wrapText="1"/>
    </xf>
    <xf numFmtId="0" fontId="31" fillId="4" borderId="74" xfId="0" applyFont="1" applyFill="1" applyBorder="1" applyAlignment="1">
      <alignment horizontal="center" vertical="center"/>
    </xf>
    <xf numFmtId="0" fontId="31" fillId="4" borderId="53" xfId="0" applyFont="1" applyFill="1" applyBorder="1" applyAlignment="1">
      <alignment horizontal="center" vertical="center"/>
    </xf>
    <xf numFmtId="0" fontId="8" fillId="5" borderId="54" xfId="0" applyFont="1" applyFill="1" applyBorder="1" applyAlignment="1">
      <alignment horizontal="center" vertical="center" wrapText="1"/>
    </xf>
    <xf numFmtId="0" fontId="8" fillId="5" borderId="47" xfId="0" applyFont="1" applyFill="1" applyBorder="1" applyAlignment="1">
      <alignment horizontal="center" vertical="center" wrapText="1"/>
    </xf>
    <xf numFmtId="0" fontId="8" fillId="5" borderId="55" xfId="0" applyFont="1" applyFill="1" applyBorder="1" applyAlignment="1">
      <alignment horizontal="center" vertical="center" wrapText="1"/>
    </xf>
    <xf numFmtId="0" fontId="7" fillId="2" borderId="9" xfId="3" applyFont="1" applyFill="1" applyBorder="1" applyAlignment="1">
      <alignment horizontal="right" vertical="center"/>
    </xf>
    <xf numFmtId="0" fontId="7" fillId="2" borderId="0" xfId="3" applyFont="1" applyFill="1" applyAlignment="1">
      <alignment horizontal="right" vertical="center"/>
    </xf>
    <xf numFmtId="0" fontId="7" fillId="2" borderId="63" xfId="3" applyFont="1" applyFill="1" applyBorder="1" applyAlignment="1">
      <alignment horizontal="right" vertical="center"/>
    </xf>
    <xf numFmtId="0" fontId="7" fillId="0" borderId="49" xfId="3" applyFont="1" applyBorder="1" applyAlignment="1">
      <alignment horizontal="center" vertical="center"/>
    </xf>
    <xf numFmtId="0" fontId="7" fillId="0" borderId="0" xfId="3" applyFont="1" applyAlignment="1">
      <alignment horizontal="center" vertical="center"/>
    </xf>
    <xf numFmtId="0" fontId="7" fillId="2" borderId="49" xfId="3" applyFont="1" applyFill="1" applyBorder="1" applyAlignment="1">
      <alignment horizontal="right" vertical="center"/>
    </xf>
    <xf numFmtId="0" fontId="7" fillId="0" borderId="49" xfId="3" applyFont="1" applyBorder="1" applyAlignment="1">
      <alignment horizontal="center"/>
    </xf>
    <xf numFmtId="0" fontId="7" fillId="0" borderId="0" xfId="3" applyFont="1" applyAlignment="1">
      <alignment horizontal="center"/>
    </xf>
    <xf numFmtId="0" fontId="7" fillId="0" borderId="63" xfId="3" applyFont="1" applyBorder="1" applyAlignment="1">
      <alignment horizontal="center"/>
    </xf>
    <xf numFmtId="0" fontId="7" fillId="0" borderId="8" xfId="3" applyFont="1" applyBorder="1" applyAlignment="1">
      <alignment horizontal="center" vertical="center"/>
    </xf>
    <xf numFmtId="0" fontId="0" fillId="6" borderId="11" xfId="0" applyFill="1" applyBorder="1" applyAlignment="1">
      <alignment horizontal="center" vertical="center"/>
    </xf>
    <xf numFmtId="0" fontId="0" fillId="6" borderId="18" xfId="0" applyFill="1" applyBorder="1" applyAlignment="1">
      <alignment horizontal="center" vertical="center"/>
    </xf>
    <xf numFmtId="0" fontId="0" fillId="6" borderId="15" xfId="0" applyFill="1" applyBorder="1" applyAlignment="1">
      <alignment horizontal="center" vertical="center"/>
    </xf>
    <xf numFmtId="0" fontId="0" fillId="6" borderId="39" xfId="0" applyFill="1" applyBorder="1" applyAlignment="1">
      <alignment horizontal="center" vertical="center"/>
    </xf>
    <xf numFmtId="0" fontId="0" fillId="6" borderId="28" xfId="0" applyFill="1" applyBorder="1" applyAlignment="1">
      <alignment horizontal="center" vertical="center"/>
    </xf>
    <xf numFmtId="0" fontId="0" fillId="6" borderId="43" xfId="0" applyFill="1" applyBorder="1" applyAlignment="1">
      <alignment horizontal="center" vertical="center"/>
    </xf>
    <xf numFmtId="0" fontId="0" fillId="0" borderId="43" xfId="0" applyBorder="1" applyAlignment="1">
      <alignment horizontal="center" vertical="center"/>
    </xf>
    <xf numFmtId="0" fontId="0" fillId="5" borderId="6" xfId="0" applyFill="1" applyBorder="1" applyAlignment="1">
      <alignment horizontal="center" vertical="center" textRotation="90" wrapText="1"/>
    </xf>
    <xf numFmtId="0" fontId="0" fillId="5" borderId="0" xfId="0" applyFill="1" applyAlignment="1">
      <alignment horizontal="center" vertical="center" textRotation="90" wrapText="1"/>
    </xf>
    <xf numFmtId="0" fontId="0" fillId="5" borderId="4" xfId="0" applyFill="1" applyBorder="1" applyAlignment="1">
      <alignment horizontal="center" vertical="center" textRotation="90" wrapText="1"/>
    </xf>
    <xf numFmtId="0" fontId="0" fillId="6" borderId="46" xfId="0" applyFill="1" applyBorder="1" applyAlignment="1">
      <alignment horizontal="center" vertical="center"/>
    </xf>
    <xf numFmtId="0" fontId="0" fillId="6" borderId="30" xfId="0" applyFill="1" applyBorder="1" applyAlignment="1">
      <alignment horizontal="center" vertical="center"/>
    </xf>
    <xf numFmtId="0" fontId="0" fillId="6" borderId="45" xfId="0" applyFill="1" applyBorder="1" applyAlignment="1">
      <alignment horizontal="center" vertical="center"/>
    </xf>
    <xf numFmtId="0" fontId="0" fillId="0" borderId="45" xfId="0" applyBorder="1" applyAlignment="1">
      <alignment horizontal="center" vertical="center"/>
    </xf>
    <xf numFmtId="0" fontId="0" fillId="6" borderId="12" xfId="0" applyFill="1" applyBorder="1" applyAlignment="1">
      <alignment horizontal="center" vertical="center" textRotation="90" wrapText="1"/>
    </xf>
    <xf numFmtId="0" fontId="0" fillId="6" borderId="35" xfId="0" applyFill="1" applyBorder="1" applyAlignment="1">
      <alignment horizontal="center" vertical="center"/>
    </xf>
    <xf numFmtId="167" fontId="0" fillId="0" borderId="12" xfId="0" applyNumberFormat="1" applyBorder="1" applyAlignment="1">
      <alignment horizontal="right" vertical="center"/>
    </xf>
    <xf numFmtId="167" fontId="0" fillId="0" borderId="35" xfId="0" applyNumberFormat="1" applyBorder="1" applyAlignment="1">
      <alignment horizontal="right" vertical="center"/>
    </xf>
    <xf numFmtId="166" fontId="0" fillId="0" borderId="12" xfId="0" applyNumberFormat="1" applyBorder="1" applyAlignment="1">
      <alignment horizontal="right" vertical="center"/>
    </xf>
    <xf numFmtId="0" fontId="0" fillId="6" borderId="37" xfId="0" applyFill="1" applyBorder="1" applyAlignment="1">
      <alignment horizontal="center" vertical="center"/>
    </xf>
    <xf numFmtId="0" fontId="35" fillId="5" borderId="5" xfId="0" applyFont="1" applyFill="1" applyBorder="1" applyAlignment="1">
      <alignment horizontal="center" vertical="center" wrapText="1"/>
    </xf>
    <xf numFmtId="0" fontId="35" fillId="5" borderId="6" xfId="0" applyFont="1" applyFill="1" applyBorder="1" applyAlignment="1">
      <alignment horizontal="center" vertical="center" wrapText="1"/>
    </xf>
    <xf numFmtId="0" fontId="35" fillId="5" borderId="70" xfId="0" applyFont="1" applyFill="1" applyBorder="1" applyAlignment="1">
      <alignment horizontal="center" vertical="center" wrapText="1"/>
    </xf>
    <xf numFmtId="0" fontId="0" fillId="5" borderId="12" xfId="0" applyFill="1" applyBorder="1" applyAlignment="1">
      <alignment horizontal="center"/>
    </xf>
    <xf numFmtId="0" fontId="0" fillId="6" borderId="32" xfId="0" applyFill="1" applyBorder="1" applyAlignment="1">
      <alignment horizontal="center" vertical="center"/>
    </xf>
    <xf numFmtId="0" fontId="0" fillId="6" borderId="44" xfId="0" applyFill="1" applyBorder="1" applyAlignment="1">
      <alignment horizontal="center" vertical="center"/>
    </xf>
    <xf numFmtId="49" fontId="0" fillId="0" borderId="17" xfId="0" applyNumberFormat="1" applyBorder="1" applyAlignment="1">
      <alignment horizontal="center" vertical="center"/>
    </xf>
    <xf numFmtId="49" fontId="0" fillId="0" borderId="16" xfId="0" applyNumberFormat="1" applyBorder="1" applyAlignment="1">
      <alignment horizontal="center" vertical="center"/>
    </xf>
    <xf numFmtId="49" fontId="0" fillId="0" borderId="64" xfId="0" applyNumberFormat="1" applyBorder="1" applyAlignment="1">
      <alignment horizontal="center" vertical="center"/>
    </xf>
    <xf numFmtId="0" fontId="0" fillId="5" borderId="37" xfId="0" applyFill="1" applyBorder="1" applyAlignment="1">
      <alignment horizontal="center"/>
    </xf>
    <xf numFmtId="0" fontId="0" fillId="0" borderId="28" xfId="0" applyBorder="1" applyAlignment="1">
      <alignment horizontal="center"/>
    </xf>
    <xf numFmtId="0" fontId="0" fillId="0" borderId="43" xfId="0" applyBorder="1" applyAlignment="1">
      <alignment horizontal="center"/>
    </xf>
    <xf numFmtId="0" fontId="0" fillId="0" borderId="0" xfId="0" applyAlignment="1">
      <alignment horizontal="right"/>
    </xf>
    <xf numFmtId="0" fontId="1" fillId="0" borderId="0" xfId="1"/>
    <xf numFmtId="0" fontId="1" fillId="0" borderId="6" xfId="1" applyBorder="1"/>
    <xf numFmtId="0" fontId="1" fillId="0" borderId="9" xfId="1" applyBorder="1"/>
    <xf numFmtId="0" fontId="1" fillId="0" borderId="77" xfId="1" applyBorder="1" applyAlignment="1">
      <alignment horizontal="center"/>
    </xf>
    <xf numFmtId="0" fontId="1" fillId="0" borderId="0" xfId="1" applyAlignment="1">
      <alignment horizontal="center"/>
    </xf>
    <xf numFmtId="0" fontId="1" fillId="0" borderId="78" xfId="1" applyBorder="1" applyAlignment="1">
      <alignment horizontal="center"/>
    </xf>
    <xf numFmtId="0" fontId="1" fillId="0" borderId="79" xfId="1" applyBorder="1" applyAlignment="1">
      <alignment horizontal="center"/>
    </xf>
    <xf numFmtId="0" fontId="1" fillId="0" borderId="0" xfId="1" applyFill="1" applyBorder="1"/>
    <xf numFmtId="0" fontId="46" fillId="0" borderId="0" xfId="1" applyFont="1" applyFill="1" applyBorder="1"/>
    <xf numFmtId="49" fontId="47" fillId="0" borderId="0" xfId="1" applyNumberFormat="1" applyFont="1" applyFill="1" applyBorder="1" applyAlignment="1">
      <alignment horizontal="center"/>
    </xf>
    <xf numFmtId="0" fontId="1" fillId="0" borderId="0" xfId="1" applyFill="1" applyBorder="1" applyAlignment="1">
      <alignment horizontal="left"/>
    </xf>
    <xf numFmtId="0" fontId="1" fillId="0" borderId="0" xfId="1" applyFill="1" applyBorder="1" applyAlignment="1">
      <alignment horizontal="center"/>
    </xf>
    <xf numFmtId="0" fontId="0" fillId="0" borderId="0" xfId="0" applyFill="1" applyBorder="1"/>
    <xf numFmtId="168" fontId="1" fillId="0" borderId="0" xfId="1" applyNumberFormat="1" applyFill="1" applyBorder="1" applyAlignment="1">
      <alignment horizontal="left"/>
    </xf>
    <xf numFmtId="0" fontId="1" fillId="0" borderId="38" xfId="1" applyBorder="1"/>
    <xf numFmtId="0" fontId="1" fillId="0" borderId="37" xfId="1" applyBorder="1"/>
    <xf numFmtId="0" fontId="1" fillId="0" borderId="43" xfId="1" applyBorder="1"/>
    <xf numFmtId="0" fontId="1" fillId="0" borderId="36" xfId="1" applyBorder="1"/>
    <xf numFmtId="0" fontId="1" fillId="0" borderId="42" xfId="1" applyBorder="1" applyAlignment="1">
      <alignment horizontal="left"/>
    </xf>
    <xf numFmtId="0" fontId="1" fillId="0" borderId="0" xfId="1" applyAlignment="1">
      <alignment horizontal="center" vertical="center" textRotation="90"/>
    </xf>
    <xf numFmtId="0" fontId="1" fillId="0" borderId="35" xfId="1" applyBorder="1"/>
    <xf numFmtId="0" fontId="1" fillId="0" borderId="12" xfId="1" applyBorder="1"/>
    <xf numFmtId="0" fontId="1" fillId="0" borderId="15" xfId="1" applyBorder="1"/>
    <xf numFmtId="0" fontId="1" fillId="0" borderId="34" xfId="1" applyBorder="1"/>
    <xf numFmtId="0" fontId="1" fillId="0" borderId="26" xfId="1" applyBorder="1" applyAlignment="1">
      <alignment horizontal="left"/>
    </xf>
    <xf numFmtId="0" fontId="1" fillId="2" borderId="37" xfId="1" applyFill="1" applyBorder="1"/>
    <xf numFmtId="0" fontId="1" fillId="2" borderId="36" xfId="1" applyFill="1" applyBorder="1"/>
    <xf numFmtId="0" fontId="1" fillId="2" borderId="12" xfId="1" applyFill="1" applyBorder="1"/>
    <xf numFmtId="0" fontId="1" fillId="2" borderId="34" xfId="1" applyFill="1" applyBorder="1"/>
    <xf numFmtId="0" fontId="1" fillId="0" borderId="51" xfId="1" applyBorder="1"/>
    <xf numFmtId="0" fontId="1" fillId="0" borderId="44" xfId="1" applyBorder="1"/>
    <xf numFmtId="0" fontId="1" fillId="2" borderId="32" xfId="1" applyFill="1" applyBorder="1"/>
    <xf numFmtId="0" fontId="1" fillId="0" borderId="31" xfId="1" applyBorder="1"/>
    <xf numFmtId="0" fontId="1" fillId="0" borderId="41" xfId="1" applyBorder="1"/>
    <xf numFmtId="0" fontId="1" fillId="0" borderId="25" xfId="1" applyBorder="1" applyAlignment="1">
      <alignment horizontal="left"/>
    </xf>
    <xf numFmtId="0" fontId="1" fillId="0" borderId="79" xfId="1" applyBorder="1" applyAlignment="1">
      <alignment horizontal="left"/>
    </xf>
    <xf numFmtId="0" fontId="1" fillId="0" borderId="78" xfId="1" applyBorder="1" applyAlignment="1">
      <alignment horizontal="left"/>
    </xf>
    <xf numFmtId="168" fontId="1" fillId="0" borderId="78" xfId="1" applyNumberFormat="1" applyBorder="1" applyAlignment="1">
      <alignment horizontal="left"/>
    </xf>
    <xf numFmtId="0" fontId="1" fillId="0" borderId="33" xfId="1" applyBorder="1"/>
    <xf numFmtId="0" fontId="1" fillId="0" borderId="32" xfId="1" applyBorder="1"/>
    <xf numFmtId="0" fontId="1" fillId="0" borderId="45" xfId="1" applyBorder="1"/>
    <xf numFmtId="0" fontId="1" fillId="0" borderId="77" xfId="1" applyBorder="1" applyAlignment="1">
      <alignment horizontal="left"/>
    </xf>
    <xf numFmtId="0" fontId="1" fillId="0" borderId="53" xfId="1" applyBorder="1"/>
    <xf numFmtId="0" fontId="1" fillId="0" borderId="74" xfId="1" applyBorder="1"/>
    <xf numFmtId="0" fontId="1" fillId="0" borderId="70" xfId="1" applyBorder="1"/>
    <xf numFmtId="0" fontId="1" fillId="0" borderId="62" xfId="1" applyBorder="1" applyAlignment="1">
      <alignment horizontal="center"/>
    </xf>
    <xf numFmtId="0" fontId="1" fillId="0" borderId="61" xfId="1" applyBorder="1" applyAlignment="1">
      <alignment horizontal="center"/>
    </xf>
    <xf numFmtId="0" fontId="1" fillId="0" borderId="57" xfId="1" applyBorder="1" applyAlignment="1">
      <alignment horizontal="center"/>
    </xf>
    <xf numFmtId="0" fontId="1" fillId="0" borderId="5" xfId="1" applyBorder="1"/>
    <xf numFmtId="0" fontId="1" fillId="0" borderId="60" xfId="1" applyBorder="1" applyAlignment="1">
      <alignment horizontal="left"/>
    </xf>
    <xf numFmtId="0" fontId="1" fillId="0" borderId="58" xfId="1" applyBorder="1" applyAlignment="1">
      <alignment horizontal="left"/>
    </xf>
    <xf numFmtId="168" fontId="1" fillId="0" borderId="58" xfId="1" applyNumberFormat="1" applyBorder="1" applyAlignment="1">
      <alignment horizontal="left"/>
    </xf>
    <xf numFmtId="0" fontId="1" fillId="0" borderId="59" xfId="1" applyBorder="1" applyAlignment="1">
      <alignment horizontal="left"/>
    </xf>
    <xf numFmtId="0" fontId="1" fillId="0" borderId="0" xfId="1" applyAlignment="1">
      <alignment horizontal="center"/>
    </xf>
    <xf numFmtId="0" fontId="16" fillId="0" borderId="33" xfId="1" applyFont="1" applyBorder="1" applyAlignment="1">
      <alignment horizontal="center"/>
    </xf>
    <xf numFmtId="0" fontId="16" fillId="0" borderId="32" xfId="1" applyFont="1" applyBorder="1" applyAlignment="1">
      <alignment horizontal="center"/>
    </xf>
    <xf numFmtId="0" fontId="16" fillId="0" borderId="31" xfId="1" applyFont="1" applyBorder="1" applyAlignment="1">
      <alignment horizontal="center"/>
    </xf>
    <xf numFmtId="0" fontId="48" fillId="0" borderId="33" xfId="1" applyFont="1" applyBorder="1" applyAlignment="1">
      <alignment horizontal="center" vertical="center"/>
    </xf>
    <xf numFmtId="0" fontId="48" fillId="0" borderId="32" xfId="1" applyFont="1" applyBorder="1" applyAlignment="1">
      <alignment horizontal="center" vertical="center"/>
    </xf>
    <xf numFmtId="0" fontId="48" fillId="0" borderId="31" xfId="1" applyFont="1" applyBorder="1" applyAlignment="1">
      <alignment horizontal="center" vertical="center"/>
    </xf>
    <xf numFmtId="0" fontId="49" fillId="12" borderId="5" xfId="1" applyFont="1" applyFill="1" applyBorder="1" applyAlignment="1">
      <alignment horizontal="center" vertical="center"/>
    </xf>
    <xf numFmtId="0" fontId="49" fillId="12" borderId="6" xfId="1" applyFont="1" applyFill="1" applyBorder="1" applyAlignment="1">
      <alignment horizontal="center" vertical="center"/>
    </xf>
    <xf numFmtId="0" fontId="49" fillId="12" borderId="7" xfId="1" applyFont="1" applyFill="1" applyBorder="1" applyAlignment="1">
      <alignment horizontal="center" vertical="center"/>
    </xf>
    <xf numFmtId="0" fontId="49" fillId="12" borderId="9" xfId="1" applyFont="1" applyFill="1" applyBorder="1" applyAlignment="1">
      <alignment horizontal="center" vertical="center"/>
    </xf>
    <xf numFmtId="0" fontId="49" fillId="12" borderId="0" xfId="1" applyFont="1" applyFill="1" applyAlignment="1">
      <alignment horizontal="center" vertical="center"/>
    </xf>
    <xf numFmtId="0" fontId="49" fillId="12" borderId="8" xfId="1" applyFont="1" applyFill="1" applyBorder="1" applyAlignment="1">
      <alignment horizontal="center" vertical="center"/>
    </xf>
    <xf numFmtId="0" fontId="49" fillId="12" borderId="10" xfId="1" applyFont="1" applyFill="1" applyBorder="1" applyAlignment="1">
      <alignment horizontal="center" vertical="center"/>
    </xf>
    <xf numFmtId="0" fontId="49" fillId="12" borderId="4" xfId="1" applyFont="1" applyFill="1" applyBorder="1" applyAlignment="1">
      <alignment horizontal="center" vertical="center"/>
    </xf>
    <xf numFmtId="0" fontId="49" fillId="12" borderId="0" xfId="1" applyFont="1" applyFill="1" applyAlignment="1">
      <alignment horizontal="center" vertical="center"/>
    </xf>
    <xf numFmtId="0" fontId="1" fillId="0" borderId="33" xfId="1" applyBorder="1" applyAlignment="1" applyProtection="1">
      <alignment horizontal="center"/>
      <protection locked="0"/>
    </xf>
    <xf numFmtId="0" fontId="1" fillId="0" borderId="35" xfId="1" applyBorder="1" applyAlignment="1" applyProtection="1">
      <alignment horizontal="center"/>
      <protection locked="0"/>
    </xf>
    <xf numFmtId="169" fontId="1" fillId="14" borderId="35" xfId="1" applyNumberFormat="1" applyFill="1" applyBorder="1" applyAlignment="1">
      <alignment horizontal="center"/>
    </xf>
    <xf numFmtId="0" fontId="1" fillId="14" borderId="35" xfId="1" applyFill="1" applyBorder="1" applyAlignment="1">
      <alignment horizontal="center"/>
    </xf>
    <xf numFmtId="0" fontId="1" fillId="14" borderId="38" xfId="1" applyFill="1" applyBorder="1" applyAlignment="1">
      <alignment horizontal="center"/>
    </xf>
    <xf numFmtId="0" fontId="1" fillId="15" borderId="0" xfId="1" applyFill="1"/>
    <xf numFmtId="0" fontId="1" fillId="15" borderId="10" xfId="1" applyFill="1" applyBorder="1"/>
    <xf numFmtId="0" fontId="1" fillId="15" borderId="4" xfId="1" applyFill="1" applyBorder="1"/>
    <xf numFmtId="0" fontId="1" fillId="15" borderId="14" xfId="1" applyFill="1" applyBorder="1"/>
    <xf numFmtId="0" fontId="1" fillId="12" borderId="31" xfId="1" applyFill="1" applyBorder="1" applyAlignment="1">
      <alignment horizontal="center" vertical="center" wrapText="1"/>
    </xf>
    <xf numFmtId="0" fontId="1" fillId="2" borderId="6" xfId="1" applyFill="1" applyBorder="1"/>
    <xf numFmtId="0" fontId="1" fillId="16" borderId="6" xfId="1" applyFill="1" applyBorder="1"/>
    <xf numFmtId="0" fontId="1" fillId="13" borderId="6" xfId="1" applyFill="1" applyBorder="1"/>
    <xf numFmtId="171" fontId="1" fillId="13" borderId="6" xfId="10" applyNumberFormat="1" applyFill="1" applyBorder="1" applyProtection="1"/>
    <xf numFmtId="0" fontId="1" fillId="2" borderId="7" xfId="1" applyFill="1" applyBorder="1"/>
    <xf numFmtId="0" fontId="1" fillId="12" borderId="34" xfId="1" applyFill="1" applyBorder="1" applyAlignment="1">
      <alignment horizontal="center" vertical="center" wrapText="1"/>
    </xf>
    <xf numFmtId="0" fontId="1" fillId="2" borderId="0" xfId="1" applyFill="1"/>
    <xf numFmtId="0" fontId="1" fillId="16" borderId="0" xfId="1" applyFill="1"/>
    <xf numFmtId="0" fontId="1" fillId="13" borderId="0" xfId="1" applyFill="1"/>
    <xf numFmtId="171" fontId="1" fillId="13" borderId="0" xfId="10" applyNumberFormat="1" applyFill="1" applyProtection="1"/>
    <xf numFmtId="0" fontId="1" fillId="2" borderId="8" xfId="1" applyFill="1" applyBorder="1"/>
    <xf numFmtId="0" fontId="1" fillId="2" borderId="35" xfId="1" applyFill="1" applyBorder="1" applyAlignment="1">
      <alignment horizontal="center"/>
    </xf>
    <xf numFmtId="0" fontId="1" fillId="12" borderId="36" xfId="1" applyFill="1" applyBorder="1" applyAlignment="1">
      <alignment horizontal="center" vertical="center" wrapText="1"/>
    </xf>
    <xf numFmtId="0" fontId="1" fillId="2" borderId="38" xfId="1" applyFill="1" applyBorder="1" applyAlignment="1">
      <alignment horizontal="center"/>
    </xf>
    <xf numFmtId="0" fontId="1" fillId="2" borderId="4" xfId="1" applyFill="1" applyBorder="1"/>
    <xf numFmtId="0" fontId="1" fillId="17" borderId="4" xfId="1" applyFill="1" applyBorder="1"/>
    <xf numFmtId="0" fontId="1" fillId="16" borderId="4" xfId="1" applyFill="1" applyBorder="1"/>
    <xf numFmtId="169" fontId="1" fillId="13" borderId="4" xfId="1" applyNumberFormat="1" applyFill="1" applyBorder="1"/>
    <xf numFmtId="171" fontId="1" fillId="13" borderId="4" xfId="10" applyNumberFormat="1" applyFill="1" applyBorder="1" applyProtection="1"/>
    <xf numFmtId="0" fontId="1" fillId="2" borderId="14" xfId="1" applyFill="1" applyBorder="1"/>
    <xf numFmtId="0" fontId="1" fillId="12" borderId="31" xfId="1" applyFill="1" applyBorder="1" applyAlignment="1">
      <alignment horizontal="center" vertical="center"/>
    </xf>
    <xf numFmtId="0" fontId="1" fillId="12" borderId="34" xfId="1" applyFill="1" applyBorder="1" applyAlignment="1">
      <alignment horizontal="center" vertical="center"/>
    </xf>
    <xf numFmtId="0" fontId="1" fillId="12" borderId="36" xfId="1" applyFill="1" applyBorder="1" applyAlignment="1">
      <alignment horizontal="center" vertical="center"/>
    </xf>
    <xf numFmtId="1" fontId="1" fillId="13" borderId="4" xfId="1" applyNumberFormat="1" applyFill="1" applyBorder="1"/>
    <xf numFmtId="0" fontId="1" fillId="18" borderId="4" xfId="1" applyFill="1" applyBorder="1"/>
    <xf numFmtId="0" fontId="1" fillId="12" borderId="31" xfId="1" applyFill="1" applyBorder="1" applyAlignment="1">
      <alignment horizontal="center" vertical="center"/>
    </xf>
    <xf numFmtId="0" fontId="1" fillId="2" borderId="74" xfId="1" applyFill="1" applyBorder="1"/>
    <xf numFmtId="0" fontId="1" fillId="0" borderId="53" xfId="1" applyBorder="1" applyProtection="1">
      <protection locked="0"/>
    </xf>
    <xf numFmtId="0" fontId="1" fillId="12" borderId="36" xfId="1" applyFill="1" applyBorder="1" applyAlignment="1">
      <alignment vertical="center"/>
    </xf>
    <xf numFmtId="0" fontId="1" fillId="2" borderId="58" xfId="1" applyFill="1" applyBorder="1"/>
    <xf numFmtId="0" fontId="1" fillId="2" borderId="60" xfId="1" applyFill="1" applyBorder="1" applyAlignment="1">
      <alignment horizontal="center"/>
    </xf>
    <xf numFmtId="0" fontId="1" fillId="0" borderId="4" xfId="1" applyBorder="1"/>
    <xf numFmtId="0" fontId="1" fillId="13" borderId="4" xfId="1" applyFill="1" applyBorder="1"/>
    <xf numFmtId="1" fontId="1" fillId="13" borderId="6" xfId="1" applyNumberFormat="1" applyFill="1" applyBorder="1"/>
    <xf numFmtId="0" fontId="1" fillId="12" borderId="52" xfId="1" applyFill="1" applyBorder="1" applyAlignment="1">
      <alignment horizontal="center" vertical="center" wrapText="1"/>
    </xf>
    <xf numFmtId="0" fontId="1" fillId="2" borderId="8" xfId="1" quotePrefix="1" applyFill="1" applyBorder="1"/>
    <xf numFmtId="0" fontId="1" fillId="12" borderId="57" xfId="1" applyFill="1" applyBorder="1" applyAlignment="1">
      <alignment horizontal="center" vertical="center" wrapText="1"/>
    </xf>
    <xf numFmtId="2" fontId="1" fillId="0" borderId="35" xfId="1" applyNumberFormat="1" applyBorder="1" applyAlignment="1" applyProtection="1">
      <alignment horizontal="center"/>
      <protection locked="0"/>
    </xf>
    <xf numFmtId="0" fontId="1" fillId="18" borderId="0" xfId="1" applyFill="1"/>
    <xf numFmtId="0" fontId="1" fillId="0" borderId="35" xfId="1" applyBorder="1" applyProtection="1">
      <protection locked="0"/>
    </xf>
    <xf numFmtId="0" fontId="1" fillId="12" borderId="54" xfId="1" applyFill="1" applyBorder="1" applyAlignment="1">
      <alignment horizontal="center" vertical="center" wrapText="1"/>
    </xf>
    <xf numFmtId="0" fontId="1" fillId="0" borderId="38" xfId="1" applyBorder="1" applyProtection="1">
      <protection locked="0"/>
    </xf>
    <xf numFmtId="0" fontId="1" fillId="12" borderId="54" xfId="1" applyFill="1" applyBorder="1" applyAlignment="1">
      <alignment vertical="center" wrapText="1"/>
    </xf>
    <xf numFmtId="0" fontId="1" fillId="2" borderId="47" xfId="1" applyFill="1" applyBorder="1"/>
    <xf numFmtId="0" fontId="1" fillId="2" borderId="55" xfId="1" applyFill="1" applyBorder="1"/>
    <xf numFmtId="0" fontId="1" fillId="2" borderId="9" xfId="1" applyFill="1" applyBorder="1"/>
    <xf numFmtId="2" fontId="1" fillId="13" borderId="6" xfId="1" applyNumberFormat="1" applyFill="1" applyBorder="1"/>
    <xf numFmtId="0" fontId="1" fillId="12" borderId="5" xfId="1" applyFill="1" applyBorder="1" applyAlignment="1">
      <alignment horizontal="center" vertical="center" textRotation="90" wrapText="1"/>
    </xf>
    <xf numFmtId="0" fontId="1" fillId="12" borderId="9" xfId="1" applyFill="1" applyBorder="1" applyAlignment="1">
      <alignment horizontal="center" vertical="center" textRotation="90" wrapText="1"/>
    </xf>
    <xf numFmtId="0" fontId="1" fillId="12" borderId="10" xfId="1" applyFill="1" applyBorder="1" applyAlignment="1">
      <alignment horizontal="center" vertical="center" textRotation="90" wrapText="1"/>
    </xf>
    <xf numFmtId="2" fontId="1" fillId="13" borderId="4" xfId="1" applyNumberFormat="1" applyFill="1" applyBorder="1"/>
    <xf numFmtId="0" fontId="1" fillId="19" borderId="0" xfId="1" applyFill="1" applyAlignment="1">
      <alignment horizontal="center" vertical="center"/>
    </xf>
    <xf numFmtId="0" fontId="1" fillId="19" borderId="0" xfId="1" applyFill="1"/>
    <xf numFmtId="171" fontId="1" fillId="19" borderId="0" xfId="10" applyNumberFormat="1" applyFill="1" applyProtection="1"/>
    <xf numFmtId="0" fontId="1" fillId="20" borderId="0" xfId="1" applyFill="1"/>
    <xf numFmtId="9" fontId="1" fillId="20" borderId="0" xfId="1" applyNumberFormat="1" applyFill="1"/>
    <xf numFmtId="0" fontId="1" fillId="13" borderId="31" xfId="1" applyFill="1" applyBorder="1" applyAlignment="1">
      <alignment horizontal="center" vertical="center"/>
    </xf>
    <xf numFmtId="0" fontId="1" fillId="14" borderId="32" xfId="1" applyFill="1" applyBorder="1"/>
    <xf numFmtId="171" fontId="1" fillId="21" borderId="33" xfId="10" applyNumberFormat="1" applyFill="1" applyBorder="1" applyAlignment="1" applyProtection="1">
      <alignment horizontal="right"/>
    </xf>
    <xf numFmtId="0" fontId="1" fillId="13" borderId="34" xfId="1" applyFill="1" applyBorder="1" applyAlignment="1">
      <alignment horizontal="center" vertical="center"/>
    </xf>
    <xf numFmtId="0" fontId="1" fillId="14" borderId="12" xfId="1" applyFill="1" applyBorder="1"/>
    <xf numFmtId="171" fontId="1" fillId="21" borderId="35" xfId="10" applyNumberFormat="1" applyFill="1" applyBorder="1" applyAlignment="1" applyProtection="1">
      <alignment horizontal="right"/>
    </xf>
    <xf numFmtId="0" fontId="1" fillId="13" borderId="36" xfId="1" applyFill="1" applyBorder="1" applyAlignment="1">
      <alignment horizontal="center" vertical="center"/>
    </xf>
    <xf numFmtId="0" fontId="1" fillId="14" borderId="37" xfId="1" applyFill="1" applyBorder="1"/>
    <xf numFmtId="171" fontId="1" fillId="21" borderId="38" xfId="10" applyNumberFormat="1" applyFill="1" applyBorder="1" applyAlignment="1" applyProtection="1">
      <alignment horizontal="right"/>
    </xf>
    <xf numFmtId="0" fontId="37" fillId="0" borderId="0" xfId="1" applyFont="1" applyAlignment="1">
      <alignment vertical="center"/>
    </xf>
    <xf numFmtId="0" fontId="37" fillId="0" borderId="0" xfId="1" applyFont="1" applyAlignment="1">
      <alignment horizontal="left" vertical="top" wrapText="1"/>
    </xf>
    <xf numFmtId="0" fontId="1" fillId="0" borderId="0" xfId="1" applyAlignment="1">
      <alignment horizontal="left" wrapText="1"/>
    </xf>
    <xf numFmtId="0" fontId="1" fillId="0" borderId="20" xfId="1" applyBorder="1"/>
    <xf numFmtId="0" fontId="48" fillId="0" borderId="52" xfId="1" applyFont="1" applyBorder="1" applyAlignment="1">
      <alignment horizontal="center" vertical="center"/>
    </xf>
    <xf numFmtId="0" fontId="48" fillId="0" borderId="74" xfId="1" applyFont="1" applyBorder="1" applyAlignment="1">
      <alignment horizontal="center" vertical="center"/>
    </xf>
    <xf numFmtId="0" fontId="48" fillId="0" borderId="53" xfId="1" applyFont="1" applyBorder="1" applyAlignment="1">
      <alignment horizontal="center" vertical="center"/>
    </xf>
    <xf numFmtId="168" fontId="1" fillId="0" borderId="0" xfId="1" applyNumberFormat="1" applyAlignment="1">
      <alignment horizontal="center"/>
    </xf>
    <xf numFmtId="172" fontId="1" fillId="0" borderId="0" xfId="1" applyNumberFormat="1"/>
    <xf numFmtId="172" fontId="50" fillId="0" borderId="0" xfId="1" applyNumberFormat="1" applyFont="1"/>
    <xf numFmtId="0" fontId="49" fillId="12" borderId="0" xfId="1" applyFont="1" applyFill="1" applyBorder="1" applyAlignment="1">
      <alignment horizontal="center" vertical="center"/>
    </xf>
    <xf numFmtId="0" fontId="49" fillId="0" borderId="0" xfId="1" applyFont="1" applyFill="1" applyBorder="1" applyAlignment="1">
      <alignment horizontal="center" vertical="center"/>
    </xf>
    <xf numFmtId="0" fontId="1" fillId="13" borderId="12" xfId="1" applyFill="1" applyBorder="1"/>
    <xf numFmtId="0" fontId="1" fillId="13" borderId="37" xfId="1" applyFill="1" applyBorder="1"/>
    <xf numFmtId="0" fontId="0" fillId="0" borderId="0" xfId="0" applyNumberFormat="1"/>
    <xf numFmtId="171" fontId="1" fillId="13" borderId="0" xfId="10" applyNumberFormat="1" applyFill="1" applyBorder="1" applyProtection="1"/>
    <xf numFmtId="0" fontId="1" fillId="0" borderId="53" xfId="1" applyBorder="1" applyAlignment="1" applyProtection="1">
      <alignment horizontal="center"/>
      <protection locked="0"/>
    </xf>
    <xf numFmtId="0" fontId="1" fillId="12" borderId="52" xfId="1" applyFill="1" applyBorder="1" applyAlignment="1">
      <alignment horizontal="center" vertical="center" wrapText="1"/>
    </xf>
  </cellXfs>
  <cellStyles count="11">
    <cellStyle name="Euro" xfId="2" xr:uid="{A85B7523-541F-4682-B450-32AF19478C71}"/>
    <cellStyle name="Euro 2" xfId="4" xr:uid="{EFA66519-E8D6-4DE1-818A-5A688E479C1E}"/>
    <cellStyle name="Lien hypertexte" xfId="6" builtinId="8"/>
    <cellStyle name="Monétaire" xfId="5" builtinId="4"/>
    <cellStyle name="Monétaire 2" xfId="10" xr:uid="{89FFCF0C-655F-402E-81EA-5736D38C40A8}"/>
    <cellStyle name="Normal" xfId="0" builtinId="0"/>
    <cellStyle name="Normal 2" xfId="1" xr:uid="{0A419CD2-2AB4-4DCF-8892-B209F5332F41}"/>
    <cellStyle name="Normal 3" xfId="3" xr:uid="{7E3D5ED0-2488-4E89-B9F7-93C63BE0AB1F}"/>
    <cellStyle name="Normal 4" xfId="7" xr:uid="{7F8BC0FF-54AE-4F03-86E8-8657737299A0}"/>
    <cellStyle name="Pourcentage" xfId="8" builtinId="5"/>
    <cellStyle name="Pourcentage 2" xfId="9" xr:uid="{3CD34791-B0C2-47D4-82C7-74C51380B5E1}"/>
  </cellStyles>
  <dxfs count="17">
    <dxf>
      <numFmt numFmtId="19" formatCode="dd/mm/yyyy"/>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General&quot;   &quot;"/>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8" formatCode="General&quot;   &quot;"/>
      <fill>
        <patternFill patternType="none">
          <fgColor indexed="64"/>
          <bgColor auto="1"/>
        </patternFill>
      </fill>
      <alignment horizontal="left" vertical="bottom" textRotation="0" wrapText="0" indent="0" justifyLastLine="0" shrinkToFit="0" readingOrder="0"/>
    </dxf>
  </dxfs>
  <tableStyles count="0" defaultTableStyle="TableStyleMedium2" defaultPivotStyle="PivotStyleLight16"/>
  <colors>
    <mruColors>
      <color rgb="FFA9AEBD"/>
      <color rgb="FFD5D6E8"/>
      <color rgb="FFC73B28"/>
      <color rgb="FF2A38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581025</xdr:colOff>
          <xdr:row>1</xdr:row>
          <xdr:rowOff>9525</xdr:rowOff>
        </xdr:from>
        <xdr:to>
          <xdr:col>33</xdr:col>
          <xdr:colOff>133350</xdr:colOff>
          <xdr:row>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dossier complet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6</xdr:row>
          <xdr:rowOff>161925</xdr:rowOff>
        </xdr:from>
        <xdr:to>
          <xdr:col>33</xdr:col>
          <xdr:colOff>133350</xdr:colOff>
          <xdr:row>8</xdr:row>
          <xdr:rowOff>133350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Imprimer le </a:t>
              </a:r>
            </a:p>
            <a:p>
              <a:pPr algn="ctr" rtl="0">
                <a:defRPr sz="1000"/>
              </a:pPr>
              <a:r>
                <a:rPr lang="fr-FR" sz="1000" b="0" i="0" u="none" strike="noStrike" baseline="0">
                  <a:solidFill>
                    <a:srgbClr val="000000"/>
                  </a:solidFill>
                  <a:latin typeface="Calibri"/>
                  <a:cs typeface="Calibri"/>
                </a:rPr>
                <a:t>PV de réception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11</xdr:row>
          <xdr:rowOff>180975</xdr:rowOff>
        </xdr:from>
        <xdr:to>
          <xdr:col>33</xdr:col>
          <xdr:colOff>133350</xdr:colOff>
          <xdr:row>13</xdr:row>
          <xdr:rowOff>142875</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4</xdr:row>
          <xdr:rowOff>0</xdr:rowOff>
        </xdr:from>
        <xdr:to>
          <xdr:col>33</xdr:col>
          <xdr:colOff>133350</xdr:colOff>
          <xdr:row>6</xdr:row>
          <xdr:rowOff>19050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Imprimer la</a:t>
              </a:r>
            </a:p>
            <a:p>
              <a:pPr algn="ctr" rtl="0">
                <a:defRPr sz="1000"/>
              </a:pPr>
              <a:r>
                <a:rPr lang="fr-FR" sz="1000" b="0" i="0" u="none" strike="noStrike" baseline="0">
                  <a:solidFill>
                    <a:srgbClr val="000000"/>
                  </a:solidFill>
                  <a:latin typeface="Calibri"/>
                  <a:cs typeface="Calibri"/>
                </a:rPr>
                <a:t>Page de garde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581025</xdr:colOff>
          <xdr:row>9</xdr:row>
          <xdr:rowOff>76200</xdr:rowOff>
        </xdr:from>
        <xdr:to>
          <xdr:col>33</xdr:col>
          <xdr:colOff>133350</xdr:colOff>
          <xdr:row>11</xdr:row>
          <xdr:rowOff>38100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Remplir la</a:t>
              </a:r>
            </a:p>
            <a:p>
              <a:pPr algn="ctr" rtl="0">
                <a:defRPr sz="1000"/>
              </a:pPr>
              <a:r>
                <a:rPr lang="fr-FR" sz="1000" b="0" i="0" u="none" strike="noStrike" baseline="0">
                  <a:solidFill>
                    <a:srgbClr val="000000"/>
                  </a:solidFill>
                  <a:latin typeface="Calibri"/>
                  <a:cs typeface="Calibri"/>
                </a:rPr>
                <a:t>Mise en service</a:t>
              </a:r>
            </a:p>
          </xdr:txBody>
        </xdr:sp>
        <xdr:clientData fPrintsWithSheet="0"/>
      </xdr:twoCellAnchor>
    </mc:Choice>
    <mc:Fallback/>
  </mc:AlternateContent>
  <xdr:twoCellAnchor editAs="oneCell">
    <xdr:from>
      <xdr:col>2</xdr:col>
      <xdr:colOff>0</xdr:colOff>
      <xdr:row>0</xdr:row>
      <xdr:rowOff>0</xdr:rowOff>
    </xdr:from>
    <xdr:to>
      <xdr:col>12</xdr:col>
      <xdr:colOff>132365</xdr:colOff>
      <xdr:row>3</xdr:row>
      <xdr:rowOff>167509</xdr:rowOff>
    </xdr:to>
    <xdr:pic>
      <xdr:nvPicPr>
        <xdr:cNvPr id="8" name="Imag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3552"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31</xdr:col>
          <xdr:colOff>579559</xdr:colOff>
          <xdr:row>14</xdr:row>
          <xdr:rowOff>38100</xdr:rowOff>
        </xdr:from>
        <xdr:to>
          <xdr:col>33</xdr:col>
          <xdr:colOff>337038</xdr:colOff>
          <xdr:row>16</xdr:row>
          <xdr:rowOff>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BA7DD853-F68C-83D8-AABE-8A2E782A34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Protéger les feuilles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586886</xdr:colOff>
          <xdr:row>16</xdr:row>
          <xdr:rowOff>117230</xdr:rowOff>
        </xdr:from>
        <xdr:to>
          <xdr:col>33</xdr:col>
          <xdr:colOff>339236</xdr:colOff>
          <xdr:row>18</xdr:row>
          <xdr:rowOff>79130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7D14AD09-C9F3-DE83-3072-F53433512E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Déprotéger les feuilles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219074</xdr:colOff>
      <xdr:row>0</xdr:row>
      <xdr:rowOff>0</xdr:rowOff>
    </xdr:from>
    <xdr:to>
      <xdr:col>14</xdr:col>
      <xdr:colOff>209549</xdr:colOff>
      <xdr:row>3</xdr:row>
      <xdr:rowOff>152400</xdr:rowOff>
    </xdr:to>
    <xdr:pic>
      <xdr:nvPicPr>
        <xdr:cNvPr id="2" name="Imag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212481</xdr:colOff>
      <xdr:row>0</xdr:row>
      <xdr:rowOff>7327</xdr:rowOff>
    </xdr:from>
    <xdr:to>
      <xdr:col>16</xdr:col>
      <xdr:colOff>205887</xdr:colOff>
      <xdr:row>4</xdr:row>
      <xdr:rowOff>0</xdr:rowOff>
    </xdr:to>
    <xdr:pic>
      <xdr:nvPicPr>
        <xdr:cNvPr id="5" name="Imag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1135" y="7327"/>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180975</xdr:colOff>
          <xdr:row>3</xdr:row>
          <xdr:rowOff>85725</xdr:rowOff>
        </xdr:from>
        <xdr:to>
          <xdr:col>49</xdr:col>
          <xdr:colOff>161925</xdr:colOff>
          <xdr:row>5</xdr:row>
          <xdr:rowOff>104775</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0" i="0" u="none" strike="noStrike" baseline="0">
                  <a:solidFill>
                    <a:srgbClr val="000000"/>
                  </a:solidFill>
                  <a:latin typeface="Calibri"/>
                  <a:cs typeface="Calibri"/>
                </a:rPr>
                <a:t>Mettre à jour le PV de mise en service</a:t>
              </a:r>
            </a:p>
          </xdr:txBody>
        </xdr:sp>
        <xdr:clientData fPrintsWithSheet="0"/>
      </xdr:twoCellAnchor>
    </mc:Choice>
    <mc:Fallback/>
  </mc:AlternateContent>
  <xdr:twoCellAnchor editAs="oneCell">
    <xdr:from>
      <xdr:col>8</xdr:col>
      <xdr:colOff>0</xdr:colOff>
      <xdr:row>0</xdr:row>
      <xdr:rowOff>0</xdr:rowOff>
    </xdr:from>
    <xdr:to>
      <xdr:col>17</xdr:col>
      <xdr:colOff>0</xdr:colOff>
      <xdr:row>3</xdr:row>
      <xdr:rowOff>152400</xdr:rowOff>
    </xdr:to>
    <xdr:pic>
      <xdr:nvPicPr>
        <xdr:cNvPr id="4" name="Imag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52600"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0</xdr:row>
      <xdr:rowOff>19050</xdr:rowOff>
    </xdr:from>
    <xdr:to>
      <xdr:col>12</xdr:col>
      <xdr:colOff>0</xdr:colOff>
      <xdr:row>4</xdr:row>
      <xdr:rowOff>0</xdr:rowOff>
    </xdr:to>
    <xdr:pic>
      <xdr:nvPicPr>
        <xdr:cNvPr id="3" name="Imag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1905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3" name="Imag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37</xdr:col>
          <xdr:colOff>571500</xdr:colOff>
          <xdr:row>17</xdr:row>
          <xdr:rowOff>95250</xdr:rowOff>
        </xdr:from>
        <xdr:to>
          <xdr:col>40</xdr:col>
          <xdr:colOff>466725</xdr:colOff>
          <xdr:row>19</xdr:row>
          <xdr:rowOff>133350</xdr:rowOff>
        </xdr:to>
        <xdr:sp macro="" textlink="">
          <xdr:nvSpPr>
            <xdr:cNvPr id="126999" name="Button 23" hidden="1">
              <a:extLst>
                <a:ext uri="{63B3BB69-23CF-44E3-9099-C40C66FF867C}">
                  <a14:compatExt spid="_x0000_s126999"/>
                </a:ext>
                <a:ext uri="{FF2B5EF4-FFF2-40B4-BE49-F238E27FC236}">
                  <a16:creationId xmlns:a16="http://schemas.microsoft.com/office/drawing/2014/main" id="{00000000-0008-0000-0700-000017F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Remettre les formules pour les adresses.</a:t>
              </a:r>
            </a:p>
            <a:p>
              <a:pPr algn="ctr" rtl="0">
                <a:defRPr sz="1000"/>
              </a:pPr>
              <a:r>
                <a:rPr lang="fr-FR" sz="1100" b="0" i="0" u="none" strike="noStrike" baseline="0">
                  <a:solidFill>
                    <a:srgbClr val="000000"/>
                  </a:solidFill>
                  <a:latin typeface="Calibri"/>
                  <a:cs typeface="Calibri"/>
                </a:rPr>
                <a:t>/!\ Ecrase les valeurs saisie en dur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219074</xdr:colOff>
      <xdr:row>0</xdr:row>
      <xdr:rowOff>0</xdr:rowOff>
    </xdr:from>
    <xdr:to>
      <xdr:col>11</xdr:col>
      <xdr:colOff>219074</xdr:colOff>
      <xdr:row>3</xdr:row>
      <xdr:rowOff>152400</xdr:rowOff>
    </xdr:to>
    <xdr:pic>
      <xdr:nvPicPr>
        <xdr:cNvPr id="2" name="Imag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4"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15</xdr:col>
      <xdr:colOff>14655</xdr:colOff>
      <xdr:row>0</xdr:row>
      <xdr:rowOff>124047</xdr:rowOff>
    </xdr:from>
    <xdr:to>
      <xdr:col>17</xdr:col>
      <xdr:colOff>241599</xdr:colOff>
      <xdr:row>0</xdr:row>
      <xdr:rowOff>361486</xdr:rowOff>
    </xdr:to>
    <xdr:pic>
      <xdr:nvPicPr>
        <xdr:cNvPr id="2" name="Imag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741829" y="124047"/>
          <a:ext cx="723900" cy="237439"/>
        </a:xfrm>
        <a:prstGeom prst="rect">
          <a:avLst/>
        </a:prstGeom>
      </xdr:spPr>
    </xdr:pic>
    <xdr:clientData/>
  </xdr:twoCellAnchor>
  <xdr:twoCellAnchor editAs="oneCell">
    <xdr:from>
      <xdr:col>21</xdr:col>
      <xdr:colOff>181729</xdr:colOff>
      <xdr:row>7</xdr:row>
      <xdr:rowOff>28486</xdr:rowOff>
    </xdr:from>
    <xdr:to>
      <xdr:col>29</xdr:col>
      <xdr:colOff>101536</xdr:colOff>
      <xdr:row>12</xdr:row>
      <xdr:rowOff>66261</xdr:rowOff>
    </xdr:to>
    <xdr:pic>
      <xdr:nvPicPr>
        <xdr:cNvPr id="5" name="Imag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399772" y="2024595"/>
          <a:ext cx="1907634" cy="1280166"/>
        </a:xfrm>
        <a:prstGeom prst="rect">
          <a:avLst/>
        </a:prstGeom>
      </xdr:spPr>
    </xdr:pic>
    <xdr:clientData/>
  </xdr:twoCellAnchor>
  <xdr:oneCellAnchor>
    <xdr:from>
      <xdr:col>21</xdr:col>
      <xdr:colOff>181729</xdr:colOff>
      <xdr:row>23</xdr:row>
      <xdr:rowOff>28486</xdr:rowOff>
    </xdr:from>
    <xdr:ext cx="1895293" cy="1271884"/>
    <xdr:pic>
      <xdr:nvPicPr>
        <xdr:cNvPr id="11" name="Image 10">
          <a:extLst>
            <a:ext uri="{FF2B5EF4-FFF2-40B4-BE49-F238E27FC236}">
              <a16:creationId xmlns:a16="http://schemas.microsoft.com/office/drawing/2014/main" id="{00000000-0008-0000-0900-00000B000000}"/>
            </a:ext>
          </a:extLst>
        </xdr:cNvPr>
        <xdr:cNvPicPr>
          <a:picLocks noChangeAspect="1"/>
        </xdr:cNvPicPr>
      </xdr:nvPicPr>
      <xdr:blipFill>
        <a:blip xmlns:r="http://schemas.openxmlformats.org/officeDocument/2006/relationships" r:embed="rId2"/>
        <a:stretch>
          <a:fillRect/>
        </a:stretch>
      </xdr:blipFill>
      <xdr:spPr>
        <a:xfrm>
          <a:off x="5399772" y="6464073"/>
          <a:ext cx="1895293" cy="1271884"/>
        </a:xfrm>
        <a:prstGeom prst="rect">
          <a:avLst/>
        </a:prstGeom>
      </xdr:spPr>
    </xdr:pic>
    <xdr:clientData/>
  </xdr:oneCellAnchor>
  <xdr:oneCellAnchor>
    <xdr:from>
      <xdr:col>21</xdr:col>
      <xdr:colOff>181729</xdr:colOff>
      <xdr:row>39</xdr:row>
      <xdr:rowOff>28486</xdr:rowOff>
    </xdr:from>
    <xdr:ext cx="1981688" cy="1329862"/>
    <xdr:pic>
      <xdr:nvPicPr>
        <xdr:cNvPr id="12" name="Imag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2"/>
        <a:stretch>
          <a:fillRect/>
        </a:stretch>
      </xdr:blipFill>
      <xdr:spPr>
        <a:xfrm>
          <a:off x="5399772" y="10837290"/>
          <a:ext cx="1981688" cy="1329862"/>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2" name="Imag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0</xdr:colOff>
      <xdr:row>3</xdr:row>
      <xdr:rowOff>152400</xdr:rowOff>
    </xdr:to>
    <xdr:pic>
      <xdr:nvPicPr>
        <xdr:cNvPr id="3" name="Imag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7225" y="0"/>
          <a:ext cx="1971675" cy="66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homas MATHIEU" id="{5014EF73-2909-4417-9FA9-05433BFD6A68}" userId="S::thomat@airflux.fr::dbe6166f-939d-4539-b51a-931ef9e870d3"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BABD4F03-D7D0-49E7-9D7C-C0BC406386C4}" autoFormatId="16" applyNumberFormats="0" applyBorderFormats="0" applyFontFormats="0" applyPatternFormats="0" applyAlignmentFormats="0" applyWidthHeightFormats="0">
  <queryTableRefresh nextId="5">
    <queryTableFields count="4">
      <queryTableField id="1" name="Code" tableColumnId="1"/>
      <queryTableField id="2" name="Désignation" tableColumnId="2"/>
      <queryTableField id="3" name="PA Net + 10%" tableColumnId="3"/>
      <queryTableField id="4" name="Date" tableColumnId="4"/>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18A8A8F-301E-4640-B4B4-A0274F073CD4}" name="Equivalence" displayName="Equivalence" ref="A2:M67" totalsRowShown="0" headerRowDxfId="7" headerRowCellStyle="Normal 2" dataCellStyle="Normal 2">
  <autoFilter ref="A2:M67" xr:uid="{CAF6D61C-8702-4F74-83C6-F1DAFB838726}"/>
  <tableColumns count="13">
    <tableColumn id="3" xr3:uid="{B9AD0C3E-761B-4B11-BCFE-6F074079DE40}" name="Numéro" dataCellStyle="Normal 2"/>
    <tableColumn id="1" xr3:uid="{A044A541-0B28-49BD-9C7A-66645507986D}" name="Catégorie" dataCellStyle="Normal 2"/>
    <tableColumn id="2" xr3:uid="{1754C4CA-239D-4B97-A4A0-AF11D5A19978}" name="Quoi" dataCellStyle="Normal 2"/>
    <tableColumn id="4" xr3:uid="{EA8197CB-9358-4F9D-84CE-E3CA3C50E6D8}" name="DN10 - Serti 15" dataCellStyle="Normal 2"/>
    <tableColumn id="5" xr3:uid="{D0383973-F66F-4666-B5C0-5278AD2657B3}" name="DN15 - Serti 18" dataDxfId="6"/>
    <tableColumn id="6" xr3:uid="{DE2018EF-ED36-451A-AFCD-17F1A047D5F2}" name="DN20 - Serti 22" dataDxfId="5"/>
    <tableColumn id="7" xr3:uid="{CC7D7A09-06EC-482E-AB7B-BF2C2FA1903A}" name="DN25 - Serti 28" dataDxfId="4"/>
    <tableColumn id="8" xr3:uid="{4CCC2914-DA83-4DD1-A1D1-B250B7C87A31}" name="DN32 - Serti 35" dataDxfId="3"/>
    <tableColumn id="9" xr3:uid="{0041D4FD-121A-4BB4-B128-0F3DB4B3409C}" name="DN40 - Serti 42" dataDxfId="2"/>
    <tableColumn id="10" xr3:uid="{756B2A3F-F259-45E9-9522-6FCC7F211EDF}" name="DN50 - Serti 54" dataCellStyle="Normal 2"/>
    <tableColumn id="11" xr3:uid="{2D1E40AE-F340-471D-8F8E-D029F17CF9D4}" name="DN65 - Serti 76" dataCellStyle="Normal 2"/>
    <tableColumn id="12" xr3:uid="{B336206B-FEF4-44E4-99EF-AD3725BC5E6F}" name="DN80 - Serti 88" dataCellStyle="Normal 2"/>
    <tableColumn id="13" xr3:uid="{2AB5802E-7A72-459E-9B57-8D88A4E25AA2}" name="DN100 - Serti 108"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BEF46B3-EE8E-48AE-A0B9-B2AD563ECA69}" name="Taille_Tuyau" displayName="Taille_Tuyau" ref="AE2:AK12" totalsRowShown="0" headerRowDxfId="9" dataDxfId="8" headerRowCellStyle="Normal 2">
  <autoFilter ref="AE2:AK12" xr:uid="{EBEF46B3-EE8E-48AE-A0B9-B2AD563ECA69}"/>
  <tableColumns count="7">
    <tableColumn id="1" xr3:uid="{7B8A0E93-E169-4639-A7B7-7ECAF2699F9F}" name="DN" dataDxfId="16" dataCellStyle="Normal 2"/>
    <tableColumn id="2" xr3:uid="{3B84A960-2B83-4FC5-975D-73F84BE6B0B7}" name="Diam" dataDxfId="15" dataCellStyle="Normal 2"/>
    <tableColumn id="3" xr3:uid="{240C63E6-227D-49C4-8990-405735FE1E4C}" name="Diam ext" dataDxfId="14" dataCellStyle="Normal 2"/>
    <tableColumn id="4" xr3:uid="{D0F44FB8-8659-4023-874A-D1282B2C75E0}" name="Epaisseur" dataDxfId="13"/>
    <tableColumn id="5" xr3:uid="{DF67788D-3151-4828-B7D5-9B93F023EB76}" name="D int" dataDxfId="12">
      <calculatedColumnFormula>AG3-AH3*2</calculatedColumnFormula>
    </tableColumn>
    <tableColumn id="6" xr3:uid="{7596D9CE-E8BD-4FDE-B322-60A87D2BE52E}" name="Volume L/m" dataDxfId="11"/>
    <tableColumn id="7" xr3:uid="{16132450-1C03-4DE3-AC1B-99E0EECDA860}" name="Poids (kg/m)" dataDxfId="1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C3C04C-8B0E-4D3B-9B77-86D3926F5A4E}" name="BasePrix" displayName="BasePrix" ref="A1:D2671" tableType="queryTable" totalsRowShown="0">
  <autoFilter ref="A1:D2671" xr:uid="{D8C3C04C-8B0E-4D3B-9B77-86D3926F5A4E}"/>
  <tableColumns count="4">
    <tableColumn id="1" xr3:uid="{26590A5D-2E03-4DFC-9C1A-D2962F82E55C}" uniqueName="1" name="Code" queryTableFieldId="1"/>
    <tableColumn id="2" xr3:uid="{6D03EA08-FFA0-4BD8-8BA5-C1E5D95CFFF0}" uniqueName="2" name="Désignation" queryTableFieldId="2" dataDxfId="1"/>
    <tableColumn id="3" xr3:uid="{8CE15E77-3630-40A7-A02B-A2DE7731AC4F}" uniqueName="3" name="PA Net + 10%" queryTableFieldId="3"/>
    <tableColumn id="4" xr3:uid="{470690FF-B577-44C5-A0A1-6B557C52990B}" uniqueName="4" name="Date" queryTableFieldId="4" dataDxfId="0"/>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U5" dT="2021-06-14T13:59:13.68" personId="{5014EF73-2909-4417-9FA9-05433BFD6A68}" id="{48C73C8D-1253-4C6F-A7C7-649B41B05606}">
    <text>Nom du client</text>
  </threadedComment>
  <threadedComment ref="U6" dT="2021-11-03T15:32:48.03" personId="{5014EF73-2909-4417-9FA9-05433BFD6A68}" id="{64CCCCB4-110E-4364-AC87-14F3E016284B}">
    <text>Numéro de devis Divalto ou devis Commercial pour suivi.</text>
  </threadedComment>
  <threadedComment ref="U7" dT="2021-06-14T13:59:25.61" personId="{5014EF73-2909-4417-9FA9-05433BFD6A68}" id="{C2CBF009-C811-4A5D-9186-7E3C6F80F7F3}">
    <text>Code C00xxxxx.
Si nouveau client, le signaler et préparer la fiche d'ouverture de compte client.</text>
  </threadedComment>
  <threadedComment ref="U8" dT="2021-06-14T13:59:36.52" personId="{5014EF73-2909-4417-9FA9-05433BFD6A68}" id="{92DBBE1E-C677-409C-9E05-4FEE316BAAE9}">
    <text>Numéro d'affaire 08xxxxxx</text>
  </threadedComment>
  <threadedComment ref="U9" dT="2021-06-17T06:55:04.15" personId="{5014EF73-2909-4417-9FA9-05433BFD6A68}" id="{7C187831-69F8-4D06-ACD2-BBE2992DAE4E}">
    <text>Code à 5 chiffres</text>
  </threadedComment>
  <threadedComment ref="A15" dT="2021-06-14T14:00:11.39" personId="{5014EF73-2909-4417-9FA9-05433BFD6A68}" id="{2EA74019-405E-4B96-891F-FF0570F04C05}">
    <text>Seulement si différent de l'adresse ci-dessus</text>
  </threadedComment>
  <threadedComment ref="P15" dT="2021-06-14T14:00:15.56" personId="{5014EF73-2909-4417-9FA9-05433BFD6A68}" id="{C2F5DD17-898D-4F24-AD1F-37479881DA2F}">
    <text>Seulement si différent de l'adresse ci-dessus</text>
  </threadedComment>
  <threadedComment ref="A23" dT="2021-06-14T14:02:33.94" personId="{5014EF73-2909-4417-9FA9-05433BFD6A68}" id="{BDF96282-D2FD-42F6-ABBD-3D3705A26D4C}">
    <text>Termes de paiement négociés avec le client</text>
  </threadedComment>
  <threadedComment ref="A24" dT="2021-06-14T14:00:43.21" personId="{5014EF73-2909-4417-9FA9-05433BFD6A68}" id="{9C49EE9D-3C2B-4E2C-9A1D-21E66E757B78}">
    <text>Nom du projet chez le client</text>
  </threadedComment>
  <threadedComment ref="A25" dT="2021-06-14T14:02:33.94" personId="{5014EF73-2909-4417-9FA9-05433BFD6A68}" id="{B041169B-34D2-46B9-91D6-D2E1318FDF35}">
    <text>Termes de paiement négociés avec le client</text>
  </threadedComment>
  <threadedComment ref="A26" dT="2021-06-14T14:00:43.21" personId="{5014EF73-2909-4417-9FA9-05433BFD6A68}" id="{D40CFF7E-5314-4265-AAF2-60FF8FC141BD}">
    <text>Nom du projet chez le client</text>
  </threadedComment>
  <threadedComment ref="A27" dT="2021-06-14T14:02:33.94" personId="{5014EF73-2909-4417-9FA9-05433BFD6A68}" id="{37DFBFC8-90D5-4386-8802-40CC3E3ECD01}">
    <text>Termes de paiement négociés avec le client</text>
  </threadedComment>
  <threadedComment ref="A28" dT="2021-06-14T14:00:43.21" personId="{5014EF73-2909-4417-9FA9-05433BFD6A68}" id="{D8720C31-FB82-403D-BD51-F2BC9CF5EA31}">
    <text>Nom du projet chez le client</text>
  </threadedComment>
  <threadedComment ref="G32" dT="2021-06-14T14:01:10.34" personId="{5014EF73-2909-4417-9FA9-05433BFD6A68}" id="{E5013C39-AA30-475D-AD63-8BA5EA559AE6}">
    <text>Numéro du devis divalto si existant ou statut du devis.</text>
  </threadedComment>
  <threadedComment ref="G33" dT="2021-06-14T14:01:21.62" personId="{5014EF73-2909-4417-9FA9-05433BFD6A68}" id="{598D800A-983B-4E29-8FA4-823C288F5C68}">
    <text>Estimation de la durée du chantier en jh</text>
  </threadedComment>
  <threadedComment ref="G34" dT="2021-06-14T14:01:32.92" personId="{5014EF73-2909-4417-9FA9-05433BFD6A68}" id="{D74F6FB1-DE6E-482C-A7BB-D9DD9EEA7E8F}">
    <text>Date de démarrage en production souhaité par le client.</text>
  </threadedComment>
  <threadedComment ref="V34" dT="2021-06-14T14:02:11.94" personId="{5014EF73-2909-4417-9FA9-05433BFD6A68}" id="{DFEF150F-BB49-42D2-9B42-9622AA4EE2C6}">
    <text>Montant total du projet HT</text>
  </threadedComment>
  <threadedComment ref="G35" dT="2021-06-14T14:01:54.10" personId="{5014EF73-2909-4417-9FA9-05433BFD6A68}" id="{752AE5D6-82B4-418B-8E15-E4573F2DCBEF}">
    <text>Valitation d'un représentannt BE</text>
  </threadedComment>
  <threadedComment ref="V35" dT="2021-06-14T14:02:04.62" personId="{5014EF73-2909-4417-9FA9-05433BFD6A68}" id="{144A290E-FE08-478D-B309-506E4F794B99}">
    <text>Validation CVR avant la rédaction finale de l'offre.</text>
  </threadedComment>
  <threadedComment ref="A39" dT="2021-06-14T14:02:33.94" personId="{5014EF73-2909-4417-9FA9-05433BFD6A68}" id="{C922B554-DBCE-4A6B-BA88-27DBF2F38F86}">
    <text>Termes de paiement négociés avec le client</text>
  </threadedComment>
  <threadedComment ref="P39" dT="2021-06-14T14:03:48.05" personId="{5014EF73-2909-4417-9FA9-05433BFD6A68}" id="{04C5BCC5-CC58-4788-ACA7-676BB5205C7E}">
    <text>Vérification à faire par Mélanie pour la SFAC, négociation avec la compta (Catherine).</text>
  </threadedComment>
  <threadedComment ref="F45" dT="2021-06-14T14:04:09.68" personId="{5014EF73-2909-4417-9FA9-05433BFD6A68}" id="{E7960981-4AF6-45FE-878F-B0DEE61782D5}">
    <text>Si organisme de financement, merci de mettre le nom.</text>
  </threadedComment>
  <threadedComment ref="F46" dT="2021-06-14T14:04:19.66" personId="{5014EF73-2909-4417-9FA9-05433BFD6A68}" id="{B6764F61-1F84-49CD-B908-87C702877381}">
    <text>Montant de la prime CEE</text>
  </threadedComment>
  <threadedComment ref="F47" dT="2021-06-14T14:04:46.39" personId="{5014EF73-2909-4417-9FA9-05433BFD6A68}" id="{23A8131E-B157-427A-A81A-5715DB43AEC1}">
    <text>Organisme de financement CEE</text>
  </threadedComment>
  <threadedComment ref="V47" dT="2021-06-17T06:57:06.08" personId="{5014EF73-2909-4417-9FA9-05433BFD6A68}" id="{5EC8D3F3-C638-493F-8ED4-5FD323030CB8}">
    <text>Validation du CVR / DR / Compta selon le cas.</text>
  </threadedComment>
  <threadedComment ref="F48" dT="2021-06-14T14:04:59.79" personId="{5014EF73-2909-4417-9FA9-05433BFD6A68}" id="{5AACEB12-3E98-463A-8AB3-5EE40E9A6251}">
    <text>Versement de la prime au client ou Airflux</text>
  </threadedComment>
  <threadedComment ref="A49" dT="2021-06-14T14:02:33.94" personId="{5014EF73-2909-4417-9FA9-05433BFD6A68}" id="{A82E2DE9-05E6-4BA6-995C-CBA84DAAF0CF}">
    <text>Termes de paiement négociés avec le client</text>
  </threadedComment>
  <threadedComment ref="A64" dT="2021-06-14T14:09:35.25" personId="{5014EF73-2909-4417-9FA9-05433BFD6A68}" id="{085F5364-2496-413B-8A86-087BA1A1D7EA}">
    <text>Merci d'ajouter tous les commentaires non prévu ci-dessus.</text>
  </threadedComment>
</ThreadedComments>
</file>

<file path=xl/threadedComments/threadedComment2.xml><?xml version="1.0" encoding="utf-8"?>
<ThreadedComments xmlns="http://schemas.microsoft.com/office/spreadsheetml/2018/threadedcomments" xmlns:x="http://schemas.openxmlformats.org/spreadsheetml/2006/main">
  <threadedComment ref="Y5" dT="2021-06-14T13:59:13.68" personId="{5014EF73-2909-4417-9FA9-05433BFD6A68}" id="{597034F6-F48E-4876-9FEB-68A171EF3A2F}">
    <text>Nom du client</text>
  </threadedComment>
  <threadedComment ref="Y6" dT="2021-11-03T15:32:48.03" personId="{5014EF73-2909-4417-9FA9-05433BFD6A68}" id="{4166572D-7958-4817-BB63-51D8B6AE692B}">
    <text>Numéro de devis Divalto ou devis Commercial pour suivi.</text>
  </threadedComment>
  <threadedComment ref="Y7" dT="2021-06-14T13:59:25.61" personId="{5014EF73-2909-4417-9FA9-05433BFD6A68}" id="{53DDD482-FE01-4C3B-9BC0-2BFE5FBB1F44}">
    <text>Code C00xxxxx.
Si nouveau client, le signaler et préparer la fiche d'ouverture de compte client.</text>
  </threadedComment>
  <threadedComment ref="Y8" dT="2021-06-14T13:59:36.52" personId="{5014EF73-2909-4417-9FA9-05433BFD6A68}" id="{44A20BEC-F8CA-42D4-8D43-E408EBDB27E5}">
    <text>Numéro d'affaire 08xxxxxx</text>
  </threadedComment>
  <threadedComment ref="Y9" dT="2021-06-17T06:55:04.15" personId="{5014EF73-2909-4417-9FA9-05433BFD6A68}" id="{8F9C13F7-0901-437D-931F-E5DC25322847}">
    <text>Code à 5 chiffres</text>
  </threadedComment>
  <threadedComment ref="T107" dT="2022-01-31T09:35:24.93" personId="{5014EF73-2909-4417-9FA9-05433BFD6A68}" id="{4C30EF6F-C462-4C52-BAB2-4A855901302A}">
    <text>Total des PV (Colonnes AH-AJ)</text>
  </threadedComment>
  <threadedComment ref="T108" dT="2022-01-31T09:36:59.77" personId="{5014EF73-2909-4417-9FA9-05433BFD6A68}" id="{30CCB22C-4D81-45D0-8F7E-6C2854247CA8}">
    <text>Montant de la vente</text>
  </threadedComment>
  <threadedComment ref="T109" dT="2022-01-31T09:36:26.75" personId="{5014EF73-2909-4417-9FA9-05433BFD6A68}" id="{EA7354F8-48D8-4BD2-A90B-3EA02F3E1299}">
    <text>Total PA (Colonnes AB-AD)</text>
  </threadedComment>
</ThreadedComments>
</file>

<file path=xl/threadedComments/threadedComment3.xml><?xml version="1.0" encoding="utf-8"?>
<ThreadedComments xmlns="http://schemas.microsoft.com/office/spreadsheetml/2018/threadedcomments" xmlns:x="http://schemas.openxmlformats.org/spreadsheetml/2006/main">
  <threadedComment ref="Z5" dT="2021-06-14T13:59:13.68" personId="{5014EF73-2909-4417-9FA9-05433BFD6A68}" id="{7A82EA3B-A85E-4E47-86C1-23D32228F528}">
    <text>Nom du client</text>
  </threadedComment>
  <threadedComment ref="Z6" dT="2021-11-03T15:32:48.03" personId="{5014EF73-2909-4417-9FA9-05433BFD6A68}" id="{CD7AB528-EFBD-40F1-A0AF-F93122160E2C}">
    <text>Numéro de devis Divalto ou devis Commercial pour suivi.</text>
  </threadedComment>
  <threadedComment ref="Z7" dT="2021-06-14T13:59:25.61" personId="{5014EF73-2909-4417-9FA9-05433BFD6A68}" id="{D20E56BD-CFDC-4B71-9120-BD2913CE0874}">
    <text>Code C00xxxxx.
Si nouveau client, le signaler et préparer la fiche d'ouverture de compte client.</text>
  </threadedComment>
  <threadedComment ref="Z8" dT="2021-06-14T13:59:36.52" personId="{5014EF73-2909-4417-9FA9-05433BFD6A68}" id="{4EB3E86E-0AD6-450A-8447-362254C7B9BA}">
    <text>Numéro d'affaire 08xxxxxx</text>
  </threadedComment>
  <threadedComment ref="Z9" dT="2021-06-17T06:55:04.15" personId="{5014EF73-2909-4417-9FA9-05433BFD6A68}" id="{FC2EA202-4258-4D0B-95D4-B7D9DF4BBC74}">
    <text>Code à 5 chiffres</text>
  </threadedComment>
  <threadedComment ref="F11" dT="2021-06-14T15:31:36.35" personId="{5014EF73-2909-4417-9FA9-05433BFD6A68}" id="{51CD7C1A-D9D6-441F-8456-C254721DF0AF}">
    <text>Fiche de Jérémy Versari</text>
  </threadedComment>
  <threadedComment ref="H28" dT="2021-06-14T14:06:26.61" personId="{5014EF73-2909-4417-9FA9-05433BFD6A68}" id="{5FF64506-2862-41F9-BB65-C61E6BE24290}">
    <text>Indiquer les matériels exitants à supprimier réutiliser et les matériels determinés à ajouter.</text>
  </threadedComment>
  <threadedComment ref="AK30" dT="2021-06-21T08:35:03.04" personId="{5014EF73-2909-4417-9FA9-05433BFD6A68}" id="{C92AA76E-FFAC-4D0C-9554-E3EE11B32859}">
    <text>Diamètre de raccordement</text>
  </threadedComment>
  <threadedComment ref="O40" dT="2021-06-21T08:36:06.45" personId="{5014EF73-2909-4417-9FA9-05433BFD6A68}" id="{A96BA3DE-FAEE-41DB-93F3-2E9784E30632}">
    <text>Hauteur manomètrique Totale</text>
  </threadedComment>
</ThreadedComments>
</file>

<file path=xl/threadedComments/threadedComment4.xml><?xml version="1.0" encoding="utf-8"?>
<ThreadedComments xmlns="http://schemas.microsoft.com/office/spreadsheetml/2018/threadedcomments" xmlns:x="http://schemas.openxmlformats.org/spreadsheetml/2006/main">
  <threadedComment ref="Z5" dT="2021-06-14T13:59:13.68" personId="{5014EF73-2909-4417-9FA9-05433BFD6A68}" id="{B2B00BAB-52FA-4E30-821A-0D3BB17F33F0}">
    <text>Nom du client</text>
  </threadedComment>
  <threadedComment ref="Z6" dT="2021-11-03T15:32:48.03" personId="{5014EF73-2909-4417-9FA9-05433BFD6A68}" id="{507F88D5-81A0-4C5C-808F-D41B67B2F751}">
    <text>Numéro de devis Divalto ou devis Commercial pour suivi.</text>
  </threadedComment>
  <threadedComment ref="Z7" dT="2021-06-14T13:59:25.61" personId="{5014EF73-2909-4417-9FA9-05433BFD6A68}" id="{9040DC1D-5E16-47F9-9108-7DABE9CE7E21}">
    <text>Code C00xxxxx.
Si nouveau client, le signaler et préparer la fiche d'ouverture de compte client.</text>
  </threadedComment>
  <threadedComment ref="Z8" dT="2021-06-14T13:59:36.52" personId="{5014EF73-2909-4417-9FA9-05433BFD6A68}" id="{36396C0F-E6B4-4529-8911-17E64F163327}">
    <text>Numéro d'affaire 08xxxxxx</text>
  </threadedComment>
  <threadedComment ref="Z9" dT="2021-06-17T06:55:04.15" personId="{5014EF73-2909-4417-9FA9-05433BFD6A68}" id="{F24582F3-F04E-4399-AF93-6838597ED3BC}">
    <text>Code à 5 chiffres</text>
  </threadedComment>
  <threadedComment ref="H21" dT="2021-06-14T14:06:26.61" personId="{5014EF73-2909-4417-9FA9-05433BFD6A68}" id="{884E92FE-49CD-4522-B3C7-771771F31E46}">
    <text>Indiquer les matériels exitants à supprimier réutiliser et les matériels determinés à ajouter.</text>
  </threadedComment>
  <threadedComment ref="AK23" dT="2021-06-21T08:39:18.02" personId="{5014EF73-2909-4417-9FA9-05433BFD6A68}" id="{4326CAA7-AD2F-4FD8-B1D5-4CD89178F00D}">
    <text>Raccordement</text>
  </threadedComment>
  <threadedComment ref="V56" dT="2021-06-14T14:07:26.92" personId="{5014EF73-2909-4417-9FA9-05433BFD6A68}" id="{D66F5670-74F2-487A-97D1-7AFDD3C03A9D}">
    <text>Doit-on prévoir un retour de compresseur ? A signaler à Chantal pour le sortir de l'affaire.</text>
  </threadedComment>
  <threadedComment ref="A57" dT="2021-06-14T14:08:05.12" personId="{5014EF73-2909-4417-9FA9-05433BFD6A68}" id="{643F4ABD-DA0E-4978-8FFA-B5A78A255485}">
    <text>Etude de récup calorie à réaliser.</text>
  </threadedComment>
  <threadedComment ref="V57" dT="2021-06-14T14:07:46.65" personId="{5014EF73-2909-4417-9FA9-05433BFD6A68}" id="{879E7B15-4586-4EFC-9523-4AE60F7E32C0}">
    <text>Le cas échéant remplir la feuille de reprise pour Second'Air.</text>
  </threadedComment>
</ThreadedComments>
</file>

<file path=xl/threadedComments/threadedComment5.xml><?xml version="1.0" encoding="utf-8"?>
<ThreadedComments xmlns="http://schemas.microsoft.com/office/spreadsheetml/2018/threadedcomments" xmlns:x="http://schemas.openxmlformats.org/spreadsheetml/2006/main">
  <threadedComment ref="U5" dT="2021-06-14T13:59:13.68" personId="{5014EF73-2909-4417-9FA9-05433BFD6A68}" id="{042D53B0-6A57-47E4-B311-81283265AE69}">
    <text>Nom du client</text>
  </threadedComment>
  <threadedComment ref="U6" dT="2021-11-03T15:32:48.03" personId="{5014EF73-2909-4417-9FA9-05433BFD6A68}" id="{A3EBD57D-DEFF-4ACC-8258-2CB55E0F8EBF}">
    <text>Numéro de devis Divalto ou devis Commercial pour suivi.</text>
  </threadedComment>
  <threadedComment ref="U7" dT="2021-06-14T13:59:25.61" personId="{5014EF73-2909-4417-9FA9-05433BFD6A68}" id="{632927AB-9C81-4AA5-A6DB-AC7C0887A988}">
    <text>Code C00xxxxx.
Si nouveau client, le signaler et préparer la fiche d'ouverture de compte client.</text>
  </threadedComment>
  <threadedComment ref="U8" dT="2021-06-14T13:59:36.52" personId="{5014EF73-2909-4417-9FA9-05433BFD6A68}" id="{7FB2B523-B38B-4529-9A9D-F6C59F0BD334}">
    <text>Numéro d'affaire 08xxxxxx</text>
  </threadedComment>
  <threadedComment ref="U9" dT="2021-06-17T06:55:04.15" personId="{5014EF73-2909-4417-9FA9-05433BFD6A68}" id="{1CEF8C32-E02A-4660-B720-E9BA31BDEE03}">
    <text>Code à 5 chiffres</text>
  </threadedComment>
  <threadedComment ref="A19" dT="2021-06-17T08:15:10.28" personId="{5014EF73-2909-4417-9FA9-05433BFD6A68}" id="{8C8A688D-385C-4AAF-8248-620B2A03A222}">
    <text>Moyen d'accès en hauteur, nécessite Casses</text>
  </threadedComment>
  <threadedComment ref="A27" dT="2021-06-14T14:09:35.25" personId="{5014EF73-2909-4417-9FA9-05433BFD6A68}" id="{72CA6EED-7964-4695-A96E-97057CA327EE}">
    <text>Merci d'ajouter tous les commentaires non prévu ci-dessus.</text>
  </threadedComment>
</ThreadedComments>
</file>

<file path=xl/threadedComments/threadedComment6.xml><?xml version="1.0" encoding="utf-8"?>
<ThreadedComments xmlns="http://schemas.microsoft.com/office/spreadsheetml/2018/threadedcomments" xmlns:x="http://schemas.openxmlformats.org/spreadsheetml/2006/main">
  <threadedComment ref="U5" dT="2021-06-14T13:59:13.68" personId="{5014EF73-2909-4417-9FA9-05433BFD6A68}" id="{C45F2740-1092-4206-9E6F-764AD3274BB2}">
    <text>Nom du client</text>
  </threadedComment>
  <threadedComment ref="U6" dT="2021-11-03T15:32:48.03" personId="{5014EF73-2909-4417-9FA9-05433BFD6A68}" id="{214DA2A0-1DD7-48EC-B3C7-B858C74EA5AF}">
    <text>Numéro de devis Divalto ou devis Commercial pour suivi.</text>
  </threadedComment>
  <threadedComment ref="U7" dT="2021-06-14T13:59:25.61" personId="{5014EF73-2909-4417-9FA9-05433BFD6A68}" id="{9FB2BF58-4C21-4AD4-AD5C-A135E00914B9}">
    <text>Code C00xxxxx.
Si nouveau client, le signaler et préparer la fiche d'ouverture de compte client.</text>
  </threadedComment>
  <threadedComment ref="U8" dT="2021-06-14T13:59:36.52" personId="{5014EF73-2909-4417-9FA9-05433BFD6A68}" id="{1EF9ACAD-4994-4253-95E9-73AC2359D52D}">
    <text>Numéro d'affaire 08xxxxxx</text>
  </threadedComment>
  <threadedComment ref="U9" dT="2021-06-17T06:55:04.15" personId="{5014EF73-2909-4417-9FA9-05433BFD6A68}" id="{D771AE50-B026-4869-A2A7-5ABEC22B1520}">
    <text>Code à 5 chiffres</text>
  </threadedComment>
</ThreadedComments>
</file>

<file path=xl/threadedComments/threadedComment7.xml><?xml version="1.0" encoding="utf-8"?>
<ThreadedComments xmlns="http://schemas.microsoft.com/office/spreadsheetml/2018/threadedcomments" xmlns:x="http://schemas.openxmlformats.org/spreadsheetml/2006/main">
  <threadedComment ref="U5" dT="2021-06-14T13:59:13.68" personId="{5014EF73-2909-4417-9FA9-05433BFD6A68}" id="{89924D3F-2DD3-4C08-A65F-A4343DFB4BBA}">
    <text>Nom du client</text>
  </threadedComment>
  <threadedComment ref="U6" dT="2021-11-03T15:32:48.03" personId="{5014EF73-2909-4417-9FA9-05433BFD6A68}" id="{341B20E2-03EF-424E-8DBF-1E03D7CD14C3}">
    <text>Numéro de devis Divalto ou devis Commercial pour suivi.</text>
  </threadedComment>
  <threadedComment ref="U7" dT="2021-06-14T13:59:25.61" personId="{5014EF73-2909-4417-9FA9-05433BFD6A68}" id="{2225187F-A6F5-4A29-978F-3F72766C6804}">
    <text>Code C00xxxxx.
Si nouveau client, le signaler et préparer la fiche d'ouverture de compte client.</text>
  </threadedComment>
  <threadedComment ref="U8" dT="2021-06-14T13:59:36.52" personId="{5014EF73-2909-4417-9FA9-05433BFD6A68}" id="{BF6B29C5-1118-4AEC-B91F-3DAAA981ACBD}">
    <text>Numéro d'affaire 08xxxxxx</text>
  </threadedComment>
  <threadedComment ref="U9" dT="2021-06-17T06:55:04.15" personId="{5014EF73-2909-4417-9FA9-05433BFD6A68}" id="{D983094A-A6F4-4DED-A2A7-D1924F472BB4}">
    <text>Code à 5 chiffres</text>
  </threadedComment>
</ThreadedComments>
</file>

<file path=xl/threadedComments/threadedComment8.xml><?xml version="1.0" encoding="utf-8"?>
<ThreadedComments xmlns="http://schemas.microsoft.com/office/spreadsheetml/2018/threadedcomments" xmlns:x="http://schemas.openxmlformats.org/spreadsheetml/2006/main">
  <threadedComment ref="U5" dT="2021-06-14T13:59:13.68" personId="{5014EF73-2909-4417-9FA9-05433BFD6A68}" id="{9F845057-08D4-4EF6-A239-BF40DB8535D2}">
    <text>Nom du client</text>
  </threadedComment>
  <threadedComment ref="U6" dT="2021-11-03T15:32:48.03" personId="{5014EF73-2909-4417-9FA9-05433BFD6A68}" id="{E9BBD9AF-41A8-478F-93B6-B441B05E87DD}">
    <text>Numéro de devis Divalto ou devis Commercial pour suivi.</text>
  </threadedComment>
  <threadedComment ref="U7" dT="2021-06-14T13:59:25.61" personId="{5014EF73-2909-4417-9FA9-05433BFD6A68}" id="{8F90C4A1-CA35-464B-BFAB-CF7591A19F09}">
    <text>Code C00xxxxx.
Si nouveau client, le signaler et préparer la fiche d'ouverture de compte client.</text>
  </threadedComment>
  <threadedComment ref="U8" dT="2021-06-14T13:59:36.52" personId="{5014EF73-2909-4417-9FA9-05433BFD6A68}" id="{7400772E-CAA9-4CAD-8773-6CF1FA92E2CB}">
    <text>Numéro d'affaire 08xxxxxx</text>
  </threadedComment>
  <threadedComment ref="U9" dT="2021-06-17T06:55:04.15" personId="{5014EF73-2909-4417-9FA9-05433BFD6A68}" id="{3635A72D-B4E7-4304-99A3-ECECEF26F983}">
    <text>Code à 5 chiffres</text>
  </threadedComment>
</ThreadedComments>
</file>

<file path=xl/threadedComments/threadedComment9.xml><?xml version="1.0" encoding="utf-8"?>
<ThreadedComments xmlns="http://schemas.microsoft.com/office/spreadsheetml/2018/threadedcomments" xmlns:x="http://schemas.openxmlformats.org/spreadsheetml/2006/main">
  <threadedComment ref="U5" dT="2021-06-14T13:59:13.68" personId="{5014EF73-2909-4417-9FA9-05433BFD6A68}" id="{D94C7AF5-DC69-44D6-92FE-1A9E5B1A83A6}">
    <text>Nom du client</text>
  </threadedComment>
  <threadedComment ref="U6" dT="2021-11-03T15:32:48.03" personId="{5014EF73-2909-4417-9FA9-05433BFD6A68}" id="{78EC980D-9313-420E-BCD4-EE089263E767}">
    <text>Numéro de devis Divalto ou devis Commercial pour suivi.</text>
  </threadedComment>
  <threadedComment ref="U7" dT="2021-06-14T13:59:25.61" personId="{5014EF73-2909-4417-9FA9-05433BFD6A68}" id="{D8679B24-585B-440A-96E6-1019C3A4B6F2}">
    <text>Code C00xxxxx.
Si nouveau client, le signaler et préparer la fiche d'ouverture de compte client.</text>
  </threadedComment>
  <threadedComment ref="U8" dT="2021-06-14T13:59:36.52" personId="{5014EF73-2909-4417-9FA9-05433BFD6A68}" id="{B0BCE266-1A69-4081-ACA6-9C6AA546C620}">
    <text>Numéro d'affaire 08xxxxxx</text>
  </threadedComment>
  <threadedComment ref="U9" dT="2021-06-17T06:55:04.15" personId="{5014EF73-2909-4417-9FA9-05433BFD6A68}" id="{3F65A82F-3C6D-4495-B02C-90A0270F68F2}">
    <text>Code à 5 chiffres</text>
  </threadedComment>
</ThreadedComments>
</file>

<file path=xl/threadedComments/threadedComment10.xml><?xml version="1.0" encoding="utf-8"?>
<ThreadedComments xmlns="http://schemas.microsoft.com/office/spreadsheetml/2018/threadedcomments" xmlns:x="http://schemas.openxmlformats.org/spreadsheetml/2006/main">
  <threadedComment ref="U5" dT="2021-06-14T13:59:13.68" personId="{5014EF73-2909-4417-9FA9-05433BFD6A68}" id="{19DEE1D8-F077-49BC-9AD7-6F5735FB5588}">
    <text>Nom du client</text>
  </threadedComment>
  <threadedComment ref="U7" dT="2021-06-14T13:59:25.61" personId="{5014EF73-2909-4417-9FA9-05433BFD6A68}" id="{84A043C3-9713-4CB6-B9E0-BF69FDEA5FFC}">
    <text>Code C00xxxxx</text>
  </threadedComment>
  <threadedComment ref="U8" dT="2021-06-14T13:59:36.52" personId="{5014EF73-2909-4417-9FA9-05433BFD6A68}" id="{E4C4D689-6D02-4951-BF5E-8677C27ACBF3}">
    <text>Numéro d'affaire 08xxxxxx</text>
  </threadedComment>
  <threadedComment ref="U9" dT="2021-06-17T06:55:04.15" personId="{5014EF73-2909-4417-9FA9-05433BFD6A68}" id="{F27F9C34-FE17-4663-B343-AFF3593AE5DD}">
    <text>Code à 5 chiffres</text>
  </threadedComment>
</ThreadedComments>
</file>

<file path=xl/threadedComments/threadedComment11.xml><?xml version="1.0" encoding="utf-8"?>
<ThreadedComments xmlns="http://schemas.microsoft.com/office/spreadsheetml/2018/threadedcomments" xmlns:x="http://schemas.openxmlformats.org/spreadsheetml/2006/main">
  <threadedComment ref="U5" dT="2021-06-14T13:59:13.68" personId="{5014EF73-2909-4417-9FA9-05433BFD6A68}" id="{B2911AE8-FBCD-4118-8AE3-0AEB546C0C32}">
    <text>Nom du client</text>
  </threadedComment>
  <threadedComment ref="U7" dT="2021-06-14T13:59:25.61" personId="{5014EF73-2909-4417-9FA9-05433BFD6A68}" id="{9D79CE1D-D8A2-4E14-A1FC-71A1C63950CD}">
    <text>Code C00xxxxx</text>
  </threadedComment>
  <threadedComment ref="U8" dT="2021-06-14T13:59:36.52" personId="{5014EF73-2909-4417-9FA9-05433BFD6A68}" id="{7FA4C144-CFF0-4410-A7C1-8B093F2B554B}">
    <text>Numéro d'affaire 08xxxxxx</text>
  </threadedComment>
  <threadedComment ref="U9" dT="2021-06-17T06:55:04.15" personId="{5014EF73-2909-4417-9FA9-05433BFD6A68}" id="{3BD079C2-85B2-4A8D-B670-5BF914748160}">
    <text>Code à 5 chiffres</text>
  </threadedComment>
</ThreadedComments>
</file>

<file path=xl/threadedComments/threadedComment12.xml><?xml version="1.0" encoding="utf-8"?>
<ThreadedComments xmlns="http://schemas.microsoft.com/office/spreadsheetml/2018/threadedcomments" xmlns:x="http://schemas.openxmlformats.org/spreadsheetml/2006/main">
  <threadedComment ref="O1" dT="2022-01-12T17:20:55.76" personId="{5014EF73-2909-4417-9FA9-05433BFD6A68}" id="{E0B1C3DB-57EA-457C-B510-1BD9B61C1020}">
    <text>Ex : CDS125</text>
  </threadedComment>
  <threadedComment ref="X3" dT="2022-01-12T17:21:06.97" personId="{5014EF73-2909-4417-9FA9-05433BFD6A68}" id="{9A2D3883-5900-4EE9-A9D0-3E8F3D1477E9}">
    <text>Ex : CSDX.3</text>
  </threadedComment>
  <threadedComment ref="J4" dT="2022-01-12T17:21:26.02" personId="{5014EF73-2909-4417-9FA9-05433BFD6A68}" id="{E2A45AC3-CBC7-4294-892B-34437791BB12}">
    <text>Ex : SIGMA 37</text>
  </threadedComment>
  <threadedComment ref="J5" dT="2022-01-12T17:21:36.69" personId="{5014EF73-2909-4417-9FA9-05433BFD6A68}" id="{35D8D53A-5773-4F2F-9AC5-99DF8A09A3E4}">
    <text>Ex : UCxxxxxx</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microsoft.com/office/2017/10/relationships/threadedComment" Target="../threadedComments/threadedComment10.xml"/><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5.bin"/><Relationship Id="rId4" Type="http://schemas.microsoft.com/office/2017/10/relationships/threadedComment" Target="../threadedComments/threadedComment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3BFAF-D7DE-4B0C-8E06-E33AC72ED00B}">
  <sheetPr codeName="Feuil1">
    <tabColor theme="5" tint="0.59999389629810485"/>
    <pageSetUpPr fitToPage="1"/>
  </sheetPr>
  <dimension ref="A1:AH76"/>
  <sheetViews>
    <sheetView tabSelected="1" view="pageBreakPreview" zoomScale="130" zoomScaleNormal="130" zoomScaleSheetLayoutView="130" workbookViewId="0">
      <selection activeCell="R16" sqref="R16:AD16"/>
    </sheetView>
  </sheetViews>
  <sheetFormatPr baseColWidth="10" defaultColWidth="11.42578125" defaultRowHeight="15"/>
  <cols>
    <col min="1" max="1" width="3.7109375" customWidth="1"/>
    <col min="2" max="15" width="2.7109375" customWidth="1"/>
    <col min="16" max="16" width="3.7109375" customWidth="1"/>
    <col min="17" max="30" width="2.7109375" customWidth="1"/>
  </cols>
  <sheetData>
    <row r="1" spans="1:30" ht="12.95" customHeight="1">
      <c r="P1" s="223" t="s">
        <v>0</v>
      </c>
      <c r="Q1" s="223"/>
      <c r="R1" s="223"/>
      <c r="S1" s="223"/>
      <c r="T1" s="223"/>
      <c r="U1" s="223"/>
      <c r="V1" s="223"/>
      <c r="W1" s="223"/>
      <c r="X1" s="223"/>
      <c r="Y1" s="223"/>
      <c r="Z1" s="223"/>
      <c r="AA1" s="223"/>
      <c r="AB1" s="223"/>
      <c r="AC1" s="223"/>
      <c r="AD1" s="223"/>
    </row>
    <row r="2" spans="1:30" ht="12.95" customHeight="1">
      <c r="P2" s="224"/>
      <c r="Q2" s="224"/>
      <c r="R2" s="224"/>
      <c r="S2" s="224"/>
      <c r="T2" s="224"/>
      <c r="U2" s="224"/>
      <c r="V2" s="224"/>
      <c r="W2" s="224"/>
      <c r="X2" s="224"/>
      <c r="Y2" s="224"/>
      <c r="Z2" s="224"/>
      <c r="AA2" s="224"/>
      <c r="AB2" s="224"/>
      <c r="AC2" s="224"/>
      <c r="AD2" s="224"/>
    </row>
    <row r="3" spans="1:30" ht="14.1" customHeight="1">
      <c r="P3" s="224"/>
      <c r="Q3" s="224"/>
      <c r="R3" s="224"/>
      <c r="S3" s="224"/>
      <c r="T3" s="224"/>
      <c r="U3" s="224"/>
      <c r="V3" s="224"/>
      <c r="W3" s="224"/>
      <c r="X3" s="224"/>
      <c r="Y3" s="224"/>
      <c r="Z3" s="224"/>
      <c r="AA3" s="224"/>
      <c r="AB3" s="224"/>
      <c r="AC3" s="224"/>
      <c r="AD3" s="224"/>
    </row>
    <row r="4" spans="1:30" ht="14.1" customHeight="1" thickBot="1">
      <c r="P4" s="225"/>
      <c r="Q4" s="225"/>
      <c r="R4" s="225"/>
      <c r="S4" s="225"/>
      <c r="T4" s="225"/>
      <c r="U4" s="225"/>
      <c r="V4" s="225"/>
      <c r="W4" s="225"/>
      <c r="X4" s="225"/>
      <c r="Y4" s="225"/>
      <c r="Z4" s="225"/>
      <c r="AA4" s="225"/>
      <c r="AB4" s="225"/>
      <c r="AC4" s="225"/>
      <c r="AD4" s="225"/>
    </row>
    <row r="5" spans="1:30" ht="14.1" customHeight="1">
      <c r="A5" s="281" t="s">
        <v>1</v>
      </c>
      <c r="B5" s="282"/>
      <c r="C5" s="282"/>
      <c r="D5" s="282"/>
      <c r="E5" s="282"/>
      <c r="F5" s="282"/>
      <c r="G5" s="282"/>
      <c r="H5" s="282"/>
      <c r="I5" s="282"/>
      <c r="J5" s="282"/>
      <c r="K5" s="282"/>
      <c r="L5" s="282"/>
      <c r="M5" s="282"/>
      <c r="N5" s="282"/>
      <c r="O5" s="283"/>
      <c r="P5" s="275" t="s">
        <v>2</v>
      </c>
      <c r="Q5" s="276"/>
      <c r="R5" s="276"/>
      <c r="S5" s="276"/>
      <c r="T5" s="277"/>
      <c r="U5" s="278"/>
      <c r="V5" s="279"/>
      <c r="W5" s="279"/>
      <c r="X5" s="279"/>
      <c r="Y5" s="279"/>
      <c r="Z5" s="279"/>
      <c r="AA5" s="279"/>
      <c r="AB5" s="279"/>
      <c r="AC5" s="279"/>
      <c r="AD5" s="280"/>
    </row>
    <row r="6" spans="1:30" ht="14.1" customHeight="1" thickBot="1">
      <c r="A6" s="284"/>
      <c r="B6" s="285"/>
      <c r="C6" s="285"/>
      <c r="D6" s="285"/>
      <c r="E6" s="285"/>
      <c r="F6" s="285"/>
      <c r="G6" s="285"/>
      <c r="H6" s="285"/>
      <c r="I6" s="285"/>
      <c r="J6" s="285"/>
      <c r="K6" s="285"/>
      <c r="L6" s="285"/>
      <c r="M6" s="285"/>
      <c r="N6" s="285"/>
      <c r="O6" s="286"/>
      <c r="P6" s="151" t="s">
        <v>3</v>
      </c>
      <c r="Q6" s="152"/>
      <c r="R6" s="152"/>
      <c r="S6" s="152"/>
      <c r="T6" s="153"/>
      <c r="U6" s="208"/>
      <c r="V6" s="209"/>
      <c r="W6" s="209"/>
      <c r="X6" s="209"/>
      <c r="Y6" s="209"/>
      <c r="Z6" s="209"/>
      <c r="AA6" s="209"/>
      <c r="AB6" s="209"/>
      <c r="AC6" s="209"/>
      <c r="AD6" s="210"/>
    </row>
    <row r="7" spans="1:30" ht="15.95" customHeight="1">
      <c r="A7" s="203" t="s">
        <v>4</v>
      </c>
      <c r="B7" s="204"/>
      <c r="C7" s="204"/>
      <c r="D7" s="204"/>
      <c r="E7" s="204"/>
      <c r="F7" s="204"/>
      <c r="G7" s="205"/>
      <c r="H7" s="205"/>
      <c r="I7" s="205"/>
      <c r="J7" s="205"/>
      <c r="K7" s="205"/>
      <c r="L7" s="205"/>
      <c r="M7" s="205"/>
      <c r="N7" s="205"/>
      <c r="O7" s="206"/>
      <c r="P7" s="149" t="s">
        <v>5</v>
      </c>
      <c r="Q7" s="150"/>
      <c r="R7" s="150"/>
      <c r="S7" s="150"/>
      <c r="T7" s="207"/>
      <c r="U7" s="208"/>
      <c r="V7" s="209"/>
      <c r="W7" s="209"/>
      <c r="X7" s="209"/>
      <c r="Y7" s="209"/>
      <c r="Z7" s="209"/>
      <c r="AA7" s="209"/>
      <c r="AB7" s="209"/>
      <c r="AC7" s="209"/>
      <c r="AD7" s="210"/>
    </row>
    <row r="8" spans="1:30" ht="15.95" customHeight="1">
      <c r="A8" s="203" t="s">
        <v>6</v>
      </c>
      <c r="B8" s="204"/>
      <c r="C8" s="204"/>
      <c r="D8" s="204"/>
      <c r="E8" s="204"/>
      <c r="F8" s="204"/>
      <c r="G8" s="205"/>
      <c r="H8" s="205"/>
      <c r="I8" s="205"/>
      <c r="J8" s="205"/>
      <c r="K8" s="205"/>
      <c r="L8" s="205"/>
      <c r="M8" s="205"/>
      <c r="N8" s="205"/>
      <c r="O8" s="206"/>
      <c r="P8" s="151" t="s">
        <v>7</v>
      </c>
      <c r="Q8" s="152"/>
      <c r="R8" s="152"/>
      <c r="S8" s="152"/>
      <c r="T8" s="153"/>
      <c r="U8" s="271"/>
      <c r="V8" s="272"/>
      <c r="W8" s="272"/>
      <c r="X8" s="272"/>
      <c r="Y8" s="272"/>
      <c r="Z8" s="272"/>
      <c r="AA8" s="272"/>
      <c r="AB8" s="272"/>
      <c r="AC8" s="272"/>
      <c r="AD8" s="273"/>
    </row>
    <row r="9" spans="1:30" ht="15.95" customHeight="1" thickBot="1">
      <c r="A9" s="274" t="s">
        <v>8</v>
      </c>
      <c r="B9" s="262"/>
      <c r="C9" s="262"/>
      <c r="D9" s="262"/>
      <c r="E9" s="262"/>
      <c r="F9" s="262"/>
      <c r="G9" s="289"/>
      <c r="H9" s="289"/>
      <c r="I9" s="289"/>
      <c r="J9" s="289"/>
      <c r="K9" s="289"/>
      <c r="L9" s="289"/>
      <c r="M9" s="289"/>
      <c r="N9" s="289"/>
      <c r="O9" s="290"/>
      <c r="P9" s="274" t="s">
        <v>9</v>
      </c>
      <c r="Q9" s="262"/>
      <c r="R9" s="262"/>
      <c r="S9" s="262"/>
      <c r="T9" s="262"/>
      <c r="U9" s="126"/>
      <c r="V9" s="126"/>
      <c r="W9" s="126"/>
      <c r="X9" s="126"/>
      <c r="Y9" s="126"/>
      <c r="Z9" s="126"/>
      <c r="AA9" s="126"/>
      <c r="AB9" s="126"/>
      <c r="AC9" s="126"/>
      <c r="AD9" s="221"/>
    </row>
    <row r="10" spans="1:30" ht="15.95" customHeight="1">
      <c r="A10" s="177" t="s">
        <v>10</v>
      </c>
      <c r="B10" s="178"/>
      <c r="C10" s="178"/>
      <c r="D10" s="178"/>
      <c r="E10" s="178"/>
      <c r="F10" s="178"/>
      <c r="G10" s="178"/>
      <c r="H10" s="178"/>
      <c r="I10" s="178"/>
      <c r="J10" s="178"/>
      <c r="K10" s="178"/>
      <c r="L10" s="178"/>
      <c r="M10" s="178"/>
      <c r="N10" s="178"/>
      <c r="O10" s="222"/>
      <c r="P10" s="177" t="s">
        <v>11</v>
      </c>
      <c r="Q10" s="178"/>
      <c r="R10" s="178"/>
      <c r="S10" s="178"/>
      <c r="T10" s="178"/>
      <c r="U10" s="178"/>
      <c r="V10" s="178"/>
      <c r="W10" s="178"/>
      <c r="X10" s="178"/>
      <c r="Y10" s="178"/>
      <c r="Z10" s="178"/>
      <c r="AA10" s="178"/>
      <c r="AB10" s="178"/>
      <c r="AC10" s="178"/>
      <c r="AD10" s="179"/>
    </row>
    <row r="11" spans="1:30" ht="15.95" customHeight="1">
      <c r="A11" s="169" t="s">
        <v>12</v>
      </c>
      <c r="B11" s="170"/>
      <c r="C11" s="170"/>
      <c r="D11" s="170"/>
      <c r="E11" s="170"/>
      <c r="F11" s="163"/>
      <c r="G11" s="163"/>
      <c r="H11" s="163"/>
      <c r="I11" s="163"/>
      <c r="J11" s="163"/>
      <c r="K11" s="163"/>
      <c r="L11" s="163"/>
      <c r="M11" s="163"/>
      <c r="N11" s="163"/>
      <c r="O11" s="208"/>
      <c r="P11" s="169" t="s">
        <v>13</v>
      </c>
      <c r="Q11" s="170"/>
      <c r="R11" s="163"/>
      <c r="S11" s="163"/>
      <c r="T11" s="163"/>
      <c r="U11" s="163"/>
      <c r="V11" s="163"/>
      <c r="W11" s="163"/>
      <c r="X11" s="163"/>
      <c r="Y11" s="163"/>
      <c r="Z11" s="163"/>
      <c r="AA11" s="163"/>
      <c r="AB11" s="163"/>
      <c r="AC11" s="163"/>
      <c r="AD11" s="220"/>
    </row>
    <row r="12" spans="1:30" ht="15.95" customHeight="1">
      <c r="A12" s="169" t="s">
        <v>14</v>
      </c>
      <c r="B12" s="170"/>
      <c r="C12" s="170"/>
      <c r="D12" s="170"/>
      <c r="E12" s="170"/>
      <c r="F12" s="163"/>
      <c r="G12" s="163"/>
      <c r="H12" s="163"/>
      <c r="I12" s="163"/>
      <c r="J12" s="163"/>
      <c r="K12" s="163"/>
      <c r="L12" s="163"/>
      <c r="M12" s="163"/>
      <c r="N12" s="163"/>
      <c r="O12" s="208"/>
      <c r="P12" s="169"/>
      <c r="Q12" s="170"/>
      <c r="R12" s="163"/>
      <c r="S12" s="163"/>
      <c r="T12" s="163"/>
      <c r="U12" s="163"/>
      <c r="V12" s="163"/>
      <c r="W12" s="163"/>
      <c r="X12" s="163"/>
      <c r="Y12" s="163"/>
      <c r="Z12" s="163"/>
      <c r="AA12" s="163"/>
      <c r="AB12" s="163"/>
      <c r="AC12" s="163"/>
      <c r="AD12" s="220"/>
    </row>
    <row r="13" spans="1:30" ht="15.95" customHeight="1">
      <c r="A13" s="169" t="s">
        <v>15</v>
      </c>
      <c r="B13" s="170"/>
      <c r="C13" s="170"/>
      <c r="D13" s="170"/>
      <c r="E13" s="170"/>
      <c r="F13" s="211"/>
      <c r="G13" s="163"/>
      <c r="H13" s="163"/>
      <c r="I13" s="163"/>
      <c r="J13" s="163"/>
      <c r="K13" s="163"/>
      <c r="L13" s="163"/>
      <c r="M13" s="163"/>
      <c r="N13" s="163"/>
      <c r="O13" s="208"/>
      <c r="P13" s="169"/>
      <c r="Q13" s="170"/>
      <c r="R13" s="163"/>
      <c r="S13" s="163"/>
      <c r="T13" s="163"/>
      <c r="U13" s="163"/>
      <c r="V13" s="163"/>
      <c r="W13" s="163"/>
      <c r="X13" s="163"/>
      <c r="Y13" s="163"/>
      <c r="Z13" s="163"/>
      <c r="AA13" s="163"/>
      <c r="AB13" s="163"/>
      <c r="AC13" s="163"/>
      <c r="AD13" s="220"/>
    </row>
    <row r="14" spans="1:30" ht="15.95" customHeight="1" thickBot="1">
      <c r="A14" s="274" t="s">
        <v>16</v>
      </c>
      <c r="B14" s="262"/>
      <c r="C14" s="262"/>
      <c r="D14" s="242"/>
      <c r="E14" s="126"/>
      <c r="F14" s="126"/>
      <c r="G14" s="126"/>
      <c r="H14" s="126"/>
      <c r="I14" s="126"/>
      <c r="J14" s="126"/>
      <c r="K14" s="126"/>
      <c r="L14" s="126"/>
      <c r="M14" s="126"/>
      <c r="N14" s="126"/>
      <c r="O14" s="243"/>
      <c r="P14" s="274" t="s">
        <v>17</v>
      </c>
      <c r="Q14" s="262"/>
      <c r="R14" s="126"/>
      <c r="S14" s="126"/>
      <c r="T14" s="126"/>
      <c r="U14" s="126"/>
      <c r="V14" s="218" t="s">
        <v>18</v>
      </c>
      <c r="W14" s="218"/>
      <c r="X14" s="126"/>
      <c r="Y14" s="126"/>
      <c r="Z14" s="126"/>
      <c r="AA14" s="126"/>
      <c r="AB14" s="126"/>
      <c r="AC14" s="126"/>
      <c r="AD14" s="221"/>
    </row>
    <row r="15" spans="1:30" ht="15.95" customHeight="1">
      <c r="A15" s="177" t="s">
        <v>19</v>
      </c>
      <c r="B15" s="178"/>
      <c r="C15" s="178"/>
      <c r="D15" s="178"/>
      <c r="E15" s="178"/>
      <c r="F15" s="178"/>
      <c r="G15" s="178"/>
      <c r="H15" s="178"/>
      <c r="I15" s="178"/>
      <c r="J15" s="178"/>
      <c r="K15" s="178"/>
      <c r="L15" s="178"/>
      <c r="M15" s="178"/>
      <c r="N15" s="178"/>
      <c r="O15" s="222"/>
      <c r="P15" s="177" t="s">
        <v>20</v>
      </c>
      <c r="Q15" s="178"/>
      <c r="R15" s="178"/>
      <c r="S15" s="178"/>
      <c r="T15" s="178"/>
      <c r="U15" s="178"/>
      <c r="V15" s="178"/>
      <c r="W15" s="178"/>
      <c r="X15" s="178"/>
      <c r="Y15" s="178"/>
      <c r="Z15" s="178"/>
      <c r="AA15" s="178"/>
      <c r="AB15" s="178"/>
      <c r="AC15" s="178"/>
      <c r="AD15" s="179"/>
    </row>
    <row r="16" spans="1:30" ht="15.95" customHeight="1">
      <c r="A16" s="169" t="s">
        <v>13</v>
      </c>
      <c r="B16" s="170"/>
      <c r="C16" s="215"/>
      <c r="D16" s="215"/>
      <c r="E16" s="215"/>
      <c r="F16" s="215"/>
      <c r="G16" s="215"/>
      <c r="H16" s="215"/>
      <c r="I16" s="215"/>
      <c r="J16" s="215"/>
      <c r="K16" s="215"/>
      <c r="L16" s="215"/>
      <c r="M16" s="215"/>
      <c r="N16" s="215"/>
      <c r="O16" s="287"/>
      <c r="P16" s="169" t="s">
        <v>13</v>
      </c>
      <c r="Q16" s="170"/>
      <c r="R16" s="215"/>
      <c r="S16" s="215"/>
      <c r="T16" s="215"/>
      <c r="U16" s="215"/>
      <c r="V16" s="215"/>
      <c r="W16" s="215"/>
      <c r="X16" s="215"/>
      <c r="Y16" s="215"/>
      <c r="Z16" s="215"/>
      <c r="AA16" s="215"/>
      <c r="AB16" s="215"/>
      <c r="AC16" s="215"/>
      <c r="AD16" s="216"/>
    </row>
    <row r="17" spans="1:34" ht="15.95" customHeight="1">
      <c r="A17" s="169"/>
      <c r="B17" s="170"/>
      <c r="C17" s="215"/>
      <c r="D17" s="215"/>
      <c r="E17" s="215"/>
      <c r="F17" s="215"/>
      <c r="G17" s="215"/>
      <c r="H17" s="215"/>
      <c r="I17" s="215"/>
      <c r="J17" s="215"/>
      <c r="K17" s="215"/>
      <c r="L17" s="215"/>
      <c r="M17" s="215"/>
      <c r="N17" s="215"/>
      <c r="O17" s="287"/>
      <c r="P17" s="169"/>
      <c r="Q17" s="170"/>
      <c r="R17" s="215"/>
      <c r="S17" s="215"/>
      <c r="T17" s="215"/>
      <c r="U17" s="215"/>
      <c r="V17" s="215"/>
      <c r="W17" s="215"/>
      <c r="X17" s="215"/>
      <c r="Y17" s="215"/>
      <c r="Z17" s="215"/>
      <c r="AA17" s="215"/>
      <c r="AB17" s="215"/>
      <c r="AC17" s="215"/>
      <c r="AD17" s="216"/>
    </row>
    <row r="18" spans="1:34" ht="15.95" customHeight="1">
      <c r="A18" s="169"/>
      <c r="B18" s="170"/>
      <c r="C18" s="215"/>
      <c r="D18" s="215"/>
      <c r="E18" s="215"/>
      <c r="F18" s="215"/>
      <c r="G18" s="215"/>
      <c r="H18" s="215"/>
      <c r="I18" s="215"/>
      <c r="J18" s="215"/>
      <c r="K18" s="215"/>
      <c r="L18" s="215"/>
      <c r="M18" s="215"/>
      <c r="N18" s="215"/>
      <c r="O18" s="287"/>
      <c r="P18" s="169"/>
      <c r="Q18" s="170"/>
      <c r="R18" s="215"/>
      <c r="S18" s="215"/>
      <c r="T18" s="215"/>
      <c r="U18" s="215"/>
      <c r="V18" s="215"/>
      <c r="W18" s="215"/>
      <c r="X18" s="215"/>
      <c r="Y18" s="215"/>
      <c r="Z18" s="215"/>
      <c r="AA18" s="215"/>
      <c r="AB18" s="215"/>
      <c r="AC18" s="215"/>
      <c r="AD18" s="216"/>
    </row>
    <row r="19" spans="1:34" ht="15.95" customHeight="1" thickBot="1">
      <c r="A19" s="274" t="s">
        <v>17</v>
      </c>
      <c r="B19" s="262"/>
      <c r="C19" s="217"/>
      <c r="D19" s="217"/>
      <c r="E19" s="217"/>
      <c r="F19" s="217"/>
      <c r="G19" s="262" t="s">
        <v>18</v>
      </c>
      <c r="H19" s="262"/>
      <c r="I19" s="217"/>
      <c r="J19" s="217"/>
      <c r="K19" s="217"/>
      <c r="L19" s="217"/>
      <c r="M19" s="217"/>
      <c r="N19" s="217"/>
      <c r="O19" s="288"/>
      <c r="P19" s="274" t="s">
        <v>17</v>
      </c>
      <c r="Q19" s="262"/>
      <c r="R19" s="217"/>
      <c r="S19" s="217"/>
      <c r="T19" s="217"/>
      <c r="U19" s="217"/>
      <c r="V19" s="218" t="s">
        <v>18</v>
      </c>
      <c r="W19" s="218"/>
      <c r="X19" s="217"/>
      <c r="Y19" s="217"/>
      <c r="Z19" s="217"/>
      <c r="AA19" s="217"/>
      <c r="AB19" s="217"/>
      <c r="AC19" s="217"/>
      <c r="AD19" s="219"/>
    </row>
    <row r="20" spans="1:34" ht="5.0999999999999996" customHeight="1" thickBot="1">
      <c r="A20" s="1"/>
      <c r="B20" s="24"/>
      <c r="C20" s="24"/>
      <c r="D20" s="24"/>
      <c r="E20" s="24"/>
      <c r="F20" s="24"/>
      <c r="G20" s="1"/>
      <c r="H20" s="24"/>
      <c r="I20" s="24"/>
      <c r="J20" s="24"/>
      <c r="K20" s="24"/>
      <c r="L20" s="24"/>
      <c r="M20" s="1"/>
      <c r="N20" s="1"/>
      <c r="O20" s="1"/>
      <c r="P20" s="1"/>
      <c r="Q20" s="1"/>
      <c r="R20" s="1"/>
      <c r="S20" s="1"/>
      <c r="T20" s="1"/>
      <c r="U20" s="1"/>
      <c r="V20" s="1"/>
      <c r="W20" s="1"/>
      <c r="X20" s="1"/>
      <c r="Y20" s="1"/>
      <c r="Z20" s="1"/>
      <c r="AA20" s="1"/>
      <c r="AB20" s="1"/>
      <c r="AC20" s="1"/>
      <c r="AD20" s="1"/>
    </row>
    <row r="21" spans="1:34" ht="11.1" customHeight="1">
      <c r="A21" s="171" t="s">
        <v>28</v>
      </c>
      <c r="B21" s="172"/>
      <c r="C21" s="172"/>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72"/>
      <c r="AB21" s="172"/>
      <c r="AC21" s="172"/>
      <c r="AD21" s="173"/>
      <c r="AG21" t="s">
        <v>21</v>
      </c>
    </row>
    <row r="22" spans="1:34" ht="11.1" customHeight="1" thickBot="1">
      <c r="A22" s="174"/>
      <c r="B22" s="175"/>
      <c r="C22" s="17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6"/>
      <c r="AG22" s="87" t="s">
        <v>22</v>
      </c>
      <c r="AH22" t="s">
        <v>23</v>
      </c>
    </row>
    <row r="23" spans="1:34" ht="15.95" customHeight="1">
      <c r="A23" s="133" t="s">
        <v>29</v>
      </c>
      <c r="B23" s="134"/>
      <c r="C23" s="134"/>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5"/>
      <c r="AG23" t="s">
        <v>24</v>
      </c>
      <c r="AH23" t="s">
        <v>25</v>
      </c>
    </row>
    <row r="24" spans="1:34" ht="15.95" customHeight="1" thickBot="1">
      <c r="A24" s="130"/>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1"/>
      <c r="AD24" s="132"/>
      <c r="AG24" t="s">
        <v>26</v>
      </c>
      <c r="AH24" t="s">
        <v>27</v>
      </c>
    </row>
    <row r="25" spans="1:34" ht="15.95" customHeight="1">
      <c r="A25" s="133" t="s">
        <v>30</v>
      </c>
      <c r="B25" s="134"/>
      <c r="C25" s="134"/>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5"/>
    </row>
    <row r="26" spans="1:34" ht="45" customHeight="1" thickBot="1">
      <c r="A26" s="130"/>
      <c r="B26" s="131"/>
      <c r="C26" s="131"/>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1"/>
      <c r="AB26" s="131"/>
      <c r="AC26" s="131"/>
      <c r="AD26" s="132"/>
    </row>
    <row r="27" spans="1:34" ht="15.95" customHeight="1">
      <c r="A27" s="133" t="s">
        <v>31</v>
      </c>
      <c r="B27" s="134"/>
      <c r="C27" s="134"/>
      <c r="D27" s="134"/>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5"/>
    </row>
    <row r="28" spans="1:34" ht="45" customHeight="1" thickBot="1">
      <c r="A28" s="130"/>
      <c r="B28" s="131"/>
      <c r="C28" s="131"/>
      <c r="D28" s="131"/>
      <c r="E28" s="131"/>
      <c r="F28" s="131"/>
      <c r="G28" s="131"/>
      <c r="H28" s="131"/>
      <c r="I28" s="131"/>
      <c r="J28" s="131"/>
      <c r="K28" s="131"/>
      <c r="L28" s="131"/>
      <c r="M28" s="131"/>
      <c r="N28" s="131"/>
      <c r="O28" s="131"/>
      <c r="P28" s="131"/>
      <c r="Q28" s="131"/>
      <c r="R28" s="131"/>
      <c r="S28" s="131"/>
      <c r="T28" s="131"/>
      <c r="U28" s="131"/>
      <c r="V28" s="131"/>
      <c r="W28" s="131"/>
      <c r="X28" s="131"/>
      <c r="Y28" s="131"/>
      <c r="Z28" s="131"/>
      <c r="AA28" s="131"/>
      <c r="AB28" s="131"/>
      <c r="AC28" s="131"/>
      <c r="AD28" s="132"/>
    </row>
    <row r="29" spans="1:34" ht="15.95" customHeight="1">
      <c r="A29" s="133" t="s">
        <v>32</v>
      </c>
      <c r="B29" s="134"/>
      <c r="C29" s="134"/>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5"/>
    </row>
    <row r="30" spans="1:34" ht="15.95" customHeight="1" thickBot="1">
      <c r="A30" s="136" t="s">
        <v>33</v>
      </c>
      <c r="B30" s="137"/>
      <c r="C30" s="138"/>
      <c r="D30" s="139"/>
      <c r="E30" s="140"/>
      <c r="F30" s="140"/>
      <c r="G30" s="140"/>
      <c r="H30" s="140"/>
      <c r="I30" s="140"/>
      <c r="J30" s="140"/>
      <c r="K30" s="140"/>
      <c r="L30" s="140"/>
      <c r="M30" s="140"/>
      <c r="N30" s="140"/>
      <c r="O30" s="140"/>
      <c r="P30" s="141" t="s">
        <v>34</v>
      </c>
      <c r="Q30" s="142"/>
      <c r="R30" s="142"/>
      <c r="S30" s="142"/>
      <c r="T30" s="142"/>
      <c r="U30" s="142"/>
      <c r="V30" s="143"/>
      <c r="W30" s="144"/>
      <c r="X30" s="144"/>
      <c r="Y30" s="144"/>
      <c r="Z30" s="144"/>
      <c r="AA30" s="144"/>
      <c r="AB30" s="144"/>
      <c r="AC30" s="144"/>
      <c r="AD30" s="145"/>
    </row>
    <row r="31" spans="1:34" ht="20.100000000000001" customHeight="1">
      <c r="A31" s="133" t="s">
        <v>35</v>
      </c>
      <c r="B31" s="134"/>
      <c r="C31" s="134"/>
      <c r="D31" s="134"/>
      <c r="E31" s="134"/>
      <c r="F31" s="134"/>
      <c r="G31" s="134"/>
      <c r="H31" s="134"/>
      <c r="I31" s="134"/>
      <c r="J31" s="134"/>
      <c r="K31" s="134"/>
      <c r="L31" s="134"/>
      <c r="M31" s="134"/>
      <c r="N31" s="134"/>
      <c r="O31" s="135"/>
      <c r="P31" s="133" t="s">
        <v>4</v>
      </c>
      <c r="Q31" s="134"/>
      <c r="R31" s="134"/>
      <c r="S31" s="134"/>
      <c r="T31" s="134"/>
      <c r="U31" s="134"/>
      <c r="V31" s="134"/>
      <c r="W31" s="134"/>
      <c r="X31" s="134"/>
      <c r="Y31" s="134"/>
      <c r="Z31" s="134"/>
      <c r="AA31" s="134"/>
      <c r="AB31" s="134"/>
      <c r="AC31" s="134"/>
      <c r="AD31" s="135"/>
    </row>
    <row r="32" spans="1:34" ht="15.95" customHeight="1">
      <c r="A32" s="151" t="s">
        <v>36</v>
      </c>
      <c r="B32" s="152"/>
      <c r="C32" s="152"/>
      <c r="D32" s="152"/>
      <c r="E32" s="152"/>
      <c r="F32" s="153"/>
      <c r="G32" s="156"/>
      <c r="H32" s="157"/>
      <c r="I32" s="157"/>
      <c r="J32" s="157"/>
      <c r="K32" s="157"/>
      <c r="L32" s="157"/>
      <c r="M32" s="157"/>
      <c r="N32" s="157"/>
      <c r="O32" s="158"/>
      <c r="P32" s="154" t="s">
        <v>37</v>
      </c>
      <c r="Q32" s="155"/>
      <c r="R32" s="155"/>
      <c r="S32" s="155"/>
      <c r="T32" s="155"/>
      <c r="U32" s="155"/>
      <c r="V32" s="212"/>
      <c r="W32" s="213"/>
      <c r="X32" s="213"/>
      <c r="Y32" s="213"/>
      <c r="Z32" s="213"/>
      <c r="AA32" s="213"/>
      <c r="AB32" s="213"/>
      <c r="AC32" s="213"/>
      <c r="AD32" s="214"/>
    </row>
    <row r="33" spans="1:30" ht="15.95" customHeight="1">
      <c r="A33" s="154" t="s">
        <v>38</v>
      </c>
      <c r="B33" s="155"/>
      <c r="C33" s="155"/>
      <c r="D33" s="155"/>
      <c r="E33" s="155"/>
      <c r="F33" s="155"/>
      <c r="G33" s="156"/>
      <c r="H33" s="157"/>
      <c r="I33" s="157"/>
      <c r="J33" s="157"/>
      <c r="K33" s="157"/>
      <c r="L33" s="157"/>
      <c r="M33" s="157"/>
      <c r="N33" s="157"/>
      <c r="O33" s="158"/>
      <c r="P33" s="151" t="s">
        <v>39</v>
      </c>
      <c r="Q33" s="152"/>
      <c r="R33" s="152"/>
      <c r="S33" s="152"/>
      <c r="T33" s="152"/>
      <c r="U33" s="152"/>
      <c r="V33" s="192" t="str">
        <f>'Offre commerciale'!AH107</f>
        <v/>
      </c>
      <c r="W33" s="193"/>
      <c r="X33" s="193"/>
      <c r="Y33" s="193"/>
      <c r="Z33" s="193"/>
      <c r="AA33" s="193"/>
      <c r="AB33" s="193"/>
      <c r="AC33" s="193"/>
      <c r="AD33" s="194"/>
    </row>
    <row r="34" spans="1:30" ht="34.5" customHeight="1">
      <c r="A34" s="149" t="s">
        <v>40</v>
      </c>
      <c r="B34" s="150"/>
      <c r="C34" s="150"/>
      <c r="D34" s="150"/>
      <c r="E34" s="150"/>
      <c r="F34" s="150"/>
      <c r="G34" s="159"/>
      <c r="H34" s="160"/>
      <c r="I34" s="160"/>
      <c r="J34" s="160"/>
      <c r="K34" s="160"/>
      <c r="L34" s="160"/>
      <c r="M34" s="160"/>
      <c r="N34" s="160"/>
      <c r="O34" s="161"/>
      <c r="P34" s="149" t="s">
        <v>41</v>
      </c>
      <c r="Q34" s="150"/>
      <c r="R34" s="150"/>
      <c r="S34" s="150"/>
      <c r="T34" s="150"/>
      <c r="U34" s="150"/>
      <c r="V34" s="195">
        <f>'Offre commerciale'!AB107</f>
        <v>0</v>
      </c>
      <c r="W34" s="196"/>
      <c r="X34" s="196"/>
      <c r="Y34" s="196"/>
      <c r="Z34" s="196"/>
      <c r="AA34" s="196"/>
      <c r="AB34" s="196"/>
      <c r="AC34" s="196"/>
      <c r="AD34" s="197"/>
    </row>
    <row r="35" spans="1:30" ht="15.95" customHeight="1" thickBot="1">
      <c r="A35" s="198" t="s">
        <v>42</v>
      </c>
      <c r="B35" s="199"/>
      <c r="C35" s="199"/>
      <c r="D35" s="199"/>
      <c r="E35" s="199"/>
      <c r="F35" s="199"/>
      <c r="G35" s="200"/>
      <c r="H35" s="201"/>
      <c r="I35" s="201"/>
      <c r="J35" s="201"/>
      <c r="K35" s="201"/>
      <c r="L35" s="201"/>
      <c r="M35" s="201"/>
      <c r="N35" s="201"/>
      <c r="O35" s="202"/>
      <c r="P35" s="198" t="s">
        <v>43</v>
      </c>
      <c r="Q35" s="199"/>
      <c r="R35" s="199"/>
      <c r="S35" s="199"/>
      <c r="T35" s="199"/>
      <c r="U35" s="199"/>
      <c r="V35" s="146"/>
      <c r="W35" s="147"/>
      <c r="X35" s="147"/>
      <c r="Y35" s="147"/>
      <c r="Z35" s="147"/>
      <c r="AA35" s="147"/>
      <c r="AB35" s="147"/>
      <c r="AC35" s="147"/>
      <c r="AD35" s="148"/>
    </row>
    <row r="36" spans="1:30" ht="5.0999999999999996" customHeight="1" thickBot="1">
      <c r="A36" s="1"/>
      <c r="B36" s="24"/>
      <c r="C36" s="24"/>
      <c r="D36" s="24"/>
      <c r="E36" s="24"/>
      <c r="F36" s="24"/>
      <c r="G36" s="1"/>
      <c r="H36" s="24"/>
      <c r="I36" s="24"/>
      <c r="J36" s="24"/>
      <c r="K36" s="24"/>
      <c r="L36" s="24"/>
      <c r="M36" s="1"/>
      <c r="N36" s="1"/>
      <c r="O36" s="1"/>
      <c r="P36" s="1"/>
      <c r="Q36" s="1"/>
      <c r="R36" s="1"/>
      <c r="S36" s="1"/>
      <c r="T36" s="1"/>
      <c r="U36" s="1"/>
      <c r="V36" s="1"/>
      <c r="W36" s="1"/>
      <c r="X36" s="1"/>
      <c r="Y36" s="1"/>
      <c r="Z36" s="1"/>
      <c r="AA36" s="1"/>
      <c r="AB36" s="1"/>
      <c r="AC36" s="1"/>
      <c r="AD36" s="1"/>
    </row>
    <row r="37" spans="1:30" ht="11.1" customHeight="1">
      <c r="A37" s="171" t="s">
        <v>44</v>
      </c>
      <c r="B37" s="172"/>
      <c r="C37" s="172"/>
      <c r="D37" s="172"/>
      <c r="E37" s="172"/>
      <c r="F37" s="172"/>
      <c r="G37" s="172"/>
      <c r="H37" s="172"/>
      <c r="I37" s="172"/>
      <c r="J37" s="172"/>
      <c r="K37" s="172"/>
      <c r="L37" s="172"/>
      <c r="M37" s="172"/>
      <c r="N37" s="172"/>
      <c r="O37" s="172"/>
      <c r="P37" s="172"/>
      <c r="Q37" s="172"/>
      <c r="R37" s="172"/>
      <c r="S37" s="172"/>
      <c r="T37" s="172"/>
      <c r="U37" s="172"/>
      <c r="V37" s="172"/>
      <c r="W37" s="172"/>
      <c r="X37" s="172"/>
      <c r="Y37" s="172"/>
      <c r="Z37" s="172"/>
      <c r="AA37" s="172"/>
      <c r="AB37" s="172"/>
      <c r="AC37" s="172"/>
      <c r="AD37" s="173"/>
    </row>
    <row r="38" spans="1:30" ht="11.1" customHeight="1" thickBot="1">
      <c r="A38" s="174"/>
      <c r="B38" s="175"/>
      <c r="C38" s="175"/>
      <c r="D38" s="175"/>
      <c r="E38" s="175"/>
      <c r="F38" s="175"/>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6"/>
    </row>
    <row r="39" spans="1:30" ht="20.100000000000001" customHeight="1">
      <c r="A39" s="186" t="s">
        <v>45</v>
      </c>
      <c r="B39" s="187"/>
      <c r="C39" s="187"/>
      <c r="D39" s="187"/>
      <c r="E39" s="188"/>
      <c r="F39" s="189" t="s">
        <v>46</v>
      </c>
      <c r="G39" s="190"/>
      <c r="H39" s="190"/>
      <c r="I39" s="190"/>
      <c r="J39" s="190"/>
      <c r="K39" s="190"/>
      <c r="L39" s="190"/>
      <c r="M39" s="190"/>
      <c r="N39" s="190"/>
      <c r="O39" s="191"/>
      <c r="P39" s="177" t="s">
        <v>47</v>
      </c>
      <c r="Q39" s="178"/>
      <c r="R39" s="178"/>
      <c r="S39" s="178"/>
      <c r="T39" s="178"/>
      <c r="U39" s="178"/>
      <c r="V39" s="178"/>
      <c r="W39" s="178"/>
      <c r="X39" s="178"/>
      <c r="Y39" s="178"/>
      <c r="Z39" s="178"/>
      <c r="AA39" s="178"/>
      <c r="AB39" s="178"/>
      <c r="AC39" s="178"/>
      <c r="AD39" s="179"/>
    </row>
    <row r="40" spans="1:30" ht="15.95" customHeight="1">
      <c r="A40" s="92">
        <v>30</v>
      </c>
      <c r="B40" s="93" t="s">
        <v>48</v>
      </c>
      <c r="C40" s="180" t="s">
        <v>49</v>
      </c>
      <c r="D40" s="180"/>
      <c r="E40" s="180"/>
      <c r="F40" s="180"/>
      <c r="G40" s="180"/>
      <c r="H40" s="180"/>
      <c r="I40" s="180"/>
      <c r="J40" s="180"/>
      <c r="K40" s="180"/>
      <c r="L40" s="180"/>
      <c r="M40" s="180"/>
      <c r="N40" s="180"/>
      <c r="O40" s="181"/>
      <c r="P40" s="169" t="s">
        <v>50</v>
      </c>
      <c r="Q40" s="170"/>
      <c r="R40" s="170"/>
      <c r="S40" s="94"/>
      <c r="T40" s="182" t="s">
        <v>51</v>
      </c>
      <c r="U40" s="183"/>
      <c r="V40" s="183"/>
      <c r="W40" s="183"/>
      <c r="X40" s="185"/>
      <c r="Y40" s="94"/>
      <c r="Z40" s="182" t="s">
        <v>52</v>
      </c>
      <c r="AA40" s="183"/>
      <c r="AB40" s="183"/>
      <c r="AC40" s="183"/>
      <c r="AD40" s="184"/>
    </row>
    <row r="41" spans="1:30" ht="15.95" customHeight="1">
      <c r="A41" s="92">
        <v>50</v>
      </c>
      <c r="B41" s="93" t="s">
        <v>48</v>
      </c>
      <c r="C41" s="180" t="s">
        <v>53</v>
      </c>
      <c r="D41" s="180"/>
      <c r="E41" s="180"/>
      <c r="F41" s="180"/>
      <c r="G41" s="180"/>
      <c r="H41" s="180"/>
      <c r="I41" s="180"/>
      <c r="J41" s="180"/>
      <c r="K41" s="180"/>
      <c r="L41" s="180"/>
      <c r="M41" s="180"/>
      <c r="N41" s="180"/>
      <c r="O41" s="181"/>
      <c r="P41" s="167" t="s">
        <v>54</v>
      </c>
      <c r="Q41" s="168"/>
      <c r="R41" s="168"/>
      <c r="S41" s="258"/>
      <c r="T41" s="258"/>
      <c r="U41" s="258"/>
      <c r="V41" s="258"/>
      <c r="W41" s="258"/>
      <c r="X41" s="258"/>
      <c r="Y41" s="258"/>
      <c r="Z41" s="258"/>
      <c r="AA41" s="258"/>
      <c r="AB41" s="258"/>
      <c r="AC41" s="258"/>
      <c r="AD41" s="259"/>
    </row>
    <row r="42" spans="1:30" ht="15.95" customHeight="1">
      <c r="A42" s="92"/>
      <c r="B42" s="93" t="s">
        <v>48</v>
      </c>
      <c r="C42" s="180" t="s">
        <v>55</v>
      </c>
      <c r="D42" s="180"/>
      <c r="E42" s="180"/>
      <c r="F42" s="180"/>
      <c r="G42" s="180"/>
      <c r="H42" s="180"/>
      <c r="I42" s="180"/>
      <c r="J42" s="180"/>
      <c r="K42" s="180"/>
      <c r="L42" s="180"/>
      <c r="M42" s="180"/>
      <c r="N42" s="180"/>
      <c r="O42" s="181"/>
      <c r="P42" s="167"/>
      <c r="Q42" s="168"/>
      <c r="R42" s="168"/>
      <c r="S42" s="258"/>
      <c r="T42" s="258"/>
      <c r="U42" s="258"/>
      <c r="V42" s="258"/>
      <c r="W42" s="258"/>
      <c r="X42" s="258"/>
      <c r="Y42" s="258"/>
      <c r="Z42" s="258"/>
      <c r="AA42" s="258"/>
      <c r="AB42" s="258"/>
      <c r="AC42" s="258"/>
      <c r="AD42" s="259"/>
    </row>
    <row r="43" spans="1:30" ht="15.95" customHeight="1">
      <c r="A43" s="92"/>
      <c r="B43" s="93" t="s">
        <v>48</v>
      </c>
      <c r="C43" s="180" t="s">
        <v>56</v>
      </c>
      <c r="D43" s="180"/>
      <c r="E43" s="180"/>
      <c r="F43" s="180"/>
      <c r="G43" s="180"/>
      <c r="H43" s="180"/>
      <c r="I43" s="180"/>
      <c r="J43" s="180"/>
      <c r="K43" s="180"/>
      <c r="L43" s="180"/>
      <c r="M43" s="180"/>
      <c r="N43" s="180"/>
      <c r="O43" s="181"/>
      <c r="P43" s="169" t="s">
        <v>57</v>
      </c>
      <c r="Q43" s="170"/>
      <c r="R43" s="170"/>
      <c r="S43" s="255"/>
      <c r="T43" s="256"/>
      <c r="U43" s="256"/>
      <c r="V43" s="256"/>
      <c r="W43" s="256"/>
      <c r="X43" s="256"/>
      <c r="Y43" s="256"/>
      <c r="Z43" s="256"/>
      <c r="AA43" s="256"/>
      <c r="AB43" s="256"/>
      <c r="AC43" s="256"/>
      <c r="AD43" s="257"/>
    </row>
    <row r="44" spans="1:30" ht="15.95" customHeight="1">
      <c r="A44" s="22" t="s">
        <v>58</v>
      </c>
      <c r="B44" s="35"/>
      <c r="C44" s="180" t="s">
        <v>59</v>
      </c>
      <c r="D44" s="180"/>
      <c r="E44" s="180"/>
      <c r="F44" s="180"/>
      <c r="G44" s="180"/>
      <c r="H44" s="180"/>
      <c r="I44" s="180"/>
      <c r="J44" s="180"/>
      <c r="K44" s="180"/>
      <c r="L44" s="180"/>
      <c r="M44" s="180"/>
      <c r="N44" s="180"/>
      <c r="O44" s="181"/>
      <c r="P44" s="167" t="s">
        <v>60</v>
      </c>
      <c r="Q44" s="168"/>
      <c r="R44" s="168"/>
      <c r="S44" s="258"/>
      <c r="T44" s="258"/>
      <c r="U44" s="258"/>
      <c r="V44" s="258"/>
      <c r="W44" s="258"/>
      <c r="X44" s="258"/>
      <c r="Y44" s="258"/>
      <c r="Z44" s="258"/>
      <c r="AA44" s="258"/>
      <c r="AB44" s="258"/>
      <c r="AC44" s="258"/>
      <c r="AD44" s="259"/>
    </row>
    <row r="45" spans="1:30" ht="15.95" customHeight="1">
      <c r="A45" s="169" t="s">
        <v>61</v>
      </c>
      <c r="B45" s="170"/>
      <c r="C45" s="170"/>
      <c r="D45" s="170"/>
      <c r="E45" s="170"/>
      <c r="F45" s="163"/>
      <c r="G45" s="163"/>
      <c r="H45" s="163"/>
      <c r="I45" s="163"/>
      <c r="J45" s="163"/>
      <c r="K45" s="163"/>
      <c r="L45" s="163"/>
      <c r="M45" s="163"/>
      <c r="N45" s="163"/>
      <c r="O45" s="208"/>
      <c r="P45" s="167"/>
      <c r="Q45" s="168"/>
      <c r="R45" s="168"/>
      <c r="S45" s="258"/>
      <c r="T45" s="258"/>
      <c r="U45" s="258"/>
      <c r="V45" s="258"/>
      <c r="W45" s="258"/>
      <c r="X45" s="258"/>
      <c r="Y45" s="258"/>
      <c r="Z45" s="258"/>
      <c r="AA45" s="258"/>
      <c r="AB45" s="258"/>
      <c r="AC45" s="258"/>
      <c r="AD45" s="259"/>
    </row>
    <row r="46" spans="1:30" ht="15.95" customHeight="1">
      <c r="A46" s="260" t="s">
        <v>62</v>
      </c>
      <c r="B46" s="170" t="s">
        <v>63</v>
      </c>
      <c r="C46" s="170"/>
      <c r="D46" s="170"/>
      <c r="E46" s="170"/>
      <c r="F46" s="263"/>
      <c r="G46" s="263"/>
      <c r="H46" s="263"/>
      <c r="I46" s="263"/>
      <c r="J46" s="263"/>
      <c r="K46" s="263"/>
      <c r="L46" s="263"/>
      <c r="M46" s="263"/>
      <c r="N46" s="263"/>
      <c r="O46" s="264"/>
      <c r="P46" s="169" t="s">
        <v>57</v>
      </c>
      <c r="Q46" s="170"/>
      <c r="R46" s="170"/>
      <c r="S46" s="255"/>
      <c r="T46" s="256"/>
      <c r="U46" s="256"/>
      <c r="V46" s="256"/>
      <c r="W46" s="256"/>
      <c r="X46" s="256"/>
      <c r="Y46" s="256"/>
      <c r="Z46" s="256"/>
      <c r="AA46" s="256"/>
      <c r="AB46" s="256"/>
      <c r="AC46" s="256"/>
      <c r="AD46" s="257"/>
    </row>
    <row r="47" spans="1:30" ht="15.95" customHeight="1">
      <c r="A47" s="260"/>
      <c r="B47" s="170" t="s">
        <v>64</v>
      </c>
      <c r="C47" s="170"/>
      <c r="D47" s="170"/>
      <c r="E47" s="170"/>
      <c r="F47" s="163"/>
      <c r="G47" s="163"/>
      <c r="H47" s="163"/>
      <c r="I47" s="163"/>
      <c r="J47" s="163"/>
      <c r="K47" s="163"/>
      <c r="L47" s="163"/>
      <c r="M47" s="163"/>
      <c r="N47" s="163"/>
      <c r="O47" s="208"/>
      <c r="P47" s="167" t="s">
        <v>65</v>
      </c>
      <c r="Q47" s="168"/>
      <c r="R47" s="168"/>
      <c r="S47" s="168"/>
      <c r="T47" s="168"/>
      <c r="U47" s="168"/>
      <c r="V47" s="163"/>
      <c r="W47" s="163"/>
      <c r="X47" s="163"/>
      <c r="Y47" s="163"/>
      <c r="Z47" s="163"/>
      <c r="AA47" s="163"/>
      <c r="AB47" s="163"/>
      <c r="AC47" s="163"/>
      <c r="AD47" s="220"/>
    </row>
    <row r="48" spans="1:30" ht="15.95" customHeight="1" thickBot="1">
      <c r="A48" s="261"/>
      <c r="B48" s="262" t="s">
        <v>66</v>
      </c>
      <c r="C48" s="262"/>
      <c r="D48" s="262"/>
      <c r="E48" s="262"/>
      <c r="F48" s="126" t="s">
        <v>67</v>
      </c>
      <c r="G48" s="126"/>
      <c r="H48" s="126"/>
      <c r="I48" s="126"/>
      <c r="J48" s="126"/>
      <c r="K48" s="126"/>
      <c r="L48" s="126"/>
      <c r="M48" s="126"/>
      <c r="N48" s="126"/>
      <c r="O48" s="243"/>
      <c r="P48" s="253"/>
      <c r="Q48" s="254"/>
      <c r="R48" s="254"/>
      <c r="S48" s="254"/>
      <c r="T48" s="254"/>
      <c r="U48" s="254"/>
      <c r="V48" s="126"/>
      <c r="W48" s="126"/>
      <c r="X48" s="126"/>
      <c r="Y48" s="126"/>
      <c r="Z48" s="126"/>
      <c r="AA48" s="126"/>
      <c r="AB48" s="126"/>
      <c r="AC48" s="126"/>
      <c r="AD48" s="221"/>
    </row>
    <row r="49" spans="1:30" ht="15.95" customHeight="1">
      <c r="A49" s="133" t="s">
        <v>68</v>
      </c>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5"/>
    </row>
    <row r="50" spans="1:30" ht="15.95" customHeight="1">
      <c r="A50" s="231" t="s">
        <v>69</v>
      </c>
      <c r="B50" s="232"/>
      <c r="C50" s="232"/>
      <c r="D50" s="232"/>
      <c r="E50" s="232"/>
      <c r="F50" s="232"/>
      <c r="G50" s="232"/>
      <c r="H50" s="232"/>
      <c r="I50" s="232"/>
      <c r="J50" s="232"/>
      <c r="K50" s="232"/>
      <c r="L50" s="232"/>
      <c r="M50" s="232"/>
      <c r="N50" s="232"/>
      <c r="O50" s="232"/>
      <c r="P50" s="232" t="s">
        <v>70</v>
      </c>
      <c r="Q50" s="232"/>
      <c r="R50" s="232"/>
      <c r="S50" s="232"/>
      <c r="T50" s="232"/>
      <c r="U50" s="232"/>
      <c r="V50" s="232"/>
      <c r="W50" s="232"/>
      <c r="X50" s="232"/>
      <c r="Y50" s="232"/>
      <c r="Z50" s="232"/>
      <c r="AA50" s="232"/>
      <c r="AB50" s="232"/>
      <c r="AC50" s="232"/>
      <c r="AD50" s="233"/>
    </row>
    <row r="51" spans="1:30" ht="15.95" customHeight="1">
      <c r="A51" s="166" t="s">
        <v>71</v>
      </c>
      <c r="B51" s="162"/>
      <c r="C51" s="162"/>
      <c r="D51" s="162"/>
      <c r="E51" s="162"/>
      <c r="F51" s="162"/>
      <c r="G51" s="163"/>
      <c r="H51" s="163"/>
      <c r="I51" s="163"/>
      <c r="J51" s="163"/>
      <c r="K51" s="163"/>
      <c r="L51" s="164" t="s">
        <v>72</v>
      </c>
      <c r="M51" s="164"/>
      <c r="N51" s="164"/>
      <c r="O51" s="164"/>
      <c r="P51" s="162" t="s">
        <v>71</v>
      </c>
      <c r="Q51" s="162"/>
      <c r="R51" s="162"/>
      <c r="S51" s="162"/>
      <c r="T51" s="162"/>
      <c r="U51" s="162"/>
      <c r="V51" s="163"/>
      <c r="W51" s="163"/>
      <c r="X51" s="163"/>
      <c r="Y51" s="163"/>
      <c r="Z51" s="163"/>
      <c r="AA51" s="164" t="s">
        <v>72</v>
      </c>
      <c r="AB51" s="164"/>
      <c r="AC51" s="164"/>
      <c r="AD51" s="165"/>
    </row>
    <row r="52" spans="1:30" ht="15.95" customHeight="1">
      <c r="A52" s="166" t="s">
        <v>73</v>
      </c>
      <c r="B52" s="162"/>
      <c r="C52" s="162"/>
      <c r="D52" s="162"/>
      <c r="E52" s="162"/>
      <c r="F52" s="162"/>
      <c r="G52" s="163"/>
      <c r="H52" s="163"/>
      <c r="I52" s="163"/>
      <c r="J52" s="163"/>
      <c r="K52" s="163"/>
      <c r="L52" s="164" t="s">
        <v>74</v>
      </c>
      <c r="M52" s="164"/>
      <c r="N52" s="164"/>
      <c r="O52" s="164"/>
      <c r="P52" s="162" t="s">
        <v>73</v>
      </c>
      <c r="Q52" s="162"/>
      <c r="R52" s="162"/>
      <c r="S52" s="162"/>
      <c r="T52" s="162"/>
      <c r="U52" s="162"/>
      <c r="V52" s="163"/>
      <c r="W52" s="163"/>
      <c r="X52" s="163"/>
      <c r="Y52" s="163"/>
      <c r="Z52" s="163"/>
      <c r="AA52" s="164" t="s">
        <v>74</v>
      </c>
      <c r="AB52" s="164"/>
      <c r="AC52" s="164"/>
      <c r="AD52" s="165"/>
    </row>
    <row r="53" spans="1:30" ht="15.95" customHeight="1" thickBot="1">
      <c r="A53" s="124" t="s">
        <v>75</v>
      </c>
      <c r="B53" s="125"/>
      <c r="C53" s="125"/>
      <c r="D53" s="125"/>
      <c r="E53" s="125"/>
      <c r="F53" s="125"/>
      <c r="G53" s="126"/>
      <c r="H53" s="126"/>
      <c r="I53" s="126"/>
      <c r="J53" s="126"/>
      <c r="K53" s="126"/>
      <c r="L53" s="127" t="s">
        <v>76</v>
      </c>
      <c r="M53" s="127"/>
      <c r="N53" s="127"/>
      <c r="O53" s="127"/>
      <c r="P53" s="128"/>
      <c r="Q53" s="128"/>
      <c r="R53" s="128"/>
      <c r="S53" s="128"/>
      <c r="T53" s="128"/>
      <c r="U53" s="128"/>
      <c r="V53" s="128"/>
      <c r="W53" s="128"/>
      <c r="X53" s="128"/>
      <c r="Y53" s="128"/>
      <c r="Z53" s="128"/>
      <c r="AA53" s="128"/>
      <c r="AB53" s="128"/>
      <c r="AC53" s="128"/>
      <c r="AD53" s="129"/>
    </row>
    <row r="54" spans="1:30" ht="5.0999999999999996" customHeight="1" thickBot="1">
      <c r="A54" s="83"/>
      <c r="B54" s="84"/>
      <c r="C54" s="84"/>
      <c r="D54" s="84"/>
      <c r="E54" s="84"/>
      <c r="F54" s="24"/>
      <c r="G54" s="24"/>
      <c r="H54" s="24"/>
      <c r="I54" s="24"/>
      <c r="J54" s="24"/>
      <c r="K54" s="24"/>
      <c r="L54" s="24"/>
      <c r="M54" s="24"/>
      <c r="N54" s="24"/>
      <c r="O54" s="24"/>
      <c r="P54" s="85"/>
      <c r="Q54" s="85"/>
      <c r="R54" s="85"/>
      <c r="S54" s="85"/>
      <c r="T54" s="85"/>
      <c r="U54" s="85"/>
      <c r="V54" s="24"/>
      <c r="W54" s="24"/>
      <c r="X54" s="24"/>
      <c r="Y54" s="24"/>
      <c r="Z54" s="24"/>
      <c r="AA54" s="24"/>
      <c r="AB54" s="24"/>
      <c r="AC54" s="24"/>
      <c r="AD54" s="24"/>
    </row>
    <row r="55" spans="1:30" ht="20.100000000000001" customHeight="1" thickBot="1">
      <c r="A55" s="239" t="s">
        <v>77</v>
      </c>
      <c r="B55" s="240"/>
      <c r="C55" s="240"/>
      <c r="D55" s="240"/>
      <c r="E55" s="240"/>
      <c r="F55" s="240"/>
      <c r="G55" s="240"/>
      <c r="H55" s="240"/>
      <c r="I55" s="240"/>
      <c r="J55" s="240"/>
      <c r="K55" s="240"/>
      <c r="L55" s="240"/>
      <c r="M55" s="240"/>
      <c r="N55" s="240"/>
      <c r="O55" s="240"/>
      <c r="P55" s="240"/>
      <c r="Q55" s="240"/>
      <c r="R55" s="240"/>
      <c r="S55" s="240"/>
      <c r="T55" s="240"/>
      <c r="U55" s="240"/>
      <c r="V55" s="240"/>
      <c r="W55" s="240"/>
      <c r="X55" s="240"/>
      <c r="Y55" s="240"/>
      <c r="Z55" s="240"/>
      <c r="AA55" s="240"/>
      <c r="AB55" s="240"/>
      <c r="AC55" s="240"/>
      <c r="AD55" s="241"/>
    </row>
    <row r="56" spans="1:30" ht="15.95" customHeight="1">
      <c r="A56" s="265" t="s">
        <v>78</v>
      </c>
      <c r="B56" s="266"/>
      <c r="C56" s="266"/>
      <c r="D56" s="266"/>
      <c r="E56" s="266"/>
      <c r="F56" s="266"/>
      <c r="G56" s="266"/>
      <c r="H56" s="95"/>
      <c r="I56" s="247" t="s">
        <v>79</v>
      </c>
      <c r="J56" s="248"/>
      <c r="K56" s="248"/>
      <c r="L56" s="248"/>
      <c r="M56" s="248"/>
      <c r="N56" s="248"/>
      <c r="O56" s="248"/>
      <c r="P56" s="248"/>
      <c r="Q56" s="248"/>
      <c r="R56" s="248"/>
      <c r="S56" s="248"/>
      <c r="T56" s="248"/>
      <c r="U56" s="248"/>
      <c r="V56" s="248"/>
      <c r="W56" s="248"/>
      <c r="X56" s="267"/>
      <c r="Y56" s="95"/>
      <c r="Z56" s="247" t="s">
        <v>52</v>
      </c>
      <c r="AA56" s="248"/>
      <c r="AB56" s="248"/>
      <c r="AC56" s="248"/>
      <c r="AD56" s="249"/>
    </row>
    <row r="57" spans="1:30" ht="15.95" customHeight="1">
      <c r="A57" s="237" t="s">
        <v>80</v>
      </c>
      <c r="B57" s="238"/>
      <c r="C57" s="238"/>
      <c r="D57" s="238"/>
      <c r="E57" s="238"/>
      <c r="F57" s="238"/>
      <c r="G57" s="238"/>
      <c r="H57" s="96"/>
      <c r="I57" s="234" t="s">
        <v>81</v>
      </c>
      <c r="J57" s="234"/>
      <c r="K57" s="234"/>
      <c r="L57" s="234"/>
      <c r="M57" s="234"/>
      <c r="N57" s="234"/>
      <c r="O57" s="234"/>
      <c r="P57" s="234"/>
      <c r="Q57" s="234"/>
      <c r="R57" s="234"/>
      <c r="S57" s="234"/>
      <c r="T57" s="234"/>
      <c r="U57" s="234"/>
      <c r="V57" s="234"/>
      <c r="W57" s="234"/>
      <c r="X57" s="234"/>
      <c r="Y57" s="96"/>
      <c r="Z57" s="235" t="s">
        <v>82</v>
      </c>
      <c r="AA57" s="235"/>
      <c r="AB57" s="235"/>
      <c r="AC57" s="235"/>
      <c r="AD57" s="236"/>
    </row>
    <row r="58" spans="1:30" ht="15.95" customHeight="1">
      <c r="A58" s="237" t="s">
        <v>83</v>
      </c>
      <c r="B58" s="238"/>
      <c r="C58" s="238"/>
      <c r="D58" s="238"/>
      <c r="E58" s="238"/>
      <c r="F58" s="238"/>
      <c r="G58" s="238"/>
      <c r="H58" s="96"/>
      <c r="I58" s="234" t="s">
        <v>84</v>
      </c>
      <c r="J58" s="234"/>
      <c r="K58" s="234"/>
      <c r="L58" s="234"/>
      <c r="M58" s="234"/>
      <c r="N58" s="234"/>
      <c r="O58" s="234"/>
      <c r="P58" s="234"/>
      <c r="Q58" s="234"/>
      <c r="R58" s="234"/>
      <c r="S58" s="234"/>
      <c r="T58" s="234"/>
      <c r="U58" s="234"/>
      <c r="V58" s="234"/>
      <c r="W58" s="234"/>
      <c r="X58" s="234"/>
      <c r="Y58" s="98"/>
      <c r="Z58" s="235" t="s">
        <v>82</v>
      </c>
      <c r="AA58" s="235"/>
      <c r="AB58" s="235"/>
      <c r="AC58" s="235"/>
      <c r="AD58" s="236"/>
    </row>
    <row r="59" spans="1:30" ht="15.95" customHeight="1">
      <c r="A59" s="237" t="s">
        <v>85</v>
      </c>
      <c r="B59" s="238"/>
      <c r="C59" s="238"/>
      <c r="D59" s="238"/>
      <c r="E59" s="238"/>
      <c r="F59" s="238"/>
      <c r="G59" s="238"/>
      <c r="H59" s="96"/>
      <c r="I59" s="234" t="s">
        <v>86</v>
      </c>
      <c r="J59" s="234"/>
      <c r="K59" s="234"/>
      <c r="L59" s="234"/>
      <c r="M59" s="234"/>
      <c r="N59" s="234"/>
      <c r="O59" s="234"/>
      <c r="P59" s="234"/>
      <c r="Q59" s="234"/>
      <c r="R59" s="234"/>
      <c r="S59" s="234"/>
      <c r="T59" s="234"/>
      <c r="U59" s="234"/>
      <c r="V59" s="234"/>
      <c r="W59" s="234"/>
      <c r="X59" s="234"/>
      <c r="Y59" s="98"/>
      <c r="Z59" s="235" t="s">
        <v>82</v>
      </c>
      <c r="AA59" s="235"/>
      <c r="AB59" s="235"/>
      <c r="AC59" s="235"/>
      <c r="AD59" s="236"/>
    </row>
    <row r="60" spans="1:30" ht="15.95" customHeight="1">
      <c r="A60" s="237" t="s">
        <v>87</v>
      </c>
      <c r="B60" s="238"/>
      <c r="C60" s="238"/>
      <c r="D60" s="238"/>
      <c r="E60" s="238"/>
      <c r="F60" s="238"/>
      <c r="G60" s="238"/>
      <c r="H60" s="96"/>
      <c r="I60" s="234" t="s">
        <v>84</v>
      </c>
      <c r="J60" s="234"/>
      <c r="K60" s="234"/>
      <c r="L60" s="234"/>
      <c r="M60" s="234"/>
      <c r="N60" s="234"/>
      <c r="O60" s="234"/>
      <c r="P60" s="234"/>
      <c r="Q60" s="234"/>
      <c r="R60" s="234"/>
      <c r="S60" s="234"/>
      <c r="T60" s="234"/>
      <c r="U60" s="234"/>
      <c r="V60" s="234"/>
      <c r="W60" s="234"/>
      <c r="X60" s="234"/>
      <c r="Y60" s="98"/>
      <c r="Z60" s="235" t="s">
        <v>82</v>
      </c>
      <c r="AA60" s="235"/>
      <c r="AB60" s="235"/>
      <c r="AC60" s="235"/>
      <c r="AD60" s="236"/>
    </row>
    <row r="61" spans="1:30" ht="15.95" customHeight="1">
      <c r="A61" s="237" t="s">
        <v>88</v>
      </c>
      <c r="B61" s="238"/>
      <c r="C61" s="238"/>
      <c r="D61" s="238"/>
      <c r="E61" s="238"/>
      <c r="F61" s="238"/>
      <c r="G61" s="238"/>
      <c r="H61" s="96"/>
      <c r="I61" s="234" t="s">
        <v>89</v>
      </c>
      <c r="J61" s="234"/>
      <c r="K61" s="234"/>
      <c r="L61" s="234"/>
      <c r="M61" s="234"/>
      <c r="N61" s="234"/>
      <c r="O61" s="234"/>
      <c r="P61" s="234"/>
      <c r="Q61" s="234"/>
      <c r="R61" s="234"/>
      <c r="S61" s="234"/>
      <c r="T61" s="234"/>
      <c r="U61" s="234"/>
      <c r="V61" s="234"/>
      <c r="W61" s="234"/>
      <c r="X61" s="234"/>
      <c r="Y61" s="96"/>
      <c r="Z61" s="235" t="s">
        <v>82</v>
      </c>
      <c r="AA61" s="235"/>
      <c r="AB61" s="235"/>
      <c r="AC61" s="235"/>
      <c r="AD61" s="236"/>
    </row>
    <row r="62" spans="1:30" ht="15.95" customHeight="1">
      <c r="A62" s="237" t="s">
        <v>90</v>
      </c>
      <c r="B62" s="238"/>
      <c r="C62" s="238"/>
      <c r="D62" s="238"/>
      <c r="E62" s="238"/>
      <c r="F62" s="238"/>
      <c r="G62" s="238"/>
      <c r="H62" s="96"/>
      <c r="I62" s="234" t="s">
        <v>89</v>
      </c>
      <c r="J62" s="234"/>
      <c r="K62" s="234"/>
      <c r="L62" s="234"/>
      <c r="M62" s="234"/>
      <c r="N62" s="234"/>
      <c r="O62" s="234"/>
      <c r="P62" s="234"/>
      <c r="Q62" s="234"/>
      <c r="R62" s="234"/>
      <c r="S62" s="234"/>
      <c r="T62" s="234"/>
      <c r="U62" s="234"/>
      <c r="V62" s="234"/>
      <c r="W62" s="234"/>
      <c r="X62" s="234"/>
      <c r="Y62" s="96"/>
      <c r="Z62" s="235" t="s">
        <v>82</v>
      </c>
      <c r="AA62" s="235"/>
      <c r="AB62" s="235"/>
      <c r="AC62" s="235"/>
      <c r="AD62" s="236"/>
    </row>
    <row r="63" spans="1:30" ht="15.95" customHeight="1" thickBot="1">
      <c r="A63" s="226" t="s">
        <v>91</v>
      </c>
      <c r="B63" s="227"/>
      <c r="C63" s="227"/>
      <c r="D63" s="227"/>
      <c r="E63" s="227"/>
      <c r="F63" s="227"/>
      <c r="G63" s="227"/>
      <c r="H63" s="97"/>
      <c r="I63" s="228" t="s">
        <v>92</v>
      </c>
      <c r="J63" s="228"/>
      <c r="K63" s="228"/>
      <c r="L63" s="228"/>
      <c r="M63" s="228"/>
      <c r="N63" s="228"/>
      <c r="O63" s="228"/>
      <c r="P63" s="228"/>
      <c r="Q63" s="228"/>
      <c r="R63" s="228"/>
      <c r="S63" s="228"/>
      <c r="T63" s="228"/>
      <c r="U63" s="228"/>
      <c r="V63" s="228"/>
      <c r="W63" s="228"/>
      <c r="X63" s="228"/>
      <c r="Y63" s="97"/>
      <c r="Z63" s="229" t="s">
        <v>93</v>
      </c>
      <c r="AA63" s="229"/>
      <c r="AB63" s="229"/>
      <c r="AC63" s="229"/>
      <c r="AD63" s="230"/>
    </row>
    <row r="64" spans="1:30" ht="20.100000000000001" customHeight="1">
      <c r="A64" s="244" t="s">
        <v>94</v>
      </c>
      <c r="B64" s="245"/>
      <c r="C64" s="245"/>
      <c r="D64" s="245"/>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6"/>
    </row>
    <row r="65" spans="1:30" ht="45" customHeight="1" thickBot="1">
      <c r="A65" s="268"/>
      <c r="B65" s="269"/>
      <c r="C65" s="269"/>
      <c r="D65" s="269"/>
      <c r="E65" s="269"/>
      <c r="F65" s="269"/>
      <c r="G65" s="269"/>
      <c r="H65" s="269"/>
      <c r="I65" s="269"/>
      <c r="J65" s="269"/>
      <c r="K65" s="269"/>
      <c r="L65" s="269"/>
      <c r="M65" s="269"/>
      <c r="N65" s="269"/>
      <c r="O65" s="269"/>
      <c r="P65" s="269"/>
      <c r="Q65" s="269"/>
      <c r="R65" s="269"/>
      <c r="S65" s="269"/>
      <c r="T65" s="269"/>
      <c r="U65" s="269"/>
      <c r="V65" s="269"/>
      <c r="W65" s="269"/>
      <c r="X65" s="269"/>
      <c r="Y65" s="269"/>
      <c r="Z65" s="269"/>
      <c r="AA65" s="269"/>
      <c r="AB65" s="269"/>
      <c r="AC65" s="269"/>
      <c r="AD65" s="270"/>
    </row>
    <row r="66" spans="1:30" ht="5.0999999999999996" customHeight="1" thickBo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ht="20.100000000000001" customHeight="1">
      <c r="A67" s="295" t="s">
        <v>95</v>
      </c>
      <c r="B67" s="296"/>
      <c r="C67" s="296"/>
      <c r="D67" s="296"/>
      <c r="E67" s="296"/>
      <c r="F67" s="296"/>
      <c r="G67" s="296"/>
      <c r="H67" s="296"/>
      <c r="I67" s="296"/>
      <c r="J67" s="296"/>
      <c r="K67" s="296"/>
      <c r="L67" s="296"/>
      <c r="M67" s="296"/>
      <c r="N67" s="296"/>
      <c r="O67" s="296"/>
      <c r="P67" s="296"/>
      <c r="Q67" s="296"/>
      <c r="R67" s="296"/>
      <c r="S67" s="296"/>
      <c r="T67" s="296"/>
      <c r="U67" s="296"/>
      <c r="V67" s="296"/>
      <c r="W67" s="296"/>
      <c r="X67" s="296"/>
      <c r="Y67" s="296"/>
      <c r="Z67" s="296"/>
      <c r="AA67" s="296"/>
      <c r="AB67" s="296"/>
      <c r="AC67" s="296"/>
      <c r="AD67" s="297"/>
    </row>
    <row r="68" spans="1:30" ht="15.95" customHeight="1">
      <c r="A68" s="300" t="s">
        <v>96</v>
      </c>
      <c r="B68" s="301"/>
      <c r="C68" s="301"/>
      <c r="D68" s="301"/>
      <c r="E68" s="301"/>
      <c r="F68" s="301"/>
      <c r="G68" s="301"/>
      <c r="H68" s="301"/>
      <c r="I68" s="301"/>
      <c r="J68" s="301"/>
      <c r="K68" s="301"/>
      <c r="L68" s="301"/>
      <c r="M68" s="301"/>
      <c r="N68" s="298"/>
      <c r="O68" s="298"/>
      <c r="P68" s="301" t="s">
        <v>97</v>
      </c>
      <c r="Q68" s="301"/>
      <c r="R68" s="301"/>
      <c r="S68" s="301"/>
      <c r="T68" s="301"/>
      <c r="U68" s="301"/>
      <c r="V68" s="301"/>
      <c r="W68" s="301"/>
      <c r="X68" s="301"/>
      <c r="Y68" s="301"/>
      <c r="Z68" s="301"/>
      <c r="AA68" s="301"/>
      <c r="AB68" s="301"/>
      <c r="AC68" s="298"/>
      <c r="AD68" s="299"/>
    </row>
    <row r="69" spans="1:30" ht="15.95" customHeight="1">
      <c r="A69" s="300" t="s">
        <v>98</v>
      </c>
      <c r="B69" s="301"/>
      <c r="C69" s="301"/>
      <c r="D69" s="301"/>
      <c r="E69" s="301"/>
      <c r="F69" s="301"/>
      <c r="G69" s="301"/>
      <c r="H69" s="301"/>
      <c r="I69" s="301"/>
      <c r="J69" s="301"/>
      <c r="K69" s="301"/>
      <c r="L69" s="301"/>
      <c r="M69" s="301"/>
      <c r="N69" s="298"/>
      <c r="O69" s="298"/>
      <c r="P69" s="302"/>
      <c r="Q69" s="302"/>
      <c r="R69" s="302"/>
      <c r="S69" s="302"/>
      <c r="T69" s="302"/>
      <c r="U69" s="302"/>
      <c r="V69" s="302"/>
      <c r="W69" s="302"/>
      <c r="X69" s="302"/>
      <c r="Y69" s="302"/>
      <c r="Z69" s="302"/>
      <c r="AA69" s="302"/>
      <c r="AB69" s="302"/>
      <c r="AC69" s="302"/>
      <c r="AD69" s="303"/>
    </row>
    <row r="70" spans="1:30" ht="15.95" customHeight="1">
      <c r="A70" s="300" t="s">
        <v>99</v>
      </c>
      <c r="B70" s="301"/>
      <c r="C70" s="301"/>
      <c r="D70" s="301"/>
      <c r="E70" s="301"/>
      <c r="F70" s="301"/>
      <c r="G70" s="301"/>
      <c r="H70" s="301"/>
      <c r="I70" s="301"/>
      <c r="J70" s="301"/>
      <c r="K70" s="301"/>
      <c r="L70" s="301"/>
      <c r="M70" s="301"/>
      <c r="N70" s="298"/>
      <c r="O70" s="298"/>
      <c r="P70" s="301" t="s">
        <v>100</v>
      </c>
      <c r="Q70" s="301"/>
      <c r="R70" s="301"/>
      <c r="S70" s="301"/>
      <c r="T70" s="301"/>
      <c r="U70" s="301"/>
      <c r="V70" s="301"/>
      <c r="W70" s="301"/>
      <c r="X70" s="301"/>
      <c r="Y70" s="301"/>
      <c r="Z70" s="301"/>
      <c r="AA70" s="301"/>
      <c r="AB70" s="301"/>
      <c r="AC70" s="298"/>
      <c r="AD70" s="299"/>
    </row>
    <row r="71" spans="1:30" ht="15.95" customHeight="1">
      <c r="A71" s="304" t="s">
        <v>101</v>
      </c>
      <c r="B71" s="305"/>
      <c r="C71" s="305"/>
      <c r="D71" s="305"/>
      <c r="E71" s="305"/>
      <c r="F71" s="305"/>
      <c r="G71" s="305"/>
      <c r="H71" s="305"/>
      <c r="I71" s="305"/>
      <c r="J71" s="305"/>
      <c r="K71" s="305"/>
      <c r="L71" s="305"/>
      <c r="M71" s="305"/>
      <c r="N71" s="298"/>
      <c r="O71" s="298"/>
      <c r="P71" s="301" t="s">
        <v>102</v>
      </c>
      <c r="Q71" s="301"/>
      <c r="R71" s="301"/>
      <c r="S71" s="301"/>
      <c r="T71" s="301"/>
      <c r="U71" s="301"/>
      <c r="V71" s="301"/>
      <c r="W71" s="301"/>
      <c r="X71" s="301"/>
      <c r="Y71" s="301"/>
      <c r="Z71" s="301"/>
      <c r="AA71" s="301"/>
      <c r="AB71" s="301"/>
      <c r="AC71" s="298"/>
      <c r="AD71" s="299"/>
    </row>
    <row r="72" spans="1:30" ht="15.95" customHeight="1" thickBot="1">
      <c r="A72" s="291" t="s">
        <v>103</v>
      </c>
      <c r="B72" s="292"/>
      <c r="C72" s="292"/>
      <c r="D72" s="292"/>
      <c r="E72" s="292"/>
      <c r="F72" s="292"/>
      <c r="G72" s="292"/>
      <c r="H72" s="292"/>
      <c r="I72" s="292"/>
      <c r="J72" s="292"/>
      <c r="K72" s="292"/>
      <c r="L72" s="292"/>
      <c r="M72" s="292"/>
      <c r="N72" s="293"/>
      <c r="O72" s="293"/>
      <c r="P72" s="292" t="s">
        <v>104</v>
      </c>
      <c r="Q72" s="292"/>
      <c r="R72" s="292"/>
      <c r="S72" s="292"/>
      <c r="T72" s="292"/>
      <c r="U72" s="292"/>
      <c r="V72" s="292"/>
      <c r="W72" s="292"/>
      <c r="X72" s="292"/>
      <c r="Y72" s="292"/>
      <c r="Z72" s="292"/>
      <c r="AA72" s="292"/>
      <c r="AB72" s="292"/>
      <c r="AC72" s="293"/>
      <c r="AD72" s="294"/>
    </row>
    <row r="73" spans="1:30" ht="5.0999999999999996" customHeight="1" thickBo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ht="16.5" customHeight="1">
      <c r="A74" s="36" t="s">
        <v>105</v>
      </c>
      <c r="B74" s="37"/>
      <c r="C74" s="37"/>
      <c r="D74" s="37"/>
      <c r="E74" s="37"/>
      <c r="F74" s="37"/>
      <c r="G74" s="37"/>
      <c r="H74" s="37"/>
      <c r="I74" s="38"/>
      <c r="J74" s="38"/>
      <c r="K74" s="38"/>
      <c r="L74" s="38"/>
      <c r="M74" s="38"/>
      <c r="N74" s="38"/>
      <c r="O74" s="38"/>
      <c r="P74" s="38"/>
      <c r="Q74" s="38"/>
      <c r="R74" s="38"/>
      <c r="S74" s="38"/>
      <c r="T74" s="38"/>
      <c r="U74" s="38"/>
      <c r="V74" s="38"/>
      <c r="W74" s="38"/>
      <c r="X74" s="38"/>
      <c r="Y74" s="38"/>
      <c r="Z74" s="38"/>
      <c r="AA74" s="38"/>
      <c r="AB74" s="38"/>
      <c r="AC74" s="38"/>
      <c r="AD74" s="39"/>
    </row>
    <row r="75" spans="1:30" ht="45" customHeight="1" thickBot="1">
      <c r="A75" s="250"/>
      <c r="B75" s="251"/>
      <c r="C75" s="251"/>
      <c r="D75" s="251"/>
      <c r="E75" s="251"/>
      <c r="F75" s="251"/>
      <c r="G75" s="251"/>
      <c r="H75" s="251"/>
      <c r="I75" s="251"/>
      <c r="J75" s="251"/>
      <c r="K75" s="251"/>
      <c r="L75" s="251"/>
      <c r="M75" s="251"/>
      <c r="N75" s="251"/>
      <c r="O75" s="251"/>
      <c r="P75" s="251"/>
      <c r="Q75" s="251"/>
      <c r="R75" s="251"/>
      <c r="S75" s="251"/>
      <c r="T75" s="251"/>
      <c r="U75" s="251"/>
      <c r="V75" s="251"/>
      <c r="W75" s="251"/>
      <c r="X75" s="251"/>
      <c r="Y75" s="251"/>
      <c r="Z75" s="251"/>
      <c r="AA75" s="251"/>
      <c r="AB75" s="251"/>
      <c r="AC75" s="251"/>
      <c r="AD75" s="252"/>
    </row>
    <row r="76" spans="1:30" ht="15.75">
      <c r="A76" s="4"/>
      <c r="B76" s="4"/>
      <c r="C76" s="4"/>
      <c r="D76" s="4"/>
      <c r="E76" s="4"/>
      <c r="F76" s="4"/>
      <c r="G76" s="4"/>
      <c r="H76" s="4"/>
      <c r="I76" s="4"/>
      <c r="J76" s="4"/>
      <c r="K76" s="4"/>
      <c r="L76" s="5"/>
      <c r="M76" s="2"/>
      <c r="N76" s="2"/>
      <c r="O76" s="2"/>
      <c r="P76" s="2"/>
      <c r="Q76" s="2"/>
      <c r="R76" s="3"/>
      <c r="S76" s="5"/>
      <c r="T76" s="3"/>
      <c r="U76" s="3"/>
      <c r="V76" s="3"/>
      <c r="W76" s="3"/>
      <c r="X76" s="3"/>
      <c r="Y76" s="5"/>
      <c r="Z76" s="5"/>
      <c r="AA76" s="5"/>
      <c r="AB76" s="5"/>
      <c r="AC76" s="5"/>
      <c r="AD76" s="5"/>
    </row>
  </sheetData>
  <sheetProtection algorithmName="SHA-512" hashValue="q0f5VBfbWXddVz89uhXOrjOGEDnc6fS1CX9F5hkqsE56TrWFLgpsDr1FjsgA/Wn/FsBTWUVeTmaD4NCrBJ6xtQ==" saltValue="3BwvT3uMX3BOUlEteqWQuw==" spinCount="100000" sheet="1" objects="1" scenarios="1"/>
  <mergeCells count="182">
    <mergeCell ref="A72:M72"/>
    <mergeCell ref="N72:O72"/>
    <mergeCell ref="P72:AB72"/>
    <mergeCell ref="AC72:AD72"/>
    <mergeCell ref="A67:AD67"/>
    <mergeCell ref="N68:O68"/>
    <mergeCell ref="AC68:AD68"/>
    <mergeCell ref="A68:M68"/>
    <mergeCell ref="P68:AB68"/>
    <mergeCell ref="A69:M69"/>
    <mergeCell ref="N69:O69"/>
    <mergeCell ref="A70:M70"/>
    <mergeCell ref="N70:O70"/>
    <mergeCell ref="P70:AB70"/>
    <mergeCell ref="AC70:AD70"/>
    <mergeCell ref="P69:AD69"/>
    <mergeCell ref="A71:M71"/>
    <mergeCell ref="N71:O71"/>
    <mergeCell ref="P71:AB71"/>
    <mergeCell ref="AC71:AD71"/>
    <mergeCell ref="A5:O6"/>
    <mergeCell ref="A9:F9"/>
    <mergeCell ref="A7:F7"/>
    <mergeCell ref="A21:AD22"/>
    <mergeCell ref="A23:AD23"/>
    <mergeCell ref="A31:O31"/>
    <mergeCell ref="G7:O7"/>
    <mergeCell ref="A14:C14"/>
    <mergeCell ref="A13:E13"/>
    <mergeCell ref="P14:Q14"/>
    <mergeCell ref="P19:Q19"/>
    <mergeCell ref="A19:B19"/>
    <mergeCell ref="P16:Q18"/>
    <mergeCell ref="A16:B18"/>
    <mergeCell ref="C16:O16"/>
    <mergeCell ref="C17:O17"/>
    <mergeCell ref="C18:O18"/>
    <mergeCell ref="C19:F19"/>
    <mergeCell ref="G19:H19"/>
    <mergeCell ref="I19:O19"/>
    <mergeCell ref="G9:O9"/>
    <mergeCell ref="A10:O10"/>
    <mergeCell ref="A11:E11"/>
    <mergeCell ref="A12:E12"/>
    <mergeCell ref="U8:AD8"/>
    <mergeCell ref="U9:AD9"/>
    <mergeCell ref="R11:AD11"/>
    <mergeCell ref="P8:T8"/>
    <mergeCell ref="P9:T9"/>
    <mergeCell ref="P10:AD10"/>
    <mergeCell ref="P11:Q13"/>
    <mergeCell ref="P5:T5"/>
    <mergeCell ref="P6:T6"/>
    <mergeCell ref="U5:AD5"/>
    <mergeCell ref="U6:AD6"/>
    <mergeCell ref="A75:AD75"/>
    <mergeCell ref="P46:R46"/>
    <mergeCell ref="P47:U48"/>
    <mergeCell ref="S43:AD43"/>
    <mergeCell ref="S46:AD46"/>
    <mergeCell ref="S41:AD42"/>
    <mergeCell ref="S44:AD45"/>
    <mergeCell ref="V47:AD48"/>
    <mergeCell ref="A46:A48"/>
    <mergeCell ref="A45:E45"/>
    <mergeCell ref="B46:E46"/>
    <mergeCell ref="B47:E47"/>
    <mergeCell ref="B48:E48"/>
    <mergeCell ref="F45:O45"/>
    <mergeCell ref="F46:O46"/>
    <mergeCell ref="F47:O47"/>
    <mergeCell ref="F48:O48"/>
    <mergeCell ref="C42:O42"/>
    <mergeCell ref="C43:O43"/>
    <mergeCell ref="C44:O44"/>
    <mergeCell ref="A56:G56"/>
    <mergeCell ref="I56:X56"/>
    <mergeCell ref="A65:AD65"/>
    <mergeCell ref="A60:G60"/>
    <mergeCell ref="A64:AD64"/>
    <mergeCell ref="I59:X59"/>
    <mergeCell ref="Z59:AD59"/>
    <mergeCell ref="A62:G62"/>
    <mergeCell ref="I62:X62"/>
    <mergeCell ref="Z62:AD62"/>
    <mergeCell ref="Z56:AD56"/>
    <mergeCell ref="A57:G57"/>
    <mergeCell ref="I57:X57"/>
    <mergeCell ref="Z57:AD57"/>
    <mergeCell ref="I58:X58"/>
    <mergeCell ref="Z58:AD58"/>
    <mergeCell ref="P1:AD4"/>
    <mergeCell ref="A63:G63"/>
    <mergeCell ref="I63:X63"/>
    <mergeCell ref="Z63:AD63"/>
    <mergeCell ref="A49:AD49"/>
    <mergeCell ref="A50:O50"/>
    <mergeCell ref="P50:AD50"/>
    <mergeCell ref="A51:F51"/>
    <mergeCell ref="L51:O51"/>
    <mergeCell ref="G51:K51"/>
    <mergeCell ref="I60:X60"/>
    <mergeCell ref="Z60:AD60"/>
    <mergeCell ref="A61:G61"/>
    <mergeCell ref="I61:X61"/>
    <mergeCell ref="Z61:AD61"/>
    <mergeCell ref="A58:G58"/>
    <mergeCell ref="A59:G59"/>
    <mergeCell ref="A55:AD55"/>
    <mergeCell ref="P40:R40"/>
    <mergeCell ref="P44:R45"/>
    <mergeCell ref="P31:AD31"/>
    <mergeCell ref="D14:O14"/>
    <mergeCell ref="F11:O11"/>
    <mergeCell ref="F12:O12"/>
    <mergeCell ref="V33:AD33"/>
    <mergeCell ref="V34:AD34"/>
    <mergeCell ref="A35:F35"/>
    <mergeCell ref="P35:U35"/>
    <mergeCell ref="G35:O35"/>
    <mergeCell ref="A8:F8"/>
    <mergeCell ref="G8:O8"/>
    <mergeCell ref="P7:T7"/>
    <mergeCell ref="U7:AD7"/>
    <mergeCell ref="F13:O13"/>
    <mergeCell ref="V32:AD32"/>
    <mergeCell ref="R16:AD16"/>
    <mergeCell ref="R17:AD17"/>
    <mergeCell ref="R18:AD18"/>
    <mergeCell ref="R19:U19"/>
    <mergeCell ref="V19:W19"/>
    <mergeCell ref="X19:AD19"/>
    <mergeCell ref="R12:AD12"/>
    <mergeCell ref="R13:AD13"/>
    <mergeCell ref="V14:W14"/>
    <mergeCell ref="R14:U14"/>
    <mergeCell ref="X14:AD14"/>
    <mergeCell ref="P15:AD15"/>
    <mergeCell ref="A15:O15"/>
    <mergeCell ref="P41:R42"/>
    <mergeCell ref="P43:R43"/>
    <mergeCell ref="A37:AD38"/>
    <mergeCell ref="P39:AD39"/>
    <mergeCell ref="C40:O40"/>
    <mergeCell ref="C41:O41"/>
    <mergeCell ref="Z40:AD40"/>
    <mergeCell ref="T40:X40"/>
    <mergeCell ref="A39:E39"/>
    <mergeCell ref="F39:O39"/>
    <mergeCell ref="P51:U51"/>
    <mergeCell ref="V51:Z51"/>
    <mergeCell ref="AA51:AD51"/>
    <mergeCell ref="A52:F52"/>
    <mergeCell ref="G52:K52"/>
    <mergeCell ref="L52:O52"/>
    <mergeCell ref="P52:U52"/>
    <mergeCell ref="V52:Z52"/>
    <mergeCell ref="AA52:AD52"/>
    <mergeCell ref="A53:F53"/>
    <mergeCell ref="G53:K53"/>
    <mergeCell ref="L53:O53"/>
    <mergeCell ref="P53:AD53"/>
    <mergeCell ref="A24:AD24"/>
    <mergeCell ref="A25:AD25"/>
    <mergeCell ref="A27:AD27"/>
    <mergeCell ref="A26:AD26"/>
    <mergeCell ref="A28:AD28"/>
    <mergeCell ref="A29:AD29"/>
    <mergeCell ref="A30:C30"/>
    <mergeCell ref="D30:O30"/>
    <mergeCell ref="P30:U30"/>
    <mergeCell ref="V30:AD30"/>
    <mergeCell ref="V35:AD35"/>
    <mergeCell ref="P34:U34"/>
    <mergeCell ref="A32:F32"/>
    <mergeCell ref="A33:F33"/>
    <mergeCell ref="P33:U33"/>
    <mergeCell ref="P32:U32"/>
    <mergeCell ref="G32:O32"/>
    <mergeCell ref="G34:O34"/>
    <mergeCell ref="G33:O33"/>
    <mergeCell ref="A34:F34"/>
  </mergeCells>
  <dataValidations count="5">
    <dataValidation type="list" allowBlank="1" sqref="D30:O30" xr:uid="{8CB33AA5-3043-45F1-9EB6-7A5608586D8F}">
      <formula1>L_Suiteà</formula1>
    </dataValidation>
    <dataValidation type="list" allowBlank="1" sqref="V30:AD30" xr:uid="{5AD56B7B-D9B1-4AB6-AD32-BDF8771A98BB}">
      <formula1>L_OffreàEnvoyer</formula1>
    </dataValidation>
    <dataValidation type="list" allowBlank="1" sqref="N68:O72 AC68:AD68 AC70:AD72" xr:uid="{5BCE4403-73C3-4E31-BC10-9B8EAA2C8CDC}">
      <formula1>L_Oui_Non</formula1>
    </dataValidation>
    <dataValidation type="list" allowBlank="1" sqref="F48:O48" xr:uid="{60CBC919-98CA-4F88-82DA-D5EBE1AC06B8}">
      <formula1>L_Responsabilité</formula1>
    </dataValidation>
    <dataValidation type="list" allowBlank="1" sqref="F39:O39" xr:uid="{0EB63E26-52D2-4B09-B4BD-0E15BC00E2DF}">
      <formula1>Condition_de_paiement</formula1>
    </dataValidation>
  </dataValidations>
  <hyperlinks>
    <hyperlink ref="A71:M71" location="'Offre commerciale'!A1" display="Bilan financier (Onglet Offre commerciale) :" xr:uid="{377DF834-F980-4019-A419-D56747C183A8}"/>
  </hyperlinks>
  <printOptions horizontalCentered="1"/>
  <pageMargins left="0.23622047244094502" right="0.23622047244094502" top="0.23622047244094502" bottom="0.23622047244094502" header="0.31496062992126" footer="0.31496062992126"/>
  <pageSetup paperSize="9" fitToHeight="0" orientation="portrait" r:id="rId1"/>
  <headerFooter>
    <oddHeader>&amp;R&amp;D</oddHeader>
    <oddFooter>&amp;L&amp;Z&amp;F&amp;RPage &amp;P/&amp;N</oddFooter>
  </headerFooter>
  <rowBreaks count="1" manualBreakCount="1">
    <brk id="36" max="29" man="1"/>
  </rowBreaks>
  <drawing r:id="rId2"/>
  <legacyDrawing r:id="rId3"/>
  <mc:AlternateContent xmlns:mc="http://schemas.openxmlformats.org/markup-compatibility/2006">
    <mc:Choice Requires="x14">
      <controls>
        <mc:AlternateContent xmlns:mc="http://schemas.openxmlformats.org/markup-compatibility/2006">
          <mc:Choice Requires="x14">
            <control shapeId="1055" r:id="rId4" name="Button 31">
              <controlPr defaultSize="0" print="0" autoFill="0" autoPict="0" macro="[0]!ImpressionDossierComplet">
                <anchor moveWithCells="1" sizeWithCells="1">
                  <from>
                    <xdr:col>31</xdr:col>
                    <xdr:colOff>581025</xdr:colOff>
                    <xdr:row>1</xdr:row>
                    <xdr:rowOff>9525</xdr:rowOff>
                  </from>
                  <to>
                    <xdr:col>33</xdr:col>
                    <xdr:colOff>133350</xdr:colOff>
                    <xdr:row>3</xdr:row>
                    <xdr:rowOff>38100</xdr:rowOff>
                  </to>
                </anchor>
              </controlPr>
            </control>
          </mc:Choice>
        </mc:AlternateContent>
        <mc:AlternateContent xmlns:mc="http://schemas.openxmlformats.org/markup-compatibility/2006">
          <mc:Choice Requires="x14">
            <control shapeId="1056" r:id="rId5" name="Button 32">
              <controlPr defaultSize="0" print="0" autoFill="0" autoPict="0" macro="[0]!ImpressionPVReception">
                <anchor moveWithCells="1" sizeWithCells="1">
                  <from>
                    <xdr:col>31</xdr:col>
                    <xdr:colOff>581025</xdr:colOff>
                    <xdr:row>6</xdr:row>
                    <xdr:rowOff>161925</xdr:rowOff>
                  </from>
                  <to>
                    <xdr:col>33</xdr:col>
                    <xdr:colOff>133350</xdr:colOff>
                    <xdr:row>8</xdr:row>
                    <xdr:rowOff>133350</xdr:rowOff>
                  </to>
                </anchor>
              </controlPr>
            </control>
          </mc:Choice>
        </mc:AlternateContent>
        <mc:AlternateContent xmlns:mc="http://schemas.openxmlformats.org/markup-compatibility/2006">
          <mc:Choice Requires="x14">
            <control shapeId="1057" r:id="rId6" name="Button 33">
              <controlPr defaultSize="0" print="0" autoFill="0" autoPict="0" macro="[0]!ImpressionMES">
                <anchor moveWithCells="1" sizeWithCells="1">
                  <from>
                    <xdr:col>31</xdr:col>
                    <xdr:colOff>581025</xdr:colOff>
                    <xdr:row>11</xdr:row>
                    <xdr:rowOff>180975</xdr:rowOff>
                  </from>
                  <to>
                    <xdr:col>33</xdr:col>
                    <xdr:colOff>133350</xdr:colOff>
                    <xdr:row>13</xdr:row>
                    <xdr:rowOff>142875</xdr:rowOff>
                  </to>
                </anchor>
              </controlPr>
            </control>
          </mc:Choice>
        </mc:AlternateContent>
        <mc:AlternateContent xmlns:mc="http://schemas.openxmlformats.org/markup-compatibility/2006">
          <mc:Choice Requires="x14">
            <control shapeId="1058" r:id="rId7" name="Button 34">
              <controlPr defaultSize="0" print="0" autoFill="0" autoPict="0" macro="[0]!ImpressionPagePrincipale">
                <anchor moveWithCells="1" sizeWithCells="1">
                  <from>
                    <xdr:col>31</xdr:col>
                    <xdr:colOff>581025</xdr:colOff>
                    <xdr:row>4</xdr:row>
                    <xdr:rowOff>0</xdr:rowOff>
                  </from>
                  <to>
                    <xdr:col>33</xdr:col>
                    <xdr:colOff>133350</xdr:colOff>
                    <xdr:row>6</xdr:row>
                    <xdr:rowOff>19050</xdr:rowOff>
                  </to>
                </anchor>
              </controlPr>
            </control>
          </mc:Choice>
        </mc:AlternateContent>
        <mc:AlternateContent xmlns:mc="http://schemas.openxmlformats.org/markup-compatibility/2006">
          <mc:Choice Requires="x14">
            <control shapeId="1059" r:id="rId8" name="Button 35">
              <controlPr defaultSize="0" print="0" autoFill="0" autoPict="0" macro="[0]!MiseEnService">
                <anchor moveWithCells="1" sizeWithCells="1">
                  <from>
                    <xdr:col>31</xdr:col>
                    <xdr:colOff>581025</xdr:colOff>
                    <xdr:row>9</xdr:row>
                    <xdr:rowOff>76200</xdr:rowOff>
                  </from>
                  <to>
                    <xdr:col>33</xdr:col>
                    <xdr:colOff>133350</xdr:colOff>
                    <xdr:row>11</xdr:row>
                    <xdr:rowOff>38100</xdr:rowOff>
                  </to>
                </anchor>
              </controlPr>
            </control>
          </mc:Choice>
        </mc:AlternateContent>
        <mc:AlternateContent xmlns:mc="http://schemas.openxmlformats.org/markup-compatibility/2006">
          <mc:Choice Requires="x14">
            <control shapeId="1076" r:id="rId9" name="Button 52">
              <controlPr defaultSize="0" print="0" autoFill="0" autoPict="0" macro="[0]!ProtectSheets">
                <anchor moveWithCells="1" sizeWithCells="1">
                  <from>
                    <xdr:col>31</xdr:col>
                    <xdr:colOff>581025</xdr:colOff>
                    <xdr:row>14</xdr:row>
                    <xdr:rowOff>38100</xdr:rowOff>
                  </from>
                  <to>
                    <xdr:col>33</xdr:col>
                    <xdr:colOff>333375</xdr:colOff>
                    <xdr:row>16</xdr:row>
                    <xdr:rowOff>0</xdr:rowOff>
                  </to>
                </anchor>
              </controlPr>
            </control>
          </mc:Choice>
        </mc:AlternateContent>
        <mc:AlternateContent xmlns:mc="http://schemas.openxmlformats.org/markup-compatibility/2006">
          <mc:Choice Requires="x14">
            <control shapeId="1078" r:id="rId10" name="Button 54">
              <controlPr defaultSize="0" print="0" autoFill="0" autoPict="0" macro="[0]!UnProtectSheets">
                <anchor moveWithCells="1" sizeWithCells="1">
                  <from>
                    <xdr:col>31</xdr:col>
                    <xdr:colOff>590550</xdr:colOff>
                    <xdr:row>16</xdr:row>
                    <xdr:rowOff>114300</xdr:rowOff>
                  </from>
                  <to>
                    <xdr:col>33</xdr:col>
                    <xdr:colOff>342900</xdr:colOff>
                    <xdr:row>18</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3B876-D7FC-43E0-9839-5B51B0BF6059}">
  <sheetPr codeName="Feuil13">
    <tabColor theme="5" tint="0.59999389629810485"/>
    <outlinePr summaryBelow="0"/>
    <pageSetUpPr fitToPage="1"/>
  </sheetPr>
  <dimension ref="A1:AL113"/>
  <sheetViews>
    <sheetView view="pageBreakPreview" zoomScale="140" zoomScaleNormal="100" zoomScaleSheetLayoutView="140" workbookViewId="0">
      <pane ySplit="13" topLeftCell="A53" activePane="bottomLeft" state="frozen"/>
      <selection pane="bottomLeft" activeCell="Y98" sqref="Y98:AA98"/>
    </sheetView>
  </sheetViews>
  <sheetFormatPr baseColWidth="10" defaultColWidth="11.42578125" defaultRowHeight="15" outlineLevelRow="1"/>
  <cols>
    <col min="1" max="24" width="3.7109375" customWidth="1"/>
    <col min="25" max="36" width="4.28515625" customWidth="1"/>
    <col min="37" max="38" width="3.28515625" customWidth="1"/>
  </cols>
  <sheetData>
    <row r="1" spans="1:38" ht="14.1" customHeight="1">
      <c r="T1" s="357" t="s">
        <v>106</v>
      </c>
      <c r="U1" s="357"/>
      <c r="V1" s="357"/>
      <c r="W1" s="357"/>
      <c r="X1" s="357"/>
      <c r="Y1" s="357"/>
      <c r="Z1" s="357"/>
      <c r="AA1" s="357"/>
      <c r="AB1" s="357"/>
      <c r="AC1" s="357"/>
      <c r="AD1" s="357"/>
      <c r="AE1" s="357"/>
      <c r="AF1" s="357"/>
      <c r="AG1" s="357"/>
      <c r="AH1" s="357"/>
    </row>
    <row r="2" spans="1:38" ht="14.1" customHeight="1">
      <c r="T2" s="358"/>
      <c r="U2" s="358"/>
      <c r="V2" s="358"/>
      <c r="W2" s="358"/>
      <c r="X2" s="358"/>
      <c r="Y2" s="358"/>
      <c r="Z2" s="358"/>
      <c r="AA2" s="358"/>
      <c r="AB2" s="358"/>
      <c r="AC2" s="358"/>
      <c r="AD2" s="358"/>
      <c r="AE2" s="358"/>
      <c r="AF2" s="358"/>
      <c r="AG2" s="358"/>
      <c r="AH2" s="358"/>
    </row>
    <row r="3" spans="1:38" ht="14.1" customHeight="1">
      <c r="T3" s="358"/>
      <c r="U3" s="358"/>
      <c r="V3" s="358"/>
      <c r="W3" s="358"/>
      <c r="X3" s="358"/>
      <c r="Y3" s="358"/>
      <c r="Z3" s="358"/>
      <c r="AA3" s="358"/>
      <c r="AB3" s="358"/>
      <c r="AC3" s="358"/>
      <c r="AD3" s="358"/>
      <c r="AE3" s="358"/>
      <c r="AF3" s="358"/>
      <c r="AG3" s="358"/>
      <c r="AH3" s="358"/>
    </row>
    <row r="4" spans="1:38" ht="14.1" customHeight="1" thickBot="1">
      <c r="T4" s="359"/>
      <c r="U4" s="359"/>
      <c r="V4" s="359"/>
      <c r="W4" s="359"/>
      <c r="X4" s="359"/>
      <c r="Y4" s="359"/>
      <c r="Z4" s="359"/>
      <c r="AA4" s="359"/>
      <c r="AB4" s="359"/>
      <c r="AC4" s="359"/>
      <c r="AD4" s="359"/>
      <c r="AE4" s="359"/>
      <c r="AF4" s="359"/>
      <c r="AG4" s="359"/>
      <c r="AH4" s="359"/>
    </row>
    <row r="5" spans="1:38" ht="14.1" customHeight="1">
      <c r="E5" s="360" t="s">
        <v>1</v>
      </c>
      <c r="F5" s="361"/>
      <c r="G5" s="361"/>
      <c r="H5" s="361"/>
      <c r="I5" s="361"/>
      <c r="J5" s="361"/>
      <c r="K5" s="361"/>
      <c r="L5" s="361"/>
      <c r="M5" s="361"/>
      <c r="N5" s="361"/>
      <c r="O5" s="361"/>
      <c r="P5" s="361"/>
      <c r="Q5" s="361"/>
      <c r="R5" s="361"/>
      <c r="S5" s="362"/>
      <c r="T5" s="275" t="s">
        <v>2</v>
      </c>
      <c r="U5" s="276"/>
      <c r="V5" s="276"/>
      <c r="W5" s="276"/>
      <c r="X5" s="277"/>
      <c r="Y5" s="345">
        <f>Client</f>
        <v>0</v>
      </c>
      <c r="Z5" s="346"/>
      <c r="AA5" s="346"/>
      <c r="AB5" s="346"/>
      <c r="AC5" s="346"/>
      <c r="AD5" s="346"/>
      <c r="AE5" s="346"/>
      <c r="AF5" s="346"/>
      <c r="AG5" s="346"/>
      <c r="AH5" s="347"/>
    </row>
    <row r="6" spans="1:38" ht="14.1" customHeight="1" thickBot="1">
      <c r="E6" s="363"/>
      <c r="F6" s="364"/>
      <c r="G6" s="364"/>
      <c r="H6" s="364"/>
      <c r="I6" s="364"/>
      <c r="J6" s="364"/>
      <c r="K6" s="364"/>
      <c r="L6" s="364"/>
      <c r="M6" s="364"/>
      <c r="N6" s="364"/>
      <c r="O6" s="364"/>
      <c r="P6" s="364"/>
      <c r="Q6" s="364"/>
      <c r="R6" s="364"/>
      <c r="S6" s="365"/>
      <c r="T6" s="151" t="s">
        <v>3</v>
      </c>
      <c r="U6" s="152"/>
      <c r="V6" s="152"/>
      <c r="W6" s="152"/>
      <c r="X6" s="153"/>
      <c r="Y6" s="348">
        <f>Num_Devis</f>
        <v>0</v>
      </c>
      <c r="Z6" s="349"/>
      <c r="AA6" s="349"/>
      <c r="AB6" s="349"/>
      <c r="AC6" s="349"/>
      <c r="AD6" s="349"/>
      <c r="AE6" s="349"/>
      <c r="AF6" s="349"/>
      <c r="AG6" s="349"/>
      <c r="AH6" s="350"/>
    </row>
    <row r="7" spans="1:38" ht="15.95" customHeight="1">
      <c r="E7" s="372" t="s">
        <v>4</v>
      </c>
      <c r="F7" s="373"/>
      <c r="G7" s="373"/>
      <c r="H7" s="373"/>
      <c r="I7" s="373"/>
      <c r="J7" s="374"/>
      <c r="K7" s="345">
        <f>Commercial</f>
        <v>0</v>
      </c>
      <c r="L7" s="346"/>
      <c r="M7" s="346"/>
      <c r="N7" s="346"/>
      <c r="O7" s="346"/>
      <c r="P7" s="346"/>
      <c r="Q7" s="346"/>
      <c r="R7" s="346"/>
      <c r="S7" s="347"/>
      <c r="T7" s="149" t="s">
        <v>5</v>
      </c>
      <c r="U7" s="150"/>
      <c r="V7" s="150"/>
      <c r="W7" s="150"/>
      <c r="X7" s="207"/>
      <c r="Y7" s="348">
        <f>Code_Client_Divalto</f>
        <v>0</v>
      </c>
      <c r="Z7" s="349"/>
      <c r="AA7" s="349"/>
      <c r="AB7" s="349"/>
      <c r="AC7" s="349"/>
      <c r="AD7" s="349"/>
      <c r="AE7" s="349"/>
      <c r="AF7" s="349"/>
      <c r="AG7" s="349"/>
      <c r="AH7" s="350"/>
    </row>
    <row r="8" spans="1:38" ht="15.95" customHeight="1">
      <c r="E8" s="367" t="s">
        <v>6</v>
      </c>
      <c r="F8" s="368"/>
      <c r="G8" s="368"/>
      <c r="H8" s="368"/>
      <c r="I8" s="368"/>
      <c r="J8" s="369"/>
      <c r="K8" s="348">
        <f>ICA</f>
        <v>0</v>
      </c>
      <c r="L8" s="349"/>
      <c r="M8" s="349"/>
      <c r="N8" s="349"/>
      <c r="O8" s="349"/>
      <c r="P8" s="349"/>
      <c r="Q8" s="349"/>
      <c r="R8" s="349"/>
      <c r="S8" s="350"/>
      <c r="T8" s="367" t="s">
        <v>7</v>
      </c>
      <c r="U8" s="368"/>
      <c r="V8" s="368"/>
      <c r="W8" s="368"/>
      <c r="X8" s="369"/>
      <c r="Y8" s="348">
        <f>Affaire_Div</f>
        <v>0</v>
      </c>
      <c r="Z8" s="349"/>
      <c r="AA8" s="349"/>
      <c r="AB8" s="349"/>
      <c r="AC8" s="349"/>
      <c r="AD8" s="349"/>
      <c r="AE8" s="349"/>
      <c r="AF8" s="349"/>
      <c r="AG8" s="349"/>
      <c r="AH8" s="350"/>
    </row>
    <row r="9" spans="1:38" ht="15.95" customHeight="1" thickBot="1">
      <c r="E9" s="351" t="s">
        <v>107</v>
      </c>
      <c r="F9" s="352"/>
      <c r="G9" s="352"/>
      <c r="H9" s="352"/>
      <c r="I9" s="352"/>
      <c r="J9" s="353"/>
      <c r="K9" s="375">
        <f>ChargéAF</f>
        <v>0</v>
      </c>
      <c r="L9" s="376"/>
      <c r="M9" s="376"/>
      <c r="N9" s="376"/>
      <c r="O9" s="376"/>
      <c r="P9" s="376"/>
      <c r="Q9" s="376"/>
      <c r="R9" s="376"/>
      <c r="S9" s="377"/>
      <c r="T9" s="351" t="s">
        <v>9</v>
      </c>
      <c r="U9" s="352"/>
      <c r="V9" s="352"/>
      <c r="W9" s="352"/>
      <c r="X9" s="353"/>
      <c r="Y9" s="375">
        <f>Projet_SF</f>
        <v>0</v>
      </c>
      <c r="Z9" s="376"/>
      <c r="AA9" s="376"/>
      <c r="AB9" s="376"/>
      <c r="AC9" s="376"/>
      <c r="AD9" s="376"/>
      <c r="AE9" s="376"/>
      <c r="AF9" s="376"/>
      <c r="AG9" s="376"/>
      <c r="AH9" s="377"/>
    </row>
    <row r="10" spans="1:38" ht="12" customHeight="1"/>
    <row r="11" spans="1:38" ht="18">
      <c r="A11" s="370" t="s">
        <v>108</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71"/>
      <c r="AH11" s="371"/>
      <c r="AI11" s="371"/>
      <c r="AJ11" s="371"/>
      <c r="AK11" s="371"/>
      <c r="AL11" s="371"/>
    </row>
    <row r="12" spans="1:38">
      <c r="A12" s="170" t="s">
        <v>109</v>
      </c>
      <c r="B12" s="170"/>
      <c r="C12" s="170"/>
      <c r="D12" s="170"/>
      <c r="E12" s="170"/>
      <c r="F12" s="170"/>
      <c r="G12" s="170"/>
      <c r="H12" s="215"/>
      <c r="I12" s="215"/>
      <c r="J12" s="86" t="s">
        <v>110</v>
      </c>
      <c r="K12" s="86"/>
      <c r="R12" s="366" t="s">
        <v>111</v>
      </c>
      <c r="S12" s="366"/>
      <c r="T12" s="366"/>
      <c r="U12" s="366"/>
      <c r="V12" s="366"/>
      <c r="W12" s="366"/>
      <c r="X12" s="287"/>
      <c r="Y12" s="378"/>
      <c r="Z12" s="86" t="s">
        <v>112</v>
      </c>
      <c r="AA12" s="86"/>
      <c r="AB12" s="170" t="s">
        <v>113</v>
      </c>
      <c r="AC12" s="170"/>
      <c r="AD12" s="170"/>
      <c r="AE12" s="215"/>
      <c r="AF12" s="215"/>
      <c r="AG12" s="35" t="s">
        <v>114</v>
      </c>
      <c r="AH12" s="93"/>
      <c r="AI12" s="35" t="s">
        <v>115</v>
      </c>
      <c r="AJ12" s="35"/>
      <c r="AK12" s="93">
        <v>50</v>
      </c>
      <c r="AL12" s="35" t="s">
        <v>116</v>
      </c>
    </row>
    <row r="13" spans="1:38" ht="30.75" customHeight="1">
      <c r="A13" s="354" t="s">
        <v>117</v>
      </c>
      <c r="B13" s="354"/>
      <c r="C13" s="354"/>
      <c r="D13" s="354"/>
      <c r="E13" s="354"/>
      <c r="F13" s="354"/>
      <c r="G13" s="354"/>
      <c r="H13" s="354" t="s">
        <v>118</v>
      </c>
      <c r="I13" s="354"/>
      <c r="J13" s="354"/>
      <c r="K13" s="354" t="s">
        <v>119</v>
      </c>
      <c r="L13" s="354"/>
      <c r="M13" s="354"/>
      <c r="N13" s="354"/>
      <c r="O13" s="356" t="s">
        <v>120</v>
      </c>
      <c r="P13" s="354"/>
      <c r="Q13" s="356" t="s">
        <v>121</v>
      </c>
      <c r="R13" s="356"/>
      <c r="S13" s="356" t="s">
        <v>122</v>
      </c>
      <c r="T13" s="356"/>
      <c r="U13" s="356" t="s">
        <v>123</v>
      </c>
      <c r="V13" s="356"/>
      <c r="W13" s="356" t="s">
        <v>124</v>
      </c>
      <c r="X13" s="356"/>
      <c r="Y13" s="356" t="s">
        <v>125</v>
      </c>
      <c r="Z13" s="356"/>
      <c r="AA13" s="356"/>
      <c r="AB13" s="356" t="s">
        <v>126</v>
      </c>
      <c r="AC13" s="356"/>
      <c r="AD13" s="356"/>
      <c r="AE13" s="356" t="s">
        <v>127</v>
      </c>
      <c r="AF13" s="356"/>
      <c r="AG13" s="356"/>
      <c r="AH13" s="356" t="s">
        <v>128</v>
      </c>
      <c r="AI13" s="356"/>
      <c r="AJ13" s="356"/>
      <c r="AK13" s="356" t="s">
        <v>129</v>
      </c>
      <c r="AL13" s="356"/>
    </row>
    <row r="14" spans="1:38" ht="18.75">
      <c r="A14" s="355" t="s">
        <v>130</v>
      </c>
      <c r="B14" s="355"/>
      <c r="C14" s="355"/>
      <c r="D14" s="355"/>
      <c r="E14" s="355"/>
      <c r="F14" s="355"/>
      <c r="G14" s="355"/>
      <c r="H14" s="355"/>
      <c r="I14" s="355"/>
      <c r="J14" s="355"/>
      <c r="K14" s="355"/>
      <c r="L14" s="355"/>
      <c r="M14" s="355"/>
      <c r="N14" s="355"/>
      <c r="O14" s="355"/>
      <c r="P14" s="355"/>
      <c r="Q14" s="355"/>
      <c r="R14" s="355"/>
      <c r="S14" s="355"/>
      <c r="T14" s="170" t="s">
        <v>131</v>
      </c>
      <c r="U14" s="170"/>
      <c r="V14" s="170"/>
      <c r="W14" s="170"/>
      <c r="X14" s="170"/>
      <c r="Y14" s="215" t="s">
        <v>564</v>
      </c>
      <c r="Z14" s="215"/>
      <c r="AA14" s="215"/>
      <c r="AB14" s="170" t="s">
        <v>133</v>
      </c>
      <c r="AC14" s="170"/>
      <c r="AD14" s="170"/>
      <c r="AE14" s="170"/>
      <c r="AF14" s="215"/>
      <c r="AG14" s="215"/>
      <c r="AH14" s="215"/>
      <c r="AI14" s="215"/>
      <c r="AJ14" s="215"/>
      <c r="AK14" s="215"/>
      <c r="AL14" s="215"/>
    </row>
    <row r="15" spans="1:38" ht="18.75">
      <c r="A15" s="111" t="s">
        <v>134</v>
      </c>
      <c r="B15" s="112"/>
      <c r="C15" s="112"/>
      <c r="D15" s="112"/>
      <c r="E15" s="112"/>
      <c r="F15" s="112"/>
      <c r="G15" s="112"/>
      <c r="H15" s="113"/>
      <c r="I15" s="113"/>
      <c r="J15" s="113"/>
      <c r="K15" s="113"/>
      <c r="L15" s="113"/>
      <c r="M15" s="113"/>
      <c r="N15" s="113"/>
      <c r="O15" s="113"/>
      <c r="P15" s="113"/>
      <c r="Q15" s="113"/>
      <c r="R15" s="113"/>
      <c r="S15" s="113"/>
      <c r="T15" s="113"/>
      <c r="U15" s="113"/>
      <c r="V15" s="113"/>
      <c r="W15" s="113"/>
      <c r="X15" s="113"/>
      <c r="Y15" s="113"/>
      <c r="Z15" s="113"/>
      <c r="AA15" s="113"/>
      <c r="AB15" s="315">
        <f>SUBTOTAL(9,AB16:AD24)</f>
        <v>0</v>
      </c>
      <c r="AC15" s="315"/>
      <c r="AD15" s="315"/>
      <c r="AE15" s="324"/>
      <c r="AF15" s="325"/>
      <c r="AG15" s="326"/>
      <c r="AH15" s="315">
        <f>SUBTOTAL(9,AH16:AJ24)</f>
        <v>0</v>
      </c>
      <c r="AI15" s="315"/>
      <c r="AJ15" s="315"/>
      <c r="AK15" s="332" t="str">
        <f>IF(AH15=0,"",1-(AB15/AH15))</f>
        <v/>
      </c>
      <c r="AL15" s="332"/>
    </row>
    <row r="16" spans="1:38" outlineLevel="1">
      <c r="A16" s="316" t="s">
        <v>135</v>
      </c>
      <c r="B16" s="316"/>
      <c r="C16" s="316"/>
      <c r="D16" s="316"/>
      <c r="E16" s="316"/>
      <c r="F16" s="316"/>
      <c r="G16" s="316"/>
      <c r="H16" s="298"/>
      <c r="I16" s="298"/>
      <c r="J16" s="298"/>
      <c r="K16" s="311"/>
      <c r="L16" s="317"/>
      <c r="M16" s="317"/>
      <c r="N16" s="312"/>
      <c r="O16" s="311"/>
      <c r="P16" s="312"/>
      <c r="Q16" s="310"/>
      <c r="R16" s="298"/>
      <c r="S16" s="310"/>
      <c r="T16" s="310"/>
      <c r="U16" s="311" t="s">
        <v>136</v>
      </c>
      <c r="V16" s="312"/>
      <c r="W16" s="310"/>
      <c r="X16" s="310"/>
      <c r="Y16" s="307"/>
      <c r="Z16" s="308"/>
      <c r="AA16" s="309"/>
      <c r="AB16" s="313">
        <f t="shared" ref="AB16" si="0">Y16*W16</f>
        <v>0</v>
      </c>
      <c r="AC16" s="314"/>
      <c r="AD16" s="328"/>
      <c r="AE16" s="307"/>
      <c r="AF16" s="308"/>
      <c r="AG16" s="309"/>
      <c r="AH16" s="313">
        <f>AE16*W16</f>
        <v>0</v>
      </c>
      <c r="AI16" s="314"/>
      <c r="AJ16" s="328"/>
      <c r="AK16" s="333" t="str">
        <f>IF(ISBLANK(AE16),"",1-(Y16/AE16))</f>
        <v/>
      </c>
      <c r="AL16" s="334"/>
    </row>
    <row r="17" spans="1:38" ht="15" customHeight="1" outlineLevel="1">
      <c r="A17" s="316" t="s">
        <v>137</v>
      </c>
      <c r="B17" s="316"/>
      <c r="C17" s="316"/>
      <c r="D17" s="316"/>
      <c r="E17" s="316"/>
      <c r="F17" s="316"/>
      <c r="G17" s="316"/>
      <c r="H17" s="298"/>
      <c r="I17" s="298"/>
      <c r="J17" s="298"/>
      <c r="K17" s="311"/>
      <c r="L17" s="317"/>
      <c r="M17" s="317"/>
      <c r="N17" s="312"/>
      <c r="O17" s="311"/>
      <c r="P17" s="312"/>
      <c r="Q17" s="310"/>
      <c r="R17" s="298"/>
      <c r="S17" s="310"/>
      <c r="T17" s="310"/>
      <c r="U17" s="311" t="s">
        <v>136</v>
      </c>
      <c r="V17" s="312"/>
      <c r="W17" s="310"/>
      <c r="X17" s="310"/>
      <c r="Y17" s="307"/>
      <c r="Z17" s="308"/>
      <c r="AA17" s="309"/>
      <c r="AB17" s="313">
        <f t="shared" ref="AB17:AB22" si="1">Y17*W17</f>
        <v>0</v>
      </c>
      <c r="AC17" s="314"/>
      <c r="AD17" s="328"/>
      <c r="AE17" s="307"/>
      <c r="AF17" s="308"/>
      <c r="AG17" s="309"/>
      <c r="AH17" s="313">
        <f t="shared" ref="AH17:AH22" si="2">AE17*W17</f>
        <v>0</v>
      </c>
      <c r="AI17" s="314"/>
      <c r="AJ17" s="328"/>
      <c r="AK17" s="333" t="str">
        <f t="shared" ref="AK17:AK24" si="3">IF(ISBLANK(AE17),"",1-(Y17/AE17))</f>
        <v/>
      </c>
      <c r="AL17" s="334"/>
    </row>
    <row r="18" spans="1:38" ht="15" customHeight="1" outlineLevel="1">
      <c r="A18" s="316" t="s">
        <v>138</v>
      </c>
      <c r="B18" s="316"/>
      <c r="C18" s="316"/>
      <c r="D18" s="316"/>
      <c r="E18" s="316"/>
      <c r="F18" s="316"/>
      <c r="G18" s="316"/>
      <c r="H18" s="298"/>
      <c r="I18" s="298"/>
      <c r="J18" s="298"/>
      <c r="K18" s="311"/>
      <c r="L18" s="317"/>
      <c r="M18" s="317"/>
      <c r="N18" s="312"/>
      <c r="O18" s="311"/>
      <c r="P18" s="312"/>
      <c r="Q18" s="310"/>
      <c r="R18" s="298"/>
      <c r="S18" s="310"/>
      <c r="T18" s="310"/>
      <c r="U18" s="311" t="s">
        <v>136</v>
      </c>
      <c r="V18" s="312"/>
      <c r="W18" s="310"/>
      <c r="X18" s="310"/>
      <c r="Y18" s="307"/>
      <c r="Z18" s="308"/>
      <c r="AA18" s="309"/>
      <c r="AB18" s="313">
        <f t="shared" si="1"/>
        <v>0</v>
      </c>
      <c r="AC18" s="314"/>
      <c r="AD18" s="328"/>
      <c r="AE18" s="307"/>
      <c r="AF18" s="308"/>
      <c r="AG18" s="309"/>
      <c r="AH18" s="313">
        <f t="shared" si="2"/>
        <v>0</v>
      </c>
      <c r="AI18" s="314"/>
      <c r="AJ18" s="328"/>
      <c r="AK18" s="333" t="str">
        <f t="shared" si="3"/>
        <v/>
      </c>
      <c r="AL18" s="334"/>
    </row>
    <row r="19" spans="1:38" ht="15" customHeight="1" outlineLevel="1">
      <c r="A19" s="316" t="s">
        <v>139</v>
      </c>
      <c r="B19" s="316"/>
      <c r="C19" s="316"/>
      <c r="D19" s="316"/>
      <c r="E19" s="316"/>
      <c r="F19" s="316"/>
      <c r="G19" s="316"/>
      <c r="H19" s="298"/>
      <c r="I19" s="298"/>
      <c r="J19" s="298"/>
      <c r="K19" s="311"/>
      <c r="L19" s="317"/>
      <c r="M19" s="317"/>
      <c r="N19" s="312"/>
      <c r="O19" s="311"/>
      <c r="P19" s="312"/>
      <c r="Q19" s="310"/>
      <c r="R19" s="298"/>
      <c r="S19" s="310"/>
      <c r="T19" s="310"/>
      <c r="U19" s="311" t="s">
        <v>136</v>
      </c>
      <c r="V19" s="312"/>
      <c r="W19" s="310"/>
      <c r="X19" s="310"/>
      <c r="Y19" s="307"/>
      <c r="Z19" s="308"/>
      <c r="AA19" s="309"/>
      <c r="AB19" s="313">
        <f t="shared" si="1"/>
        <v>0</v>
      </c>
      <c r="AC19" s="314"/>
      <c r="AD19" s="328"/>
      <c r="AE19" s="307"/>
      <c r="AF19" s="308"/>
      <c r="AG19" s="309"/>
      <c r="AH19" s="313">
        <f t="shared" si="2"/>
        <v>0</v>
      </c>
      <c r="AI19" s="314"/>
      <c r="AJ19" s="328"/>
      <c r="AK19" s="333" t="str">
        <f t="shared" si="3"/>
        <v/>
      </c>
      <c r="AL19" s="334"/>
    </row>
    <row r="20" spans="1:38" ht="15" customHeight="1" outlineLevel="1">
      <c r="A20" s="316" t="s">
        <v>140</v>
      </c>
      <c r="B20" s="316"/>
      <c r="C20" s="316"/>
      <c r="D20" s="316"/>
      <c r="E20" s="316"/>
      <c r="F20" s="316"/>
      <c r="G20" s="316"/>
      <c r="H20" s="298"/>
      <c r="I20" s="298"/>
      <c r="J20" s="298"/>
      <c r="K20" s="311"/>
      <c r="L20" s="317"/>
      <c r="M20" s="317"/>
      <c r="N20" s="312"/>
      <c r="O20" s="311"/>
      <c r="P20" s="312"/>
      <c r="Q20" s="310"/>
      <c r="R20" s="298"/>
      <c r="S20" s="310"/>
      <c r="T20" s="310"/>
      <c r="U20" s="311" t="s">
        <v>136</v>
      </c>
      <c r="V20" s="312"/>
      <c r="W20" s="310"/>
      <c r="X20" s="310"/>
      <c r="Y20" s="307"/>
      <c r="Z20" s="308"/>
      <c r="AA20" s="309"/>
      <c r="AB20" s="313">
        <f t="shared" si="1"/>
        <v>0</v>
      </c>
      <c r="AC20" s="314"/>
      <c r="AD20" s="328"/>
      <c r="AE20" s="307"/>
      <c r="AF20" s="308"/>
      <c r="AG20" s="309"/>
      <c r="AH20" s="313">
        <f t="shared" si="2"/>
        <v>0</v>
      </c>
      <c r="AI20" s="314"/>
      <c r="AJ20" s="328"/>
      <c r="AK20" s="333" t="str">
        <f t="shared" si="3"/>
        <v/>
      </c>
      <c r="AL20" s="334"/>
    </row>
    <row r="21" spans="1:38" ht="15" customHeight="1" outlineLevel="1">
      <c r="A21" s="316" t="s">
        <v>141</v>
      </c>
      <c r="B21" s="316"/>
      <c r="C21" s="316"/>
      <c r="D21" s="316"/>
      <c r="E21" s="316"/>
      <c r="F21" s="316"/>
      <c r="G21" s="316"/>
      <c r="H21" s="298"/>
      <c r="I21" s="298"/>
      <c r="J21" s="298"/>
      <c r="K21" s="311"/>
      <c r="L21" s="317"/>
      <c r="M21" s="317"/>
      <c r="N21" s="312"/>
      <c r="O21" s="311"/>
      <c r="P21" s="312"/>
      <c r="Q21" s="310"/>
      <c r="R21" s="298"/>
      <c r="S21" s="310"/>
      <c r="T21" s="310"/>
      <c r="U21" s="311" t="s">
        <v>136</v>
      </c>
      <c r="V21" s="312"/>
      <c r="W21" s="310"/>
      <c r="X21" s="310"/>
      <c r="Y21" s="307"/>
      <c r="Z21" s="308"/>
      <c r="AA21" s="309"/>
      <c r="AB21" s="313">
        <f t="shared" si="1"/>
        <v>0</v>
      </c>
      <c r="AC21" s="314"/>
      <c r="AD21" s="328"/>
      <c r="AE21" s="307"/>
      <c r="AF21" s="308"/>
      <c r="AG21" s="309"/>
      <c r="AH21" s="313">
        <f t="shared" si="2"/>
        <v>0</v>
      </c>
      <c r="AI21" s="314"/>
      <c r="AJ21" s="328"/>
      <c r="AK21" s="333" t="str">
        <f t="shared" si="3"/>
        <v/>
      </c>
      <c r="AL21" s="334"/>
    </row>
    <row r="22" spans="1:38" ht="15" customHeight="1" outlineLevel="1">
      <c r="A22" s="316" t="s">
        <v>142</v>
      </c>
      <c r="B22" s="316"/>
      <c r="C22" s="316"/>
      <c r="D22" s="316"/>
      <c r="E22" s="316"/>
      <c r="F22" s="316"/>
      <c r="G22" s="316"/>
      <c r="H22" s="298"/>
      <c r="I22" s="298"/>
      <c r="J22" s="298"/>
      <c r="K22" s="311"/>
      <c r="L22" s="317"/>
      <c r="M22" s="317"/>
      <c r="N22" s="312"/>
      <c r="O22" s="311"/>
      <c r="P22" s="312"/>
      <c r="Q22" s="310"/>
      <c r="R22" s="298"/>
      <c r="S22" s="310"/>
      <c r="T22" s="310"/>
      <c r="U22" s="311" t="s">
        <v>136</v>
      </c>
      <c r="V22" s="312"/>
      <c r="W22" s="310"/>
      <c r="X22" s="310"/>
      <c r="Y22" s="307"/>
      <c r="Z22" s="308"/>
      <c r="AA22" s="309"/>
      <c r="AB22" s="313">
        <f t="shared" si="1"/>
        <v>0</v>
      </c>
      <c r="AC22" s="314"/>
      <c r="AD22" s="328"/>
      <c r="AE22" s="307"/>
      <c r="AF22" s="308"/>
      <c r="AG22" s="309"/>
      <c r="AH22" s="313">
        <f t="shared" si="2"/>
        <v>0</v>
      </c>
      <c r="AI22" s="314"/>
      <c r="AJ22" s="328"/>
      <c r="AK22" s="333" t="str">
        <f t="shared" si="3"/>
        <v/>
      </c>
      <c r="AL22" s="334"/>
    </row>
    <row r="23" spans="1:38" ht="15" customHeight="1" outlineLevel="1">
      <c r="A23" s="316" t="s">
        <v>143</v>
      </c>
      <c r="B23" s="316"/>
      <c r="C23" s="316"/>
      <c r="D23" s="316"/>
      <c r="E23" s="316"/>
      <c r="F23" s="316"/>
      <c r="G23" s="316"/>
      <c r="H23" s="298"/>
      <c r="I23" s="298"/>
      <c r="J23" s="298"/>
      <c r="K23" s="311"/>
      <c r="L23" s="317"/>
      <c r="M23" s="317"/>
      <c r="N23" s="312"/>
      <c r="O23" s="311"/>
      <c r="P23" s="312"/>
      <c r="Q23" s="310"/>
      <c r="R23" s="298"/>
      <c r="S23" s="310"/>
      <c r="T23" s="310"/>
      <c r="U23" s="311" t="s">
        <v>136</v>
      </c>
      <c r="V23" s="312"/>
      <c r="W23" s="310"/>
      <c r="X23" s="310"/>
      <c r="Y23" s="307"/>
      <c r="Z23" s="308"/>
      <c r="AA23" s="309"/>
      <c r="AB23" s="313">
        <f t="shared" ref="AB23" si="4">Y23*W23</f>
        <v>0</v>
      </c>
      <c r="AC23" s="314"/>
      <c r="AD23" s="328"/>
      <c r="AE23" s="307"/>
      <c r="AF23" s="308"/>
      <c r="AG23" s="309"/>
      <c r="AH23" s="313">
        <f t="shared" ref="AH23" si="5">AE23*W23</f>
        <v>0</v>
      </c>
      <c r="AI23" s="314"/>
      <c r="AJ23" s="328"/>
      <c r="AK23" s="333" t="str">
        <f t="shared" ref="AK23" si="6">IF(ISBLANK(AE23),"",1-(Y23/AE23))</f>
        <v/>
      </c>
      <c r="AL23" s="334"/>
    </row>
    <row r="24" spans="1:38" outlineLevel="1">
      <c r="A24" s="316" t="s">
        <v>144</v>
      </c>
      <c r="B24" s="316"/>
      <c r="C24" s="316"/>
      <c r="D24" s="316"/>
      <c r="E24" s="316"/>
      <c r="F24" s="316"/>
      <c r="G24" s="316"/>
      <c r="H24" s="298"/>
      <c r="I24" s="298"/>
      <c r="J24" s="298"/>
      <c r="K24" s="311"/>
      <c r="L24" s="317"/>
      <c r="M24" s="317"/>
      <c r="N24" s="312"/>
      <c r="O24" s="311"/>
      <c r="P24" s="312"/>
      <c r="Q24" s="310"/>
      <c r="R24" s="298"/>
      <c r="S24" s="310"/>
      <c r="T24" s="310"/>
      <c r="U24" s="311" t="s">
        <v>136</v>
      </c>
      <c r="V24" s="312"/>
      <c r="W24" s="310"/>
      <c r="X24" s="310"/>
      <c r="Y24" s="307"/>
      <c r="Z24" s="308"/>
      <c r="AA24" s="309"/>
      <c r="AB24" s="313">
        <f t="shared" ref="AB24" si="7">Y24*W24</f>
        <v>0</v>
      </c>
      <c r="AC24" s="314"/>
      <c r="AD24" s="328"/>
      <c r="AE24" s="307"/>
      <c r="AF24" s="308"/>
      <c r="AG24" s="309"/>
      <c r="AH24" s="313">
        <f t="shared" ref="AH24" si="8">AE24*W24</f>
        <v>0</v>
      </c>
      <c r="AI24" s="314"/>
      <c r="AJ24" s="328"/>
      <c r="AK24" s="333" t="str">
        <f t="shared" si="3"/>
        <v/>
      </c>
      <c r="AL24" s="334"/>
    </row>
    <row r="25" spans="1:38" ht="18.75">
      <c r="A25" s="111" t="s">
        <v>145</v>
      </c>
      <c r="B25" s="112"/>
      <c r="C25" s="112"/>
      <c r="D25" s="112"/>
      <c r="E25" s="112"/>
      <c r="F25" s="112"/>
      <c r="G25" s="112"/>
      <c r="H25" s="113"/>
      <c r="I25" s="113"/>
      <c r="J25" s="113"/>
      <c r="K25" s="113"/>
      <c r="L25" s="113"/>
      <c r="M25" s="113"/>
      <c r="N25" s="113"/>
      <c r="O25" s="113"/>
      <c r="P25" s="113"/>
      <c r="Q25" s="113"/>
      <c r="R25" s="113"/>
      <c r="S25" s="113"/>
      <c r="T25" s="113"/>
      <c r="U25" s="113"/>
      <c r="V25" s="113"/>
      <c r="W25" s="113"/>
      <c r="X25" s="113"/>
      <c r="Y25" s="321"/>
      <c r="Z25" s="322"/>
      <c r="AA25" s="323"/>
      <c r="AB25" s="315">
        <f>SUBTOTAL(9,AB26:AD30)</f>
        <v>0</v>
      </c>
      <c r="AC25" s="315"/>
      <c r="AD25" s="315"/>
      <c r="AE25" s="321"/>
      <c r="AF25" s="322"/>
      <c r="AG25" s="323"/>
      <c r="AH25" s="315">
        <f>SUBTOTAL(9,AH26:AJ30)</f>
        <v>0</v>
      </c>
      <c r="AI25" s="315"/>
      <c r="AJ25" s="315"/>
      <c r="AK25" s="332" t="str">
        <f>IF(AH25=0,"",1-(AB25/AH25))</f>
        <v/>
      </c>
      <c r="AL25" s="332"/>
    </row>
    <row r="26" spans="1:38" outlineLevel="1">
      <c r="A26" s="316" t="s">
        <v>146</v>
      </c>
      <c r="B26" s="316"/>
      <c r="C26" s="316"/>
      <c r="D26" s="316"/>
      <c r="E26" s="316"/>
      <c r="F26" s="316"/>
      <c r="G26" s="316"/>
      <c r="H26" s="298"/>
      <c r="I26" s="298"/>
      <c r="J26" s="298"/>
      <c r="K26" s="311"/>
      <c r="L26" s="317"/>
      <c r="M26" s="317"/>
      <c r="N26" s="312"/>
      <c r="O26" s="311"/>
      <c r="P26" s="312"/>
      <c r="Q26" s="310"/>
      <c r="R26" s="298"/>
      <c r="S26" s="310"/>
      <c r="T26" s="310"/>
      <c r="U26" s="311" t="s">
        <v>136</v>
      </c>
      <c r="V26" s="312"/>
      <c r="W26" s="310"/>
      <c r="X26" s="310"/>
      <c r="Y26" s="307"/>
      <c r="Z26" s="308"/>
      <c r="AA26" s="309"/>
      <c r="AB26" s="313">
        <f t="shared" ref="AB26:AB30" si="9">Y26*W26</f>
        <v>0</v>
      </c>
      <c r="AC26" s="314"/>
      <c r="AD26" s="328"/>
      <c r="AE26" s="307"/>
      <c r="AF26" s="308"/>
      <c r="AG26" s="309"/>
      <c r="AH26" s="313">
        <f t="shared" ref="AH26:AH30" si="10">AE26*W26</f>
        <v>0</v>
      </c>
      <c r="AI26" s="314"/>
      <c r="AJ26" s="328"/>
      <c r="AK26" s="333" t="str">
        <f>IF(ISBLANK(AE26),"",1-(Y26/AE26))</f>
        <v/>
      </c>
      <c r="AL26" s="334"/>
    </row>
    <row r="27" spans="1:38" outlineLevel="1">
      <c r="A27" s="316" t="s">
        <v>147</v>
      </c>
      <c r="B27" s="316"/>
      <c r="C27" s="316"/>
      <c r="D27" s="316"/>
      <c r="E27" s="316"/>
      <c r="F27" s="316"/>
      <c r="G27" s="316"/>
      <c r="H27" s="298"/>
      <c r="I27" s="298"/>
      <c r="J27" s="298"/>
      <c r="K27" s="311"/>
      <c r="L27" s="317"/>
      <c r="M27" s="317"/>
      <c r="N27" s="312"/>
      <c r="O27" s="311"/>
      <c r="P27" s="312"/>
      <c r="Q27" s="310"/>
      <c r="R27" s="298"/>
      <c r="S27" s="310"/>
      <c r="T27" s="310"/>
      <c r="U27" s="311" t="s">
        <v>136</v>
      </c>
      <c r="V27" s="312"/>
      <c r="W27" s="310"/>
      <c r="X27" s="310"/>
      <c r="Y27" s="307"/>
      <c r="Z27" s="308"/>
      <c r="AA27" s="309"/>
      <c r="AB27" s="313">
        <f t="shared" ref="AB27" si="11">Y27*W27</f>
        <v>0</v>
      </c>
      <c r="AC27" s="314"/>
      <c r="AD27" s="328"/>
      <c r="AE27" s="307"/>
      <c r="AF27" s="308"/>
      <c r="AG27" s="309"/>
      <c r="AH27" s="313">
        <f t="shared" ref="AH27" si="12">AE27*W27</f>
        <v>0</v>
      </c>
      <c r="AI27" s="314"/>
      <c r="AJ27" s="328"/>
      <c r="AK27" s="333" t="str">
        <f>IF(ISBLANK(AE27),"",1-(Y27/AE27))</f>
        <v/>
      </c>
      <c r="AL27" s="334"/>
    </row>
    <row r="28" spans="1:38" outlineLevel="1">
      <c r="A28" s="316" t="s">
        <v>148</v>
      </c>
      <c r="B28" s="316"/>
      <c r="C28" s="316"/>
      <c r="D28" s="316"/>
      <c r="E28" s="316"/>
      <c r="F28" s="316"/>
      <c r="G28" s="316"/>
      <c r="H28" s="298"/>
      <c r="I28" s="298"/>
      <c r="J28" s="298"/>
      <c r="K28" s="311"/>
      <c r="L28" s="317"/>
      <c r="M28" s="317"/>
      <c r="N28" s="312"/>
      <c r="O28" s="311"/>
      <c r="P28" s="312"/>
      <c r="Q28" s="310"/>
      <c r="R28" s="298"/>
      <c r="S28" s="310"/>
      <c r="T28" s="310"/>
      <c r="U28" s="311" t="s">
        <v>136</v>
      </c>
      <c r="V28" s="312"/>
      <c r="W28" s="310"/>
      <c r="X28" s="310"/>
      <c r="Y28" s="307"/>
      <c r="Z28" s="308"/>
      <c r="AA28" s="309"/>
      <c r="AB28" s="313">
        <f t="shared" ref="AB28:AB29" si="13">Y28*W28</f>
        <v>0</v>
      </c>
      <c r="AC28" s="314"/>
      <c r="AD28" s="328"/>
      <c r="AE28" s="307"/>
      <c r="AF28" s="308"/>
      <c r="AG28" s="309"/>
      <c r="AH28" s="313">
        <f t="shared" ref="AH28:AH29" si="14">AE28*W28</f>
        <v>0</v>
      </c>
      <c r="AI28" s="314"/>
      <c r="AJ28" s="328"/>
      <c r="AK28" s="333" t="str">
        <f t="shared" ref="AK28:AK29" si="15">IF(ISBLANK(AE28),"",1-(Y28/AE28))</f>
        <v/>
      </c>
      <c r="AL28" s="334"/>
    </row>
    <row r="29" spans="1:38" outlineLevel="1">
      <c r="A29" s="316" t="s">
        <v>149</v>
      </c>
      <c r="B29" s="316"/>
      <c r="C29" s="316"/>
      <c r="D29" s="316"/>
      <c r="E29" s="316"/>
      <c r="F29" s="316"/>
      <c r="G29" s="316"/>
      <c r="H29" s="298"/>
      <c r="I29" s="298"/>
      <c r="J29" s="298"/>
      <c r="K29" s="311"/>
      <c r="L29" s="317"/>
      <c r="M29" s="317"/>
      <c r="N29" s="312"/>
      <c r="O29" s="311"/>
      <c r="P29" s="312"/>
      <c r="Q29" s="310"/>
      <c r="R29" s="298"/>
      <c r="S29" s="310"/>
      <c r="T29" s="310"/>
      <c r="U29" s="311" t="s">
        <v>136</v>
      </c>
      <c r="V29" s="312"/>
      <c r="W29" s="310"/>
      <c r="X29" s="310"/>
      <c r="Y29" s="307"/>
      <c r="Z29" s="308"/>
      <c r="AA29" s="309"/>
      <c r="AB29" s="313">
        <f t="shared" si="13"/>
        <v>0</v>
      </c>
      <c r="AC29" s="314"/>
      <c r="AD29" s="328"/>
      <c r="AE29" s="307"/>
      <c r="AF29" s="308"/>
      <c r="AG29" s="309"/>
      <c r="AH29" s="313">
        <f t="shared" si="14"/>
        <v>0</v>
      </c>
      <c r="AI29" s="314"/>
      <c r="AJ29" s="328"/>
      <c r="AK29" s="333" t="str">
        <f t="shared" si="15"/>
        <v/>
      </c>
      <c r="AL29" s="334"/>
    </row>
    <row r="30" spans="1:38" outlineLevel="1">
      <c r="A30" s="316" t="s">
        <v>149</v>
      </c>
      <c r="B30" s="316"/>
      <c r="C30" s="316"/>
      <c r="D30" s="316"/>
      <c r="E30" s="316"/>
      <c r="F30" s="316"/>
      <c r="G30" s="316"/>
      <c r="H30" s="298"/>
      <c r="I30" s="298"/>
      <c r="J30" s="298"/>
      <c r="K30" s="311"/>
      <c r="L30" s="317"/>
      <c r="M30" s="317"/>
      <c r="N30" s="312"/>
      <c r="O30" s="311"/>
      <c r="P30" s="312"/>
      <c r="Q30" s="310"/>
      <c r="R30" s="298"/>
      <c r="S30" s="310"/>
      <c r="T30" s="310"/>
      <c r="U30" s="311" t="s">
        <v>136</v>
      </c>
      <c r="V30" s="312"/>
      <c r="W30" s="310"/>
      <c r="X30" s="310"/>
      <c r="Y30" s="307"/>
      <c r="Z30" s="308"/>
      <c r="AA30" s="309"/>
      <c r="AB30" s="313">
        <f t="shared" si="9"/>
        <v>0</v>
      </c>
      <c r="AC30" s="314"/>
      <c r="AD30" s="328"/>
      <c r="AE30" s="307"/>
      <c r="AF30" s="308"/>
      <c r="AG30" s="309"/>
      <c r="AH30" s="313">
        <f t="shared" si="10"/>
        <v>0</v>
      </c>
      <c r="AI30" s="314"/>
      <c r="AJ30" s="328"/>
      <c r="AK30" s="333" t="str">
        <f>IF(ISBLANK(AE30),"",1-(Y30/AE30))</f>
        <v/>
      </c>
      <c r="AL30" s="334"/>
    </row>
    <row r="31" spans="1:38" ht="18.75">
      <c r="A31" s="111" t="s">
        <v>150</v>
      </c>
      <c r="B31" s="112"/>
      <c r="C31" s="112"/>
      <c r="D31" s="112"/>
      <c r="E31" s="112"/>
      <c r="F31" s="112"/>
      <c r="G31" s="112"/>
      <c r="H31" s="113"/>
      <c r="I31" s="113"/>
      <c r="J31" s="113"/>
      <c r="K31" s="113"/>
      <c r="L31" s="113"/>
      <c r="M31" s="113"/>
      <c r="N31" s="113"/>
      <c r="O31" s="113"/>
      <c r="P31" s="113"/>
      <c r="Q31" s="113"/>
      <c r="R31" s="113"/>
      <c r="S31" s="113"/>
      <c r="T31" s="113"/>
      <c r="U31" s="113"/>
      <c r="V31" s="113"/>
      <c r="W31" s="113"/>
      <c r="X31" s="113"/>
      <c r="Y31" s="321"/>
      <c r="Z31" s="322"/>
      <c r="AA31" s="323"/>
      <c r="AB31" s="315">
        <f>SUBTOTAL(9,AB32:AD34)</f>
        <v>0</v>
      </c>
      <c r="AC31" s="315"/>
      <c r="AD31" s="315"/>
      <c r="AE31" s="321"/>
      <c r="AF31" s="322"/>
      <c r="AG31" s="323"/>
      <c r="AH31" s="315">
        <f>SUBTOTAL(9,AH32:AJ34)</f>
        <v>0</v>
      </c>
      <c r="AI31" s="315"/>
      <c r="AJ31" s="315"/>
      <c r="AK31" s="332" t="str">
        <f>IF(AH31=0,"",1-(AB31/AH31))</f>
        <v/>
      </c>
      <c r="AL31" s="332"/>
    </row>
    <row r="32" spans="1:38" outlineLevel="1">
      <c r="A32" s="316" t="s">
        <v>151</v>
      </c>
      <c r="B32" s="316"/>
      <c r="C32" s="316"/>
      <c r="D32" s="316"/>
      <c r="E32" s="316"/>
      <c r="F32" s="316"/>
      <c r="G32" s="316"/>
      <c r="H32" s="298"/>
      <c r="I32" s="298"/>
      <c r="J32" s="298"/>
      <c r="K32" s="311"/>
      <c r="L32" s="317"/>
      <c r="M32" s="317"/>
      <c r="N32" s="312"/>
      <c r="O32" s="311"/>
      <c r="P32" s="312"/>
      <c r="Q32" s="310"/>
      <c r="R32" s="298"/>
      <c r="S32" s="310"/>
      <c r="T32" s="310"/>
      <c r="U32" s="311" t="s">
        <v>136</v>
      </c>
      <c r="V32" s="312"/>
      <c r="W32" s="310"/>
      <c r="X32" s="310"/>
      <c r="Y32" s="307"/>
      <c r="Z32" s="308"/>
      <c r="AA32" s="309"/>
      <c r="AB32" s="313">
        <f>Y32*W32</f>
        <v>0</v>
      </c>
      <c r="AC32" s="314"/>
      <c r="AD32" s="314"/>
      <c r="AE32" s="307"/>
      <c r="AF32" s="308"/>
      <c r="AG32" s="309"/>
      <c r="AH32" s="314">
        <f>AE32*W32</f>
        <v>0</v>
      </c>
      <c r="AI32" s="314"/>
      <c r="AJ32" s="328"/>
      <c r="AK32" s="333" t="str">
        <f>IF(ISBLANK(AE32),"",1-(Y32/AE32))</f>
        <v/>
      </c>
      <c r="AL32" s="334"/>
    </row>
    <row r="33" spans="1:38" outlineLevel="1">
      <c r="A33" s="316" t="s">
        <v>152</v>
      </c>
      <c r="B33" s="316"/>
      <c r="C33" s="316"/>
      <c r="D33" s="316"/>
      <c r="E33" s="316"/>
      <c r="F33" s="316"/>
      <c r="G33" s="316"/>
      <c r="H33" s="298"/>
      <c r="I33" s="298"/>
      <c r="J33" s="298"/>
      <c r="K33" s="311"/>
      <c r="L33" s="317"/>
      <c r="M33" s="317"/>
      <c r="N33" s="312"/>
      <c r="O33" s="311"/>
      <c r="P33" s="312"/>
      <c r="Q33" s="310"/>
      <c r="R33" s="298"/>
      <c r="S33" s="310"/>
      <c r="T33" s="310"/>
      <c r="U33" s="311" t="s">
        <v>136</v>
      </c>
      <c r="V33" s="312"/>
      <c r="W33" s="310"/>
      <c r="X33" s="310"/>
      <c r="Y33" s="307"/>
      <c r="Z33" s="308"/>
      <c r="AA33" s="309"/>
      <c r="AB33" s="313">
        <f t="shared" ref="AB33" si="16">Y33*W33</f>
        <v>0</v>
      </c>
      <c r="AC33" s="314"/>
      <c r="AD33" s="314"/>
      <c r="AE33" s="307"/>
      <c r="AF33" s="308"/>
      <c r="AG33" s="309"/>
      <c r="AH33" s="314">
        <f t="shared" ref="AH33" si="17">AE33*W33</f>
        <v>0</v>
      </c>
      <c r="AI33" s="314"/>
      <c r="AJ33" s="328"/>
      <c r="AK33" s="333" t="str">
        <f>IF(ISBLANK(AE33),"",1-(Y33/AE33))</f>
        <v/>
      </c>
      <c r="AL33" s="334"/>
    </row>
    <row r="34" spans="1:38" outlineLevel="1">
      <c r="A34" s="316" t="s">
        <v>153</v>
      </c>
      <c r="B34" s="316"/>
      <c r="C34" s="316"/>
      <c r="D34" s="316"/>
      <c r="E34" s="316"/>
      <c r="F34" s="316"/>
      <c r="G34" s="316"/>
      <c r="H34" s="298"/>
      <c r="I34" s="298"/>
      <c r="J34" s="298"/>
      <c r="K34" s="311"/>
      <c r="L34" s="317"/>
      <c r="M34" s="317"/>
      <c r="N34" s="312"/>
      <c r="O34" s="311"/>
      <c r="P34" s="312"/>
      <c r="Q34" s="310"/>
      <c r="R34" s="298"/>
      <c r="S34" s="310"/>
      <c r="T34" s="310"/>
      <c r="U34" s="311" t="s">
        <v>136</v>
      </c>
      <c r="V34" s="312"/>
      <c r="W34" s="310"/>
      <c r="X34" s="310"/>
      <c r="Y34" s="307"/>
      <c r="Z34" s="308"/>
      <c r="AA34" s="309"/>
      <c r="AB34" s="313">
        <f t="shared" ref="AB34" si="18">Y34*W34</f>
        <v>0</v>
      </c>
      <c r="AC34" s="314"/>
      <c r="AD34" s="314"/>
      <c r="AE34" s="307"/>
      <c r="AF34" s="308"/>
      <c r="AG34" s="309"/>
      <c r="AH34" s="314">
        <f t="shared" ref="AH34" si="19">AE34*W34</f>
        <v>0</v>
      </c>
      <c r="AI34" s="314"/>
      <c r="AJ34" s="328"/>
      <c r="AK34" s="333" t="str">
        <f>IF(ISBLANK(AE34),"",1-(Y34/AE34))</f>
        <v/>
      </c>
      <c r="AL34" s="334"/>
    </row>
    <row r="35" spans="1:38" ht="18.75">
      <c r="A35" s="111" t="s">
        <v>154</v>
      </c>
      <c r="B35" s="112"/>
      <c r="C35" s="112"/>
      <c r="D35" s="112"/>
      <c r="E35" s="112"/>
      <c r="F35" s="112"/>
      <c r="G35" s="112"/>
      <c r="H35" s="113"/>
      <c r="I35" s="113"/>
      <c r="J35" s="113"/>
      <c r="K35" s="113"/>
      <c r="L35" s="113"/>
      <c r="M35" s="113"/>
      <c r="N35" s="113"/>
      <c r="O35" s="113"/>
      <c r="P35" s="113"/>
      <c r="Q35" s="113"/>
      <c r="R35" s="113"/>
      <c r="S35" s="113"/>
      <c r="T35" s="113"/>
      <c r="U35" s="113"/>
      <c r="V35" s="113"/>
      <c r="W35" s="113"/>
      <c r="X35" s="113"/>
      <c r="Y35" s="321"/>
      <c r="Z35" s="322"/>
      <c r="AA35" s="323"/>
      <c r="AB35" s="315">
        <f>SUBTOTAL(9,AB36:AD39)</f>
        <v>0</v>
      </c>
      <c r="AC35" s="315"/>
      <c r="AD35" s="315"/>
      <c r="AE35" s="321"/>
      <c r="AF35" s="322"/>
      <c r="AG35" s="323"/>
      <c r="AH35" s="315">
        <f>SUBTOTAL(9,AH36:AJ39)</f>
        <v>0</v>
      </c>
      <c r="AI35" s="315"/>
      <c r="AJ35" s="315"/>
      <c r="AK35" s="332" t="str">
        <f>IF(AH35=0,"",1-(AB35/AH35))</f>
        <v/>
      </c>
      <c r="AL35" s="332"/>
    </row>
    <row r="36" spans="1:38" ht="15" customHeight="1" outlineLevel="1">
      <c r="A36" s="316" t="s">
        <v>155</v>
      </c>
      <c r="B36" s="316"/>
      <c r="C36" s="316"/>
      <c r="D36" s="316"/>
      <c r="E36" s="316"/>
      <c r="F36" s="316"/>
      <c r="G36" s="316"/>
      <c r="H36" s="298"/>
      <c r="I36" s="298"/>
      <c r="J36" s="298"/>
      <c r="K36" s="311"/>
      <c r="L36" s="317"/>
      <c r="M36" s="317"/>
      <c r="N36" s="312"/>
      <c r="O36" s="311"/>
      <c r="P36" s="312"/>
      <c r="Q36" s="310"/>
      <c r="R36" s="298"/>
      <c r="S36" s="310"/>
      <c r="T36" s="310"/>
      <c r="U36" s="311" t="s">
        <v>136</v>
      </c>
      <c r="V36" s="312"/>
      <c r="W36" s="310"/>
      <c r="X36" s="310"/>
      <c r="Y36" s="307"/>
      <c r="Z36" s="308"/>
      <c r="AA36" s="309"/>
      <c r="AB36" s="313">
        <f t="shared" ref="AB36:AB39" si="20">Y36*W36</f>
        <v>0</v>
      </c>
      <c r="AC36" s="314"/>
      <c r="AD36" s="314"/>
      <c r="AE36" s="307"/>
      <c r="AF36" s="308"/>
      <c r="AG36" s="309"/>
      <c r="AH36" s="314">
        <f t="shared" ref="AH36:AH39" si="21">AE36*W36</f>
        <v>0</v>
      </c>
      <c r="AI36" s="314"/>
      <c r="AJ36" s="328"/>
      <c r="AK36" s="333" t="str">
        <f>IF(ISBLANK(AE36),"",1-(Y36/AE36))</f>
        <v/>
      </c>
      <c r="AL36" s="334"/>
    </row>
    <row r="37" spans="1:38" ht="15" customHeight="1" outlineLevel="1">
      <c r="A37" s="316" t="s">
        <v>155</v>
      </c>
      <c r="B37" s="316"/>
      <c r="C37" s="316"/>
      <c r="D37" s="316"/>
      <c r="E37" s="316"/>
      <c r="F37" s="316"/>
      <c r="G37" s="316"/>
      <c r="H37" s="298"/>
      <c r="I37" s="298"/>
      <c r="J37" s="298"/>
      <c r="K37" s="311"/>
      <c r="L37" s="317"/>
      <c r="M37" s="317"/>
      <c r="N37" s="312"/>
      <c r="O37" s="311"/>
      <c r="P37" s="312"/>
      <c r="Q37" s="310"/>
      <c r="R37" s="298"/>
      <c r="S37" s="310"/>
      <c r="T37" s="310"/>
      <c r="U37" s="311" t="s">
        <v>136</v>
      </c>
      <c r="V37" s="312"/>
      <c r="W37" s="310"/>
      <c r="X37" s="310"/>
      <c r="Y37" s="307"/>
      <c r="Z37" s="308"/>
      <c r="AA37" s="309"/>
      <c r="AB37" s="313">
        <f t="shared" ref="AB37" si="22">Y37*W37</f>
        <v>0</v>
      </c>
      <c r="AC37" s="314"/>
      <c r="AD37" s="314"/>
      <c r="AE37" s="307"/>
      <c r="AF37" s="308"/>
      <c r="AG37" s="309"/>
      <c r="AH37" s="314">
        <f t="shared" ref="AH37" si="23">AE37*W37</f>
        <v>0</v>
      </c>
      <c r="AI37" s="314"/>
      <c r="AJ37" s="328"/>
      <c r="AK37" s="333" t="str">
        <f>IF(ISBLANK(AE37),"",1-(Y37/AE37))</f>
        <v/>
      </c>
      <c r="AL37" s="334"/>
    </row>
    <row r="38" spans="1:38" ht="15" customHeight="1" outlineLevel="1">
      <c r="A38" s="316" t="s">
        <v>156</v>
      </c>
      <c r="B38" s="316"/>
      <c r="C38" s="316"/>
      <c r="D38" s="316"/>
      <c r="E38" s="316"/>
      <c r="F38" s="316"/>
      <c r="G38" s="316"/>
      <c r="H38" s="298"/>
      <c r="I38" s="298"/>
      <c r="J38" s="298"/>
      <c r="K38" s="311"/>
      <c r="L38" s="317"/>
      <c r="M38" s="317"/>
      <c r="N38" s="312"/>
      <c r="O38" s="311"/>
      <c r="P38" s="312"/>
      <c r="Q38" s="310"/>
      <c r="R38" s="298"/>
      <c r="S38" s="310"/>
      <c r="T38" s="310"/>
      <c r="U38" s="311" t="s">
        <v>136</v>
      </c>
      <c r="V38" s="312"/>
      <c r="W38" s="310"/>
      <c r="X38" s="310"/>
      <c r="Y38" s="307"/>
      <c r="Z38" s="308"/>
      <c r="AA38" s="309"/>
      <c r="AB38" s="313">
        <f t="shared" ref="AB38" si="24">Y38*W38</f>
        <v>0</v>
      </c>
      <c r="AC38" s="314"/>
      <c r="AD38" s="314"/>
      <c r="AE38" s="307"/>
      <c r="AF38" s="308"/>
      <c r="AG38" s="309"/>
      <c r="AH38" s="314">
        <f t="shared" ref="AH38" si="25">AE38*W38</f>
        <v>0</v>
      </c>
      <c r="AI38" s="314"/>
      <c r="AJ38" s="328"/>
      <c r="AK38" s="333" t="str">
        <f>IF(ISBLANK(AE38),"",1-(Y38/AE38))</f>
        <v/>
      </c>
      <c r="AL38" s="334"/>
    </row>
    <row r="39" spans="1:38" ht="15" customHeight="1" outlineLevel="1">
      <c r="A39" s="316" t="s">
        <v>156</v>
      </c>
      <c r="B39" s="316"/>
      <c r="C39" s="316"/>
      <c r="D39" s="316"/>
      <c r="E39" s="316"/>
      <c r="F39" s="316"/>
      <c r="G39" s="316"/>
      <c r="H39" s="298"/>
      <c r="I39" s="298"/>
      <c r="J39" s="298"/>
      <c r="K39" s="311"/>
      <c r="L39" s="317"/>
      <c r="M39" s="317"/>
      <c r="N39" s="312"/>
      <c r="O39" s="311"/>
      <c r="P39" s="312"/>
      <c r="Q39" s="310"/>
      <c r="R39" s="298"/>
      <c r="S39" s="310"/>
      <c r="T39" s="310"/>
      <c r="U39" s="311" t="s">
        <v>136</v>
      </c>
      <c r="V39" s="312"/>
      <c r="W39" s="310"/>
      <c r="X39" s="310"/>
      <c r="Y39" s="307"/>
      <c r="Z39" s="308"/>
      <c r="AA39" s="309"/>
      <c r="AB39" s="313">
        <f t="shared" si="20"/>
        <v>0</v>
      </c>
      <c r="AC39" s="314"/>
      <c r="AD39" s="314"/>
      <c r="AE39" s="307"/>
      <c r="AF39" s="308"/>
      <c r="AG39" s="309"/>
      <c r="AH39" s="314">
        <f t="shared" si="21"/>
        <v>0</v>
      </c>
      <c r="AI39" s="314"/>
      <c r="AJ39" s="328"/>
      <c r="AK39" s="333" t="str">
        <f>IF(ISBLANK(AE39),"",1-(Y39/AE39))</f>
        <v/>
      </c>
      <c r="AL39" s="334"/>
    </row>
    <row r="40" spans="1:38" ht="18.75">
      <c r="A40" s="111" t="s">
        <v>157</v>
      </c>
      <c r="B40" s="112"/>
      <c r="C40" s="112"/>
      <c r="D40" s="112"/>
      <c r="E40" s="112"/>
      <c r="F40" s="112"/>
      <c r="G40" s="112"/>
      <c r="H40" s="113"/>
      <c r="I40" s="113"/>
      <c r="J40" s="113"/>
      <c r="K40" s="113"/>
      <c r="L40" s="113"/>
      <c r="M40" s="113"/>
      <c r="N40" s="113"/>
      <c r="O40" s="113"/>
      <c r="P40" s="113"/>
      <c r="Q40" s="113"/>
      <c r="R40" s="113"/>
      <c r="S40" s="113"/>
      <c r="T40" s="113"/>
      <c r="U40" s="113"/>
      <c r="V40" s="113"/>
      <c r="W40" s="113"/>
      <c r="X40" s="113"/>
      <c r="Y40" s="321"/>
      <c r="Z40" s="322"/>
      <c r="AA40" s="323"/>
      <c r="AB40" s="315">
        <f>SUBTOTAL(9,AB41:AD43)</f>
        <v>0</v>
      </c>
      <c r="AC40" s="315"/>
      <c r="AD40" s="315"/>
      <c r="AE40" s="321"/>
      <c r="AF40" s="322"/>
      <c r="AG40" s="323"/>
      <c r="AH40" s="315">
        <f>SUBTOTAL(9,AH41:AJ43)</f>
        <v>0</v>
      </c>
      <c r="AI40" s="315"/>
      <c r="AJ40" s="315"/>
      <c r="AK40" s="332" t="str">
        <f>IF(AH40=0,"",1-(AB40/AH40))</f>
        <v/>
      </c>
      <c r="AL40" s="332"/>
    </row>
    <row r="41" spans="1:38" outlineLevel="1">
      <c r="A41" s="316" t="s">
        <v>151</v>
      </c>
      <c r="B41" s="316"/>
      <c r="C41" s="316"/>
      <c r="D41" s="316"/>
      <c r="E41" s="316"/>
      <c r="F41" s="316"/>
      <c r="G41" s="316"/>
      <c r="H41" s="298"/>
      <c r="I41" s="298"/>
      <c r="J41" s="298"/>
      <c r="K41" s="311"/>
      <c r="L41" s="317"/>
      <c r="M41" s="317"/>
      <c r="N41" s="312"/>
      <c r="O41" s="311"/>
      <c r="P41" s="312"/>
      <c r="Q41" s="310"/>
      <c r="R41" s="298"/>
      <c r="S41" s="310"/>
      <c r="T41" s="310"/>
      <c r="U41" s="311" t="s">
        <v>136</v>
      </c>
      <c r="V41" s="312"/>
      <c r="W41" s="310"/>
      <c r="X41" s="310"/>
      <c r="Y41" s="307"/>
      <c r="Z41" s="308"/>
      <c r="AA41" s="309"/>
      <c r="AB41" s="313">
        <f>Y41*W41</f>
        <v>0</v>
      </c>
      <c r="AC41" s="314"/>
      <c r="AD41" s="314"/>
      <c r="AE41" s="307"/>
      <c r="AF41" s="308"/>
      <c r="AG41" s="309"/>
      <c r="AH41" s="314">
        <f>AE41*W41</f>
        <v>0</v>
      </c>
      <c r="AI41" s="314"/>
      <c r="AJ41" s="328"/>
      <c r="AK41" s="333" t="str">
        <f>IF(ISBLANK(AE41),"",1-(Y41/AE41))</f>
        <v/>
      </c>
      <c r="AL41" s="334"/>
    </row>
    <row r="42" spans="1:38" outlineLevel="1">
      <c r="A42" s="316" t="s">
        <v>152</v>
      </c>
      <c r="B42" s="316"/>
      <c r="C42" s="316"/>
      <c r="D42" s="316"/>
      <c r="E42" s="316"/>
      <c r="F42" s="316"/>
      <c r="G42" s="316"/>
      <c r="H42" s="298"/>
      <c r="I42" s="298"/>
      <c r="J42" s="298"/>
      <c r="K42" s="311"/>
      <c r="L42" s="317"/>
      <c r="M42" s="317"/>
      <c r="N42" s="312"/>
      <c r="O42" s="311"/>
      <c r="P42" s="312"/>
      <c r="Q42" s="310"/>
      <c r="R42" s="298"/>
      <c r="S42" s="310"/>
      <c r="T42" s="310"/>
      <c r="U42" s="311" t="s">
        <v>136</v>
      </c>
      <c r="V42" s="312"/>
      <c r="W42" s="310"/>
      <c r="X42" s="310"/>
      <c r="Y42" s="307"/>
      <c r="Z42" s="308"/>
      <c r="AA42" s="309"/>
      <c r="AB42" s="313">
        <f t="shared" ref="AB42:AB43" si="26">Y42*W42</f>
        <v>0</v>
      </c>
      <c r="AC42" s="314"/>
      <c r="AD42" s="314"/>
      <c r="AE42" s="307"/>
      <c r="AF42" s="308"/>
      <c r="AG42" s="309"/>
      <c r="AH42" s="314">
        <f t="shared" ref="AH42:AH43" si="27">AE42*W42</f>
        <v>0</v>
      </c>
      <c r="AI42" s="314"/>
      <c r="AJ42" s="328"/>
      <c r="AK42" s="333" t="str">
        <f>IF(ISBLANK(AE42),"",1-(Y42/AE42))</f>
        <v/>
      </c>
      <c r="AL42" s="334"/>
    </row>
    <row r="43" spans="1:38" outlineLevel="1">
      <c r="A43" s="316" t="s">
        <v>153</v>
      </c>
      <c r="B43" s="316"/>
      <c r="C43" s="316"/>
      <c r="D43" s="316"/>
      <c r="E43" s="316"/>
      <c r="F43" s="316"/>
      <c r="G43" s="316"/>
      <c r="H43" s="298"/>
      <c r="I43" s="298"/>
      <c r="J43" s="298"/>
      <c r="K43" s="311"/>
      <c r="L43" s="317"/>
      <c r="M43" s="317"/>
      <c r="N43" s="312"/>
      <c r="O43" s="311"/>
      <c r="P43" s="312"/>
      <c r="Q43" s="310"/>
      <c r="R43" s="298"/>
      <c r="S43" s="310"/>
      <c r="T43" s="310"/>
      <c r="U43" s="311" t="s">
        <v>136</v>
      </c>
      <c r="V43" s="312"/>
      <c r="W43" s="310"/>
      <c r="X43" s="310"/>
      <c r="Y43" s="307"/>
      <c r="Z43" s="308"/>
      <c r="AA43" s="309"/>
      <c r="AB43" s="313">
        <f t="shared" si="26"/>
        <v>0</v>
      </c>
      <c r="AC43" s="314"/>
      <c r="AD43" s="314"/>
      <c r="AE43" s="307"/>
      <c r="AF43" s="308"/>
      <c r="AG43" s="309"/>
      <c r="AH43" s="314">
        <f t="shared" si="27"/>
        <v>0</v>
      </c>
      <c r="AI43" s="314"/>
      <c r="AJ43" s="328"/>
      <c r="AK43" s="333" t="str">
        <f>IF(ISBLANK(AE43),"",1-(Y43/AE43))</f>
        <v/>
      </c>
      <c r="AL43" s="334"/>
    </row>
    <row r="44" spans="1:38" ht="18.75">
      <c r="A44" s="111" t="s">
        <v>158</v>
      </c>
      <c r="B44" s="112"/>
      <c r="C44" s="112"/>
      <c r="D44" s="112"/>
      <c r="E44" s="112"/>
      <c r="F44" s="112"/>
      <c r="G44" s="112"/>
      <c r="H44" s="113"/>
      <c r="I44" s="113"/>
      <c r="J44" s="113"/>
      <c r="K44" s="113"/>
      <c r="L44" s="113"/>
      <c r="M44" s="113"/>
      <c r="N44" s="113"/>
      <c r="O44" s="113"/>
      <c r="P44" s="113"/>
      <c r="Q44" s="113"/>
      <c r="R44" s="113"/>
      <c r="S44" s="113"/>
      <c r="T44" s="113"/>
      <c r="U44" s="113"/>
      <c r="V44" s="113"/>
      <c r="W44" s="113"/>
      <c r="X44" s="113"/>
      <c r="Y44" s="321"/>
      <c r="Z44" s="322"/>
      <c r="AA44" s="323"/>
      <c r="AB44" s="315">
        <f>SUBTOTAL(9,AB45)</f>
        <v>0</v>
      </c>
      <c r="AC44" s="315"/>
      <c r="AD44" s="315"/>
      <c r="AE44" s="321"/>
      <c r="AF44" s="322"/>
      <c r="AG44" s="323"/>
      <c r="AH44" s="315">
        <f>SUBTOTAL(9,AH45)</f>
        <v>0</v>
      </c>
      <c r="AI44" s="315"/>
      <c r="AJ44" s="315"/>
      <c r="AK44" s="332" t="str">
        <f>IF(AH44=0,"",1-(AB44/AH44))</f>
        <v/>
      </c>
      <c r="AL44" s="332"/>
    </row>
    <row r="45" spans="1:38" ht="15" customHeight="1" outlineLevel="1">
      <c r="A45" s="316" t="s">
        <v>159</v>
      </c>
      <c r="B45" s="316"/>
      <c r="C45" s="316"/>
      <c r="D45" s="316"/>
      <c r="E45" s="316"/>
      <c r="F45" s="316"/>
      <c r="G45" s="316"/>
      <c r="H45" s="298"/>
      <c r="I45" s="298"/>
      <c r="J45" s="298"/>
      <c r="K45" s="311"/>
      <c r="L45" s="317"/>
      <c r="M45" s="317"/>
      <c r="N45" s="312"/>
      <c r="O45" s="311"/>
      <c r="P45" s="312"/>
      <c r="Q45" s="343"/>
      <c r="R45" s="344"/>
      <c r="S45" s="310"/>
      <c r="T45" s="310"/>
      <c r="U45" s="311" t="s">
        <v>136</v>
      </c>
      <c r="V45" s="312"/>
      <c r="W45" s="310"/>
      <c r="X45" s="310"/>
      <c r="Y45" s="307"/>
      <c r="Z45" s="308"/>
      <c r="AA45" s="309"/>
      <c r="AB45" s="313">
        <f>Y45*W45</f>
        <v>0</v>
      </c>
      <c r="AC45" s="314"/>
      <c r="AD45" s="314"/>
      <c r="AE45" s="307"/>
      <c r="AF45" s="308"/>
      <c r="AG45" s="309"/>
      <c r="AH45" s="314">
        <f>AE45*W45</f>
        <v>0</v>
      </c>
      <c r="AI45" s="314"/>
      <c r="AJ45" s="328"/>
      <c r="AK45" s="333" t="str">
        <f>IF(ISBLANK(AE45),"",1-(Y45/AE45))</f>
        <v/>
      </c>
      <c r="AL45" s="334"/>
    </row>
    <row r="46" spans="1:38" ht="18.75">
      <c r="A46" s="111" t="s">
        <v>160</v>
      </c>
      <c r="B46" s="112"/>
      <c r="C46" s="112"/>
      <c r="D46" s="112"/>
      <c r="E46" s="112"/>
      <c r="F46" s="112"/>
      <c r="G46" s="112"/>
      <c r="H46" s="113"/>
      <c r="I46" s="113"/>
      <c r="J46" s="113"/>
      <c r="K46" s="113"/>
      <c r="L46" s="113"/>
      <c r="M46" s="113"/>
      <c r="N46" s="113"/>
      <c r="O46" s="113"/>
      <c r="P46" s="113"/>
      <c r="Q46" s="113"/>
      <c r="R46" s="113"/>
      <c r="S46" s="113"/>
      <c r="T46" s="113"/>
      <c r="U46" s="113"/>
      <c r="V46" s="113"/>
      <c r="W46" s="113"/>
      <c r="X46" s="113"/>
      <c r="Y46" s="321"/>
      <c r="Z46" s="322"/>
      <c r="AA46" s="323"/>
      <c r="AB46" s="315">
        <f>SUBTOTAL(9,AB47:AD50)</f>
        <v>0</v>
      </c>
      <c r="AC46" s="315"/>
      <c r="AD46" s="315"/>
      <c r="AE46" s="321"/>
      <c r="AF46" s="322"/>
      <c r="AG46" s="323"/>
      <c r="AH46" s="315">
        <f>SUBTOTAL(9,AH47:AJ50)</f>
        <v>0</v>
      </c>
      <c r="AI46" s="315"/>
      <c r="AJ46" s="315"/>
      <c r="AK46" s="332" t="str">
        <f>IF(AH46=0,"",1-(AB46/AH46))</f>
        <v/>
      </c>
      <c r="AL46" s="332"/>
    </row>
    <row r="47" spans="1:38" ht="15" customHeight="1" outlineLevel="1">
      <c r="A47" s="316" t="s">
        <v>161</v>
      </c>
      <c r="B47" s="316"/>
      <c r="C47" s="316"/>
      <c r="D47" s="316"/>
      <c r="E47" s="316"/>
      <c r="F47" s="316"/>
      <c r="G47" s="316"/>
      <c r="H47" s="298" t="s">
        <v>162</v>
      </c>
      <c r="I47" s="298"/>
      <c r="J47" s="298"/>
      <c r="K47" s="311" t="s">
        <v>163</v>
      </c>
      <c r="L47" s="317"/>
      <c r="M47" s="317"/>
      <c r="N47" s="312"/>
      <c r="O47" s="311">
        <v>360</v>
      </c>
      <c r="P47" s="312"/>
      <c r="Q47" s="310"/>
      <c r="R47" s="298"/>
      <c r="S47" s="310"/>
      <c r="T47" s="310"/>
      <c r="U47" s="311" t="s">
        <v>136</v>
      </c>
      <c r="V47" s="312"/>
      <c r="W47" s="310"/>
      <c r="X47" s="310"/>
      <c r="Y47" s="307"/>
      <c r="Z47" s="308"/>
      <c r="AA47" s="309"/>
      <c r="AB47" s="313">
        <f t="shared" ref="AB47:AB50" si="28">Y47*W47</f>
        <v>0</v>
      </c>
      <c r="AC47" s="314"/>
      <c r="AD47" s="314"/>
      <c r="AE47" s="307"/>
      <c r="AF47" s="308"/>
      <c r="AG47" s="309"/>
      <c r="AH47" s="314">
        <f t="shared" ref="AH47:AH50" si="29">AE47*W47</f>
        <v>0</v>
      </c>
      <c r="AI47" s="314"/>
      <c r="AJ47" s="328"/>
      <c r="AK47" s="333" t="str">
        <f>IF(ISBLANK(AE47),"",1-(Y47/AE47))</f>
        <v/>
      </c>
      <c r="AL47" s="334"/>
    </row>
    <row r="48" spans="1:38" ht="15" customHeight="1" outlineLevel="1">
      <c r="A48" s="316" t="s">
        <v>161</v>
      </c>
      <c r="B48" s="316"/>
      <c r="C48" s="316"/>
      <c r="D48" s="316"/>
      <c r="E48" s="316"/>
      <c r="F48" s="316"/>
      <c r="G48" s="316"/>
      <c r="H48" s="298" t="s">
        <v>162</v>
      </c>
      <c r="I48" s="298"/>
      <c r="J48" s="298"/>
      <c r="K48" s="311" t="s">
        <v>164</v>
      </c>
      <c r="L48" s="317"/>
      <c r="M48" s="317"/>
      <c r="N48" s="312"/>
      <c r="O48" s="311">
        <v>540</v>
      </c>
      <c r="P48" s="312"/>
      <c r="Q48" s="310"/>
      <c r="R48" s="298"/>
      <c r="S48" s="310"/>
      <c r="T48" s="310"/>
      <c r="U48" s="311" t="s">
        <v>136</v>
      </c>
      <c r="V48" s="312"/>
      <c r="W48" s="310"/>
      <c r="X48" s="310"/>
      <c r="Y48" s="307"/>
      <c r="Z48" s="308"/>
      <c r="AA48" s="309"/>
      <c r="AB48" s="313">
        <f t="shared" si="28"/>
        <v>0</v>
      </c>
      <c r="AC48" s="314"/>
      <c r="AD48" s="314"/>
      <c r="AE48" s="307"/>
      <c r="AF48" s="308"/>
      <c r="AG48" s="309"/>
      <c r="AH48" s="314">
        <f t="shared" si="29"/>
        <v>0</v>
      </c>
      <c r="AI48" s="314"/>
      <c r="AJ48" s="328"/>
      <c r="AK48" s="333" t="str">
        <f>IF(ISBLANK(AE48),"",1-(Y48/AE48))</f>
        <v/>
      </c>
      <c r="AL48" s="334"/>
    </row>
    <row r="49" spans="1:38" ht="15" customHeight="1" outlineLevel="1">
      <c r="A49" s="316" t="s">
        <v>161</v>
      </c>
      <c r="B49" s="316"/>
      <c r="C49" s="316"/>
      <c r="D49" s="316"/>
      <c r="E49" s="316"/>
      <c r="F49" s="316"/>
      <c r="G49" s="316"/>
      <c r="H49" s="298" t="s">
        <v>162</v>
      </c>
      <c r="I49" s="298"/>
      <c r="J49" s="298"/>
      <c r="K49" s="311" t="s">
        <v>165</v>
      </c>
      <c r="L49" s="317"/>
      <c r="M49" s="317"/>
      <c r="N49" s="312"/>
      <c r="O49" s="311">
        <v>2400</v>
      </c>
      <c r="P49" s="312"/>
      <c r="Q49" s="310"/>
      <c r="R49" s="298"/>
      <c r="S49" s="310"/>
      <c r="T49" s="310"/>
      <c r="U49" s="311" t="s">
        <v>136</v>
      </c>
      <c r="V49" s="312"/>
      <c r="W49" s="310"/>
      <c r="X49" s="310"/>
      <c r="Y49" s="307"/>
      <c r="Z49" s="308"/>
      <c r="AA49" s="309"/>
      <c r="AB49" s="313">
        <f t="shared" si="28"/>
        <v>0</v>
      </c>
      <c r="AC49" s="314"/>
      <c r="AD49" s="314"/>
      <c r="AE49" s="307"/>
      <c r="AF49" s="308"/>
      <c r="AG49" s="309"/>
      <c r="AH49" s="314">
        <f t="shared" si="29"/>
        <v>0</v>
      </c>
      <c r="AI49" s="314"/>
      <c r="AJ49" s="328"/>
      <c r="AK49" s="333" t="str">
        <f>IF(ISBLANK(AE49),"",1-(Y49/AE49))</f>
        <v/>
      </c>
      <c r="AL49" s="334"/>
    </row>
    <row r="50" spans="1:38" ht="15" customHeight="1" outlineLevel="1">
      <c r="A50" s="316" t="s">
        <v>161</v>
      </c>
      <c r="B50" s="316"/>
      <c r="C50" s="316"/>
      <c r="D50" s="316"/>
      <c r="E50" s="316"/>
      <c r="F50" s="316"/>
      <c r="G50" s="316"/>
      <c r="H50" s="298" t="s">
        <v>162</v>
      </c>
      <c r="I50" s="298"/>
      <c r="J50" s="298"/>
      <c r="K50" s="311" t="s">
        <v>166</v>
      </c>
      <c r="L50" s="317"/>
      <c r="M50" s="317"/>
      <c r="N50" s="312"/>
      <c r="O50" s="311">
        <v>10800</v>
      </c>
      <c r="P50" s="312"/>
      <c r="Q50" s="310"/>
      <c r="R50" s="298"/>
      <c r="S50" s="310"/>
      <c r="T50" s="310"/>
      <c r="U50" s="311" t="s">
        <v>136</v>
      </c>
      <c r="V50" s="312"/>
      <c r="W50" s="310"/>
      <c r="X50" s="310"/>
      <c r="Y50" s="307"/>
      <c r="Z50" s="308"/>
      <c r="AA50" s="309"/>
      <c r="AB50" s="313">
        <f t="shared" si="28"/>
        <v>0</v>
      </c>
      <c r="AC50" s="314"/>
      <c r="AD50" s="314"/>
      <c r="AE50" s="307"/>
      <c r="AF50" s="308"/>
      <c r="AG50" s="309"/>
      <c r="AH50" s="314">
        <f t="shared" si="29"/>
        <v>0</v>
      </c>
      <c r="AI50" s="314"/>
      <c r="AJ50" s="328"/>
      <c r="AK50" s="333" t="str">
        <f>IF(ISBLANK(AE50),"",1-(Y50/AE50))</f>
        <v/>
      </c>
      <c r="AL50" s="334"/>
    </row>
    <row r="51" spans="1:38" ht="18.75">
      <c r="A51" s="111" t="s">
        <v>167</v>
      </c>
      <c r="B51" s="112"/>
      <c r="C51" s="112"/>
      <c r="D51" s="112"/>
      <c r="E51" s="112"/>
      <c r="F51" s="112"/>
      <c r="G51" s="112"/>
      <c r="H51" s="113"/>
      <c r="I51" s="113"/>
      <c r="J51" s="113"/>
      <c r="K51" s="113"/>
      <c r="L51" s="113"/>
      <c r="M51" s="113"/>
      <c r="N51" s="113"/>
      <c r="O51" s="113"/>
      <c r="P51" s="113"/>
      <c r="Q51" s="113"/>
      <c r="R51" s="113"/>
      <c r="S51" s="113"/>
      <c r="T51" s="113"/>
      <c r="U51" s="113"/>
      <c r="V51" s="113"/>
      <c r="W51" s="113"/>
      <c r="X51" s="113"/>
      <c r="Y51" s="321"/>
      <c r="Z51" s="322"/>
      <c r="AA51" s="323"/>
      <c r="AB51" s="315">
        <f>SUBTOTAL(9,AB52:AD54)</f>
        <v>0</v>
      </c>
      <c r="AC51" s="315"/>
      <c r="AD51" s="315"/>
      <c r="AE51" s="321"/>
      <c r="AF51" s="322"/>
      <c r="AG51" s="323"/>
      <c r="AH51" s="315">
        <f>SUBTOTAL(9,AH52:AJ54)</f>
        <v>0</v>
      </c>
      <c r="AI51" s="315"/>
      <c r="AJ51" s="315"/>
      <c r="AK51" s="332" t="str">
        <f>IF(AH51=0,"",1-(AB51/AH51))</f>
        <v/>
      </c>
      <c r="AL51" s="332"/>
    </row>
    <row r="52" spans="1:38" ht="15" customHeight="1" outlineLevel="1">
      <c r="A52" s="316" t="s">
        <v>168</v>
      </c>
      <c r="B52" s="316"/>
      <c r="C52" s="316"/>
      <c r="D52" s="316"/>
      <c r="E52" s="316"/>
      <c r="F52" s="316"/>
      <c r="G52" s="316"/>
      <c r="H52" s="298"/>
      <c r="I52" s="298"/>
      <c r="J52" s="298"/>
      <c r="K52" s="311"/>
      <c r="L52" s="317"/>
      <c r="M52" s="317"/>
      <c r="N52" s="312"/>
      <c r="O52" s="310"/>
      <c r="P52" s="298"/>
      <c r="Q52" s="310"/>
      <c r="R52" s="298"/>
      <c r="S52" s="310"/>
      <c r="T52" s="310"/>
      <c r="U52" s="311" t="s">
        <v>136</v>
      </c>
      <c r="V52" s="312"/>
      <c r="W52" s="310"/>
      <c r="X52" s="310"/>
      <c r="Y52" s="307"/>
      <c r="Z52" s="308"/>
      <c r="AA52" s="309"/>
      <c r="AB52" s="313">
        <f t="shared" ref="AB52:AB54" si="30">Y52*W52</f>
        <v>0</v>
      </c>
      <c r="AC52" s="314"/>
      <c r="AD52" s="314"/>
      <c r="AE52" s="307"/>
      <c r="AF52" s="308"/>
      <c r="AG52" s="309"/>
      <c r="AH52" s="314">
        <f t="shared" ref="AH52:AH54" si="31">AE52*W52</f>
        <v>0</v>
      </c>
      <c r="AI52" s="314"/>
      <c r="AJ52" s="328"/>
      <c r="AK52" s="333" t="str">
        <f>IF(ISBLANK(AE52),"",1-(Y52/AE52))</f>
        <v/>
      </c>
      <c r="AL52" s="334"/>
    </row>
    <row r="53" spans="1:38" ht="15" customHeight="1" outlineLevel="1">
      <c r="A53" s="316" t="s">
        <v>169</v>
      </c>
      <c r="B53" s="316"/>
      <c r="C53" s="316"/>
      <c r="D53" s="316"/>
      <c r="E53" s="316"/>
      <c r="F53" s="316"/>
      <c r="G53" s="316"/>
      <c r="H53" s="298"/>
      <c r="I53" s="298"/>
      <c r="J53" s="298"/>
      <c r="K53" s="311"/>
      <c r="L53" s="317"/>
      <c r="M53" s="317"/>
      <c r="N53" s="312"/>
      <c r="O53" s="310"/>
      <c r="P53" s="298"/>
      <c r="Q53" s="310"/>
      <c r="R53" s="298"/>
      <c r="S53" s="310"/>
      <c r="T53" s="310"/>
      <c r="U53" s="311" t="s">
        <v>136</v>
      </c>
      <c r="V53" s="312"/>
      <c r="W53" s="310"/>
      <c r="X53" s="310"/>
      <c r="Y53" s="307"/>
      <c r="Z53" s="308"/>
      <c r="AA53" s="309"/>
      <c r="AB53" s="313">
        <f t="shared" si="30"/>
        <v>0</v>
      </c>
      <c r="AC53" s="314"/>
      <c r="AD53" s="314"/>
      <c r="AE53" s="307"/>
      <c r="AF53" s="308"/>
      <c r="AG53" s="309"/>
      <c r="AH53" s="314">
        <f t="shared" si="31"/>
        <v>0</v>
      </c>
      <c r="AI53" s="314"/>
      <c r="AJ53" s="328"/>
      <c r="AK53" s="333" t="str">
        <f>IF(ISBLANK(AE53),"",1-(Y53/AE53))</f>
        <v/>
      </c>
      <c r="AL53" s="334"/>
    </row>
    <row r="54" spans="1:38" ht="15" customHeight="1" outlineLevel="1">
      <c r="A54" s="316" t="s">
        <v>170</v>
      </c>
      <c r="B54" s="316"/>
      <c r="C54" s="316"/>
      <c r="D54" s="316"/>
      <c r="E54" s="316"/>
      <c r="F54" s="316"/>
      <c r="G54" s="316"/>
      <c r="H54" s="298"/>
      <c r="I54" s="298"/>
      <c r="J54" s="298"/>
      <c r="K54" s="311"/>
      <c r="L54" s="317"/>
      <c r="M54" s="317"/>
      <c r="N54" s="312"/>
      <c r="O54" s="310"/>
      <c r="P54" s="298"/>
      <c r="Q54" s="310"/>
      <c r="R54" s="298"/>
      <c r="S54" s="310"/>
      <c r="T54" s="310"/>
      <c r="U54" s="311" t="s">
        <v>136</v>
      </c>
      <c r="V54" s="312"/>
      <c r="W54" s="310"/>
      <c r="X54" s="310"/>
      <c r="Y54" s="307"/>
      <c r="Z54" s="308"/>
      <c r="AA54" s="309"/>
      <c r="AB54" s="313">
        <f t="shared" si="30"/>
        <v>0</v>
      </c>
      <c r="AC54" s="314"/>
      <c r="AD54" s="314"/>
      <c r="AE54" s="307"/>
      <c r="AF54" s="308"/>
      <c r="AG54" s="309"/>
      <c r="AH54" s="314">
        <f t="shared" si="31"/>
        <v>0</v>
      </c>
      <c r="AI54" s="314"/>
      <c r="AJ54" s="328"/>
      <c r="AK54" s="333" t="str">
        <f>IF(ISBLANK(AE54),"",1-(Y54/AE54))</f>
        <v/>
      </c>
      <c r="AL54" s="334"/>
    </row>
    <row r="55" spans="1:38" ht="18.75">
      <c r="A55" s="111" t="s">
        <v>171</v>
      </c>
      <c r="B55" s="112"/>
      <c r="C55" s="112"/>
      <c r="D55" s="112"/>
      <c r="E55" s="112"/>
      <c r="F55" s="112"/>
      <c r="G55" s="112"/>
      <c r="H55" s="113"/>
      <c r="I55" s="113"/>
      <c r="J55" s="113"/>
      <c r="K55" s="113"/>
      <c r="L55" s="113"/>
      <c r="M55" s="113"/>
      <c r="N55" s="113"/>
      <c r="O55" s="113"/>
      <c r="P55" s="113"/>
      <c r="Q55" s="113"/>
      <c r="R55" s="113"/>
      <c r="S55" s="113"/>
      <c r="T55" s="113"/>
      <c r="U55" s="113"/>
      <c r="V55" s="113"/>
      <c r="W55" s="113"/>
      <c r="X55" s="113"/>
      <c r="Y55" s="321"/>
      <c r="Z55" s="322"/>
      <c r="AA55" s="323"/>
      <c r="AB55" s="315">
        <f>SUBTOTAL(9,AB56:AD58)</f>
        <v>0</v>
      </c>
      <c r="AC55" s="315"/>
      <c r="AD55" s="315"/>
      <c r="AE55" s="321"/>
      <c r="AF55" s="322"/>
      <c r="AG55" s="323"/>
      <c r="AH55" s="315">
        <f>SUBTOTAL(9,AH56:AJ58)</f>
        <v>0</v>
      </c>
      <c r="AI55" s="315"/>
      <c r="AJ55" s="315"/>
      <c r="AK55" s="332" t="str">
        <f>IF(AH55=0,"",1-(AB55/AH55))</f>
        <v/>
      </c>
      <c r="AL55" s="332"/>
    </row>
    <row r="56" spans="1:38" outlineLevel="1">
      <c r="A56" s="316" t="s">
        <v>172</v>
      </c>
      <c r="B56" s="316"/>
      <c r="C56" s="316"/>
      <c r="D56" s="316"/>
      <c r="E56" s="316"/>
      <c r="F56" s="316"/>
      <c r="G56" s="316"/>
      <c r="H56" s="311"/>
      <c r="I56" s="317"/>
      <c r="J56" s="312"/>
      <c r="K56" s="311"/>
      <c r="L56" s="317"/>
      <c r="M56" s="317"/>
      <c r="N56" s="312"/>
      <c r="O56" s="310"/>
      <c r="P56" s="298"/>
      <c r="Q56" s="343"/>
      <c r="R56" s="344"/>
      <c r="S56" s="343"/>
      <c r="T56" s="344"/>
      <c r="U56" s="311" t="s">
        <v>136</v>
      </c>
      <c r="V56" s="312"/>
      <c r="W56" s="310"/>
      <c r="X56" s="310"/>
      <c r="Y56" s="307"/>
      <c r="Z56" s="308"/>
      <c r="AA56" s="309"/>
      <c r="AB56" s="313">
        <f>Y56*W56</f>
        <v>0</v>
      </c>
      <c r="AC56" s="314"/>
      <c r="AD56" s="314"/>
      <c r="AE56" s="307"/>
      <c r="AF56" s="308"/>
      <c r="AG56" s="309"/>
      <c r="AH56" s="314">
        <f>AE56*W56</f>
        <v>0</v>
      </c>
      <c r="AI56" s="314"/>
      <c r="AJ56" s="328"/>
      <c r="AK56" s="333" t="str">
        <f>IF(ISBLANK(AE56),"",1-(Y56/AE56))</f>
        <v/>
      </c>
      <c r="AL56" s="334"/>
    </row>
    <row r="57" spans="1:38" ht="15" customHeight="1" outlineLevel="1">
      <c r="A57" s="316" t="s">
        <v>173</v>
      </c>
      <c r="B57" s="316"/>
      <c r="C57" s="316"/>
      <c r="D57" s="316"/>
      <c r="E57" s="316"/>
      <c r="F57" s="316"/>
      <c r="G57" s="316"/>
      <c r="H57" s="311"/>
      <c r="I57" s="317"/>
      <c r="J57" s="312"/>
      <c r="K57" s="311"/>
      <c r="L57" s="317"/>
      <c r="M57" s="317"/>
      <c r="N57" s="312"/>
      <c r="O57" s="310"/>
      <c r="P57" s="298"/>
      <c r="Q57" s="343"/>
      <c r="R57" s="344"/>
      <c r="S57" s="343"/>
      <c r="T57" s="344"/>
      <c r="U57" s="311" t="s">
        <v>136</v>
      </c>
      <c r="V57" s="312"/>
      <c r="W57" s="310"/>
      <c r="X57" s="310"/>
      <c r="Y57" s="307"/>
      <c r="Z57" s="308"/>
      <c r="AA57" s="309"/>
      <c r="AB57" s="313">
        <f>Y57*W57</f>
        <v>0</v>
      </c>
      <c r="AC57" s="314"/>
      <c r="AD57" s="314"/>
      <c r="AE57" s="307"/>
      <c r="AF57" s="308"/>
      <c r="AG57" s="309"/>
      <c r="AH57" s="314">
        <f>AE57*W57</f>
        <v>0</v>
      </c>
      <c r="AI57" s="314"/>
      <c r="AJ57" s="328"/>
      <c r="AK57" s="333" t="str">
        <f>IF(ISBLANK(AE57),"",1-(Y57/AE57))</f>
        <v/>
      </c>
      <c r="AL57" s="334"/>
    </row>
    <row r="58" spans="1:38" ht="15" customHeight="1" outlineLevel="1">
      <c r="A58" s="316" t="s">
        <v>174</v>
      </c>
      <c r="B58" s="316"/>
      <c r="C58" s="316"/>
      <c r="D58" s="316"/>
      <c r="E58" s="316"/>
      <c r="F58" s="316"/>
      <c r="G58" s="316"/>
      <c r="H58" s="311"/>
      <c r="I58" s="317"/>
      <c r="J58" s="312"/>
      <c r="K58" s="311"/>
      <c r="L58" s="317"/>
      <c r="M58" s="317"/>
      <c r="N58" s="312"/>
      <c r="O58" s="310"/>
      <c r="P58" s="298"/>
      <c r="Q58" s="343"/>
      <c r="R58" s="344"/>
      <c r="S58" s="343"/>
      <c r="T58" s="344"/>
      <c r="U58" s="311" t="s">
        <v>136</v>
      </c>
      <c r="V58" s="312"/>
      <c r="W58" s="310"/>
      <c r="X58" s="310"/>
      <c r="Y58" s="307"/>
      <c r="Z58" s="308"/>
      <c r="AA58" s="309"/>
      <c r="AB58" s="313">
        <f>Y58*W58</f>
        <v>0</v>
      </c>
      <c r="AC58" s="314"/>
      <c r="AD58" s="314"/>
      <c r="AE58" s="307"/>
      <c r="AF58" s="308"/>
      <c r="AG58" s="309"/>
      <c r="AH58" s="314">
        <f>AE58*W58</f>
        <v>0</v>
      </c>
      <c r="AI58" s="314"/>
      <c r="AJ58" s="328"/>
      <c r="AK58" s="333" t="str">
        <f>IF(ISBLANK(AE58),"",1-(Y58/AE58))</f>
        <v/>
      </c>
      <c r="AL58" s="334"/>
    </row>
    <row r="59" spans="1:38" ht="18.75">
      <c r="A59" s="111" t="s">
        <v>175</v>
      </c>
      <c r="B59" s="112"/>
      <c r="C59" s="112"/>
      <c r="D59" s="112"/>
      <c r="E59" s="112"/>
      <c r="F59" s="112"/>
      <c r="G59" s="112"/>
      <c r="H59" s="113"/>
      <c r="I59" s="113"/>
      <c r="J59" s="113"/>
      <c r="K59" s="113"/>
      <c r="L59" s="113"/>
      <c r="M59" s="113"/>
      <c r="N59" s="113"/>
      <c r="O59" s="113"/>
      <c r="P59" s="113"/>
      <c r="Q59" s="113"/>
      <c r="R59" s="113"/>
      <c r="S59" s="113"/>
      <c r="T59" s="113"/>
      <c r="U59" s="113"/>
      <c r="V59" s="113"/>
      <c r="W59" s="113"/>
      <c r="X59" s="113"/>
      <c r="Y59" s="321"/>
      <c r="Z59" s="322"/>
      <c r="AA59" s="323"/>
      <c r="AB59" s="315">
        <f>SUBTOTAL(9,AB60:AD62)</f>
        <v>0</v>
      </c>
      <c r="AC59" s="315"/>
      <c r="AD59" s="315"/>
      <c r="AE59" s="321"/>
      <c r="AF59" s="322"/>
      <c r="AG59" s="323"/>
      <c r="AH59" s="315">
        <f>SUBTOTAL(9,AH60:AJ62)</f>
        <v>0</v>
      </c>
      <c r="AI59" s="315"/>
      <c r="AJ59" s="315"/>
      <c r="AK59" s="332" t="str">
        <f>IF(AH59=0,"",1-(AB59/AH59))</f>
        <v/>
      </c>
      <c r="AL59" s="332"/>
    </row>
    <row r="60" spans="1:38" outlineLevel="1">
      <c r="A60" s="316" t="s">
        <v>176</v>
      </c>
      <c r="B60" s="316"/>
      <c r="C60" s="316"/>
      <c r="D60" s="316"/>
      <c r="E60" s="316"/>
      <c r="F60" s="316"/>
      <c r="G60" s="316"/>
      <c r="H60" s="311"/>
      <c r="I60" s="317"/>
      <c r="J60" s="312"/>
      <c r="K60" s="311"/>
      <c r="L60" s="317"/>
      <c r="M60" s="317"/>
      <c r="N60" s="312"/>
      <c r="O60" s="311"/>
      <c r="P60" s="312"/>
      <c r="Q60" s="310"/>
      <c r="R60" s="298"/>
      <c r="S60" s="310"/>
      <c r="T60" s="310"/>
      <c r="U60" s="311" t="s">
        <v>136</v>
      </c>
      <c r="V60" s="312"/>
      <c r="W60" s="310"/>
      <c r="X60" s="310"/>
      <c r="Y60" s="307"/>
      <c r="Z60" s="308"/>
      <c r="AA60" s="309"/>
      <c r="AB60" s="313">
        <f t="shared" ref="AB60:AB62" si="32">Y60*W60</f>
        <v>0</v>
      </c>
      <c r="AC60" s="314"/>
      <c r="AD60" s="314"/>
      <c r="AE60" s="307"/>
      <c r="AF60" s="308"/>
      <c r="AG60" s="309"/>
      <c r="AH60" s="314">
        <f t="shared" ref="AH60:AH62" si="33">AE60*W60</f>
        <v>0</v>
      </c>
      <c r="AI60" s="314"/>
      <c r="AJ60" s="328"/>
      <c r="AK60" s="333" t="str">
        <f>IF(ISBLANK(AE60),"",1-(Y60/AE60))</f>
        <v/>
      </c>
      <c r="AL60" s="334"/>
    </row>
    <row r="61" spans="1:38" outlineLevel="1">
      <c r="A61" s="316" t="s">
        <v>177</v>
      </c>
      <c r="B61" s="316"/>
      <c r="C61" s="316"/>
      <c r="D61" s="316"/>
      <c r="E61" s="316"/>
      <c r="F61" s="316"/>
      <c r="G61" s="316"/>
      <c r="H61" s="311"/>
      <c r="I61" s="317"/>
      <c r="J61" s="312"/>
      <c r="K61" s="311"/>
      <c r="L61" s="317"/>
      <c r="M61" s="317"/>
      <c r="N61" s="312"/>
      <c r="O61" s="311"/>
      <c r="P61" s="312"/>
      <c r="Q61" s="310"/>
      <c r="R61" s="298"/>
      <c r="S61" s="310"/>
      <c r="T61" s="310"/>
      <c r="U61" s="311" t="s">
        <v>136</v>
      </c>
      <c r="V61" s="312"/>
      <c r="W61" s="310"/>
      <c r="X61" s="310"/>
      <c r="Y61" s="307"/>
      <c r="Z61" s="308"/>
      <c r="AA61" s="309"/>
      <c r="AB61" s="313">
        <f t="shared" si="32"/>
        <v>0</v>
      </c>
      <c r="AC61" s="314"/>
      <c r="AD61" s="314"/>
      <c r="AE61" s="307"/>
      <c r="AF61" s="308"/>
      <c r="AG61" s="309"/>
      <c r="AH61" s="314">
        <f t="shared" si="33"/>
        <v>0</v>
      </c>
      <c r="AI61" s="314"/>
      <c r="AJ61" s="328"/>
      <c r="AK61" s="333" t="str">
        <f>IF(ISBLANK(AE61),"",1-(Y61/AE61))</f>
        <v/>
      </c>
      <c r="AL61" s="334"/>
    </row>
    <row r="62" spans="1:38" outlineLevel="1">
      <c r="A62" s="316" t="s">
        <v>178</v>
      </c>
      <c r="B62" s="316"/>
      <c r="C62" s="316"/>
      <c r="D62" s="316"/>
      <c r="E62" s="316"/>
      <c r="F62" s="316"/>
      <c r="G62" s="316"/>
      <c r="H62" s="311"/>
      <c r="I62" s="317"/>
      <c r="J62" s="312"/>
      <c r="K62" s="311"/>
      <c r="L62" s="317"/>
      <c r="M62" s="317"/>
      <c r="N62" s="312"/>
      <c r="O62" s="311"/>
      <c r="P62" s="312"/>
      <c r="Q62" s="310"/>
      <c r="R62" s="298"/>
      <c r="S62" s="310"/>
      <c r="T62" s="310"/>
      <c r="U62" s="311" t="s">
        <v>136</v>
      </c>
      <c r="V62" s="312"/>
      <c r="W62" s="310"/>
      <c r="X62" s="310"/>
      <c r="Y62" s="307"/>
      <c r="Z62" s="308"/>
      <c r="AA62" s="309"/>
      <c r="AB62" s="313">
        <f t="shared" si="32"/>
        <v>0</v>
      </c>
      <c r="AC62" s="314"/>
      <c r="AD62" s="314"/>
      <c r="AE62" s="307"/>
      <c r="AF62" s="308"/>
      <c r="AG62" s="309"/>
      <c r="AH62" s="314">
        <f t="shared" si="33"/>
        <v>0</v>
      </c>
      <c r="AI62" s="314"/>
      <c r="AJ62" s="328"/>
      <c r="AK62" s="333" t="str">
        <f>IF(ISBLANK(AE62),"",1-(Y62/AE62))</f>
        <v/>
      </c>
      <c r="AL62" s="334"/>
    </row>
    <row r="63" spans="1:38" ht="18.75">
      <c r="A63" s="111" t="s">
        <v>179</v>
      </c>
      <c r="B63" s="112"/>
      <c r="C63" s="112"/>
      <c r="D63" s="112"/>
      <c r="E63" s="112"/>
      <c r="F63" s="112"/>
      <c r="G63" s="112"/>
      <c r="H63" s="113"/>
      <c r="I63" s="113"/>
      <c r="J63" s="113"/>
      <c r="K63" s="113"/>
      <c r="L63" s="113"/>
      <c r="M63" s="113"/>
      <c r="N63" s="113"/>
      <c r="O63" s="113"/>
      <c r="P63" s="113"/>
      <c r="Q63" s="113"/>
      <c r="R63" s="113"/>
      <c r="S63" s="113"/>
      <c r="T63" s="113"/>
      <c r="U63" s="113"/>
      <c r="V63" s="113"/>
      <c r="W63" s="113"/>
      <c r="X63" s="113"/>
      <c r="Y63" s="321"/>
      <c r="Z63" s="322"/>
      <c r="AA63" s="323"/>
      <c r="AB63" s="315">
        <f>SUBTOTAL(9,AB64:AD69)</f>
        <v>0</v>
      </c>
      <c r="AC63" s="315"/>
      <c r="AD63" s="315"/>
      <c r="AE63" s="321"/>
      <c r="AF63" s="322"/>
      <c r="AG63" s="323"/>
      <c r="AH63" s="315">
        <f>SUBTOTAL(9,AH64:AJ69)</f>
        <v>0</v>
      </c>
      <c r="AI63" s="315"/>
      <c r="AJ63" s="315"/>
      <c r="AK63" s="332" t="str">
        <f>IF(AH63=0,"",1-(AB63/AH63))</f>
        <v/>
      </c>
      <c r="AL63" s="332"/>
    </row>
    <row r="64" spans="1:38" ht="15" customHeight="1" outlineLevel="1">
      <c r="A64" s="316" t="s">
        <v>180</v>
      </c>
      <c r="B64" s="316"/>
      <c r="C64" s="316"/>
      <c r="D64" s="316"/>
      <c r="E64" s="316"/>
      <c r="F64" s="316"/>
      <c r="G64" s="316"/>
      <c r="H64" s="311"/>
      <c r="I64" s="317"/>
      <c r="J64" s="312"/>
      <c r="K64" s="311"/>
      <c r="L64" s="317"/>
      <c r="M64" s="317"/>
      <c r="N64" s="312"/>
      <c r="O64" s="311"/>
      <c r="P64" s="312"/>
      <c r="Q64" s="310"/>
      <c r="R64" s="298"/>
      <c r="S64" s="310"/>
      <c r="T64" s="310"/>
      <c r="U64" s="311" t="s">
        <v>136</v>
      </c>
      <c r="V64" s="312"/>
      <c r="W64" s="310"/>
      <c r="X64" s="310"/>
      <c r="Y64" s="307"/>
      <c r="Z64" s="308"/>
      <c r="AA64" s="309"/>
      <c r="AB64" s="313">
        <f t="shared" ref="AB64:AB69" si="34">Y64*W64</f>
        <v>0</v>
      </c>
      <c r="AC64" s="314"/>
      <c r="AD64" s="314"/>
      <c r="AE64" s="307"/>
      <c r="AF64" s="308"/>
      <c r="AG64" s="309"/>
      <c r="AH64" s="314">
        <f t="shared" ref="AH64:AH69" si="35">AE64*W64</f>
        <v>0</v>
      </c>
      <c r="AI64" s="314"/>
      <c r="AJ64" s="328"/>
      <c r="AK64" s="333" t="str">
        <f t="shared" ref="AK64:AK69" si="36">IF(ISBLANK(AE64),"",1-(Y64/AE64))</f>
        <v/>
      </c>
      <c r="AL64" s="334"/>
    </row>
    <row r="65" spans="1:38" ht="15" customHeight="1" outlineLevel="1">
      <c r="A65" s="316" t="s">
        <v>181</v>
      </c>
      <c r="B65" s="316"/>
      <c r="C65" s="316"/>
      <c r="D65" s="316"/>
      <c r="E65" s="316"/>
      <c r="F65" s="316"/>
      <c r="G65" s="316"/>
      <c r="H65" s="311"/>
      <c r="I65" s="317"/>
      <c r="J65" s="312"/>
      <c r="K65" s="311"/>
      <c r="L65" s="317"/>
      <c r="M65" s="317"/>
      <c r="N65" s="312"/>
      <c r="O65" s="311"/>
      <c r="P65" s="312"/>
      <c r="Q65" s="310"/>
      <c r="R65" s="298"/>
      <c r="S65" s="310"/>
      <c r="T65" s="310"/>
      <c r="U65" s="311" t="s">
        <v>136</v>
      </c>
      <c r="V65" s="312"/>
      <c r="W65" s="310"/>
      <c r="X65" s="310"/>
      <c r="Y65" s="307"/>
      <c r="Z65" s="308"/>
      <c r="AA65" s="309"/>
      <c r="AB65" s="313">
        <f t="shared" si="34"/>
        <v>0</v>
      </c>
      <c r="AC65" s="314"/>
      <c r="AD65" s="314"/>
      <c r="AE65" s="307"/>
      <c r="AF65" s="308"/>
      <c r="AG65" s="309"/>
      <c r="AH65" s="314">
        <f t="shared" si="35"/>
        <v>0</v>
      </c>
      <c r="AI65" s="314"/>
      <c r="AJ65" s="328"/>
      <c r="AK65" s="333" t="str">
        <f t="shared" si="36"/>
        <v/>
      </c>
      <c r="AL65" s="334"/>
    </row>
    <row r="66" spans="1:38" ht="15" customHeight="1" outlineLevel="1">
      <c r="A66" s="316" t="s">
        <v>182</v>
      </c>
      <c r="B66" s="316"/>
      <c r="C66" s="316"/>
      <c r="D66" s="316"/>
      <c r="E66" s="316"/>
      <c r="F66" s="316"/>
      <c r="G66" s="316"/>
      <c r="H66" s="311"/>
      <c r="I66" s="317"/>
      <c r="J66" s="312"/>
      <c r="K66" s="311"/>
      <c r="L66" s="317"/>
      <c r="M66" s="317"/>
      <c r="N66" s="312"/>
      <c r="O66" s="311"/>
      <c r="P66" s="312"/>
      <c r="Q66" s="310"/>
      <c r="R66" s="298"/>
      <c r="S66" s="310"/>
      <c r="T66" s="310"/>
      <c r="U66" s="311" t="s">
        <v>136</v>
      </c>
      <c r="V66" s="312"/>
      <c r="W66" s="310"/>
      <c r="X66" s="310"/>
      <c r="Y66" s="307"/>
      <c r="Z66" s="308"/>
      <c r="AA66" s="309"/>
      <c r="AB66" s="313">
        <f t="shared" si="34"/>
        <v>0</v>
      </c>
      <c r="AC66" s="314"/>
      <c r="AD66" s="314"/>
      <c r="AE66" s="307"/>
      <c r="AF66" s="308"/>
      <c r="AG66" s="309"/>
      <c r="AH66" s="314">
        <f t="shared" si="35"/>
        <v>0</v>
      </c>
      <c r="AI66" s="314"/>
      <c r="AJ66" s="328"/>
      <c r="AK66" s="333" t="str">
        <f t="shared" si="36"/>
        <v/>
      </c>
      <c r="AL66" s="334"/>
    </row>
    <row r="67" spans="1:38" ht="15" customHeight="1" outlineLevel="1">
      <c r="A67" s="316" t="s">
        <v>183</v>
      </c>
      <c r="B67" s="316"/>
      <c r="C67" s="316"/>
      <c r="D67" s="316"/>
      <c r="E67" s="316"/>
      <c r="F67" s="316"/>
      <c r="G67" s="316"/>
      <c r="H67" s="311"/>
      <c r="I67" s="317"/>
      <c r="J67" s="312"/>
      <c r="K67" s="311"/>
      <c r="L67" s="317"/>
      <c r="M67" s="317"/>
      <c r="N67" s="312"/>
      <c r="O67" s="311"/>
      <c r="P67" s="312"/>
      <c r="Q67" s="310"/>
      <c r="R67" s="298"/>
      <c r="S67" s="310"/>
      <c r="T67" s="310"/>
      <c r="U67" s="311" t="s">
        <v>136</v>
      </c>
      <c r="V67" s="312"/>
      <c r="W67" s="310"/>
      <c r="X67" s="310"/>
      <c r="Y67" s="307"/>
      <c r="Z67" s="308"/>
      <c r="AA67" s="309"/>
      <c r="AB67" s="313">
        <f t="shared" si="34"/>
        <v>0</v>
      </c>
      <c r="AC67" s="314"/>
      <c r="AD67" s="314"/>
      <c r="AE67" s="307"/>
      <c r="AF67" s="308"/>
      <c r="AG67" s="309"/>
      <c r="AH67" s="314">
        <f t="shared" si="35"/>
        <v>0</v>
      </c>
      <c r="AI67" s="314"/>
      <c r="AJ67" s="328"/>
      <c r="AK67" s="333" t="str">
        <f t="shared" si="36"/>
        <v/>
      </c>
      <c r="AL67" s="334"/>
    </row>
    <row r="68" spans="1:38" ht="15" customHeight="1" outlineLevel="1">
      <c r="A68" s="316" t="s">
        <v>184</v>
      </c>
      <c r="B68" s="316"/>
      <c r="C68" s="316"/>
      <c r="D68" s="316"/>
      <c r="E68" s="316"/>
      <c r="F68" s="316"/>
      <c r="G68" s="316"/>
      <c r="H68" s="311"/>
      <c r="I68" s="317"/>
      <c r="J68" s="312"/>
      <c r="K68" s="311"/>
      <c r="L68" s="317"/>
      <c r="M68" s="317"/>
      <c r="N68" s="312"/>
      <c r="O68" s="311"/>
      <c r="P68" s="312"/>
      <c r="Q68" s="310"/>
      <c r="R68" s="298"/>
      <c r="S68" s="310"/>
      <c r="T68" s="310"/>
      <c r="U68" s="311" t="s">
        <v>136</v>
      </c>
      <c r="V68" s="312"/>
      <c r="W68" s="310"/>
      <c r="X68" s="310"/>
      <c r="Y68" s="307"/>
      <c r="Z68" s="308"/>
      <c r="AA68" s="309"/>
      <c r="AB68" s="313">
        <f t="shared" si="34"/>
        <v>0</v>
      </c>
      <c r="AC68" s="314"/>
      <c r="AD68" s="314"/>
      <c r="AE68" s="307"/>
      <c r="AF68" s="308"/>
      <c r="AG68" s="309"/>
      <c r="AH68" s="314">
        <f t="shared" si="35"/>
        <v>0</v>
      </c>
      <c r="AI68" s="314"/>
      <c r="AJ68" s="328"/>
      <c r="AK68" s="333" t="str">
        <f t="shared" si="36"/>
        <v/>
      </c>
      <c r="AL68" s="334"/>
    </row>
    <row r="69" spans="1:38" ht="15" customHeight="1" outlineLevel="1">
      <c r="A69" s="316" t="s">
        <v>185</v>
      </c>
      <c r="B69" s="316"/>
      <c r="C69" s="316"/>
      <c r="D69" s="316"/>
      <c r="E69" s="316"/>
      <c r="F69" s="316"/>
      <c r="G69" s="316"/>
      <c r="H69" s="311"/>
      <c r="I69" s="317"/>
      <c r="J69" s="312"/>
      <c r="K69" s="311"/>
      <c r="L69" s="317"/>
      <c r="M69" s="317"/>
      <c r="N69" s="312"/>
      <c r="O69" s="311"/>
      <c r="P69" s="312"/>
      <c r="Q69" s="310"/>
      <c r="R69" s="298"/>
      <c r="S69" s="310"/>
      <c r="T69" s="310"/>
      <c r="U69" s="311" t="s">
        <v>136</v>
      </c>
      <c r="V69" s="312"/>
      <c r="W69" s="310"/>
      <c r="X69" s="310"/>
      <c r="Y69" s="307"/>
      <c r="Z69" s="308"/>
      <c r="AA69" s="309"/>
      <c r="AB69" s="313">
        <f t="shared" si="34"/>
        <v>0</v>
      </c>
      <c r="AC69" s="314"/>
      <c r="AD69" s="314"/>
      <c r="AE69" s="307"/>
      <c r="AF69" s="308"/>
      <c r="AG69" s="309"/>
      <c r="AH69" s="314">
        <f t="shared" si="35"/>
        <v>0</v>
      </c>
      <c r="AI69" s="314"/>
      <c r="AJ69" s="328"/>
      <c r="AK69" s="333" t="str">
        <f t="shared" si="36"/>
        <v/>
      </c>
      <c r="AL69" s="334"/>
    </row>
    <row r="70" spans="1:38" ht="18.75">
      <c r="A70" s="111" t="s">
        <v>186</v>
      </c>
      <c r="B70" s="112"/>
      <c r="C70" s="112"/>
      <c r="D70" s="112"/>
      <c r="E70" s="112"/>
      <c r="F70" s="112"/>
      <c r="G70" s="112"/>
      <c r="H70" s="113"/>
      <c r="I70" s="113"/>
      <c r="J70" s="113"/>
      <c r="K70" s="113"/>
      <c r="L70" s="113"/>
      <c r="M70" s="113"/>
      <c r="N70" s="113"/>
      <c r="O70" s="113"/>
      <c r="P70" s="113"/>
      <c r="Q70" s="113"/>
      <c r="R70" s="113"/>
      <c r="S70" s="113"/>
      <c r="T70" s="113"/>
      <c r="U70" s="113"/>
      <c r="V70" s="113"/>
      <c r="W70" s="113"/>
      <c r="X70" s="113"/>
      <c r="Y70" s="321"/>
      <c r="Z70" s="322"/>
      <c r="AA70" s="323"/>
      <c r="AB70" s="315">
        <f>SUBTOTAL(9,AB71:AD73)</f>
        <v>0</v>
      </c>
      <c r="AC70" s="315"/>
      <c r="AD70" s="315"/>
      <c r="AE70" s="321"/>
      <c r="AF70" s="322"/>
      <c r="AG70" s="323"/>
      <c r="AH70" s="315">
        <f>SUBTOTAL(9,AH71:AJ73)</f>
        <v>0</v>
      </c>
      <c r="AI70" s="315"/>
      <c r="AJ70" s="315"/>
      <c r="AK70" s="332" t="str">
        <f>IF(AH70=0,"",1-(AB70/AH70))</f>
        <v/>
      </c>
      <c r="AL70" s="332"/>
    </row>
    <row r="71" spans="1:38" ht="15" customHeight="1" outlineLevel="1">
      <c r="A71" s="316" t="s">
        <v>187</v>
      </c>
      <c r="B71" s="316"/>
      <c r="C71" s="316"/>
      <c r="D71" s="316"/>
      <c r="E71" s="316"/>
      <c r="F71" s="316"/>
      <c r="G71" s="316"/>
      <c r="H71" s="338"/>
      <c r="I71" s="339"/>
      <c r="J71" s="340"/>
      <c r="K71" s="338"/>
      <c r="L71" s="339"/>
      <c r="M71" s="339"/>
      <c r="N71" s="340"/>
      <c r="O71" s="338"/>
      <c r="P71" s="340"/>
      <c r="Q71" s="341"/>
      <c r="R71" s="342"/>
      <c r="S71" s="310"/>
      <c r="T71" s="310"/>
      <c r="U71" s="311" t="s">
        <v>136</v>
      </c>
      <c r="V71" s="312"/>
      <c r="W71" s="310"/>
      <c r="X71" s="310"/>
      <c r="Y71" s="307"/>
      <c r="Z71" s="308"/>
      <c r="AA71" s="309"/>
      <c r="AB71" s="313">
        <f t="shared" ref="AB71:AB73" si="37">Y71*W71</f>
        <v>0</v>
      </c>
      <c r="AC71" s="314"/>
      <c r="AD71" s="314"/>
      <c r="AE71" s="307"/>
      <c r="AF71" s="308"/>
      <c r="AG71" s="309"/>
      <c r="AH71" s="314">
        <f t="shared" ref="AH71:AH73" si="38">AE71*W71</f>
        <v>0</v>
      </c>
      <c r="AI71" s="314"/>
      <c r="AJ71" s="328"/>
      <c r="AK71" s="333" t="str">
        <f>IF(ISBLANK(AE71),"",1-(Y71/AE71))</f>
        <v/>
      </c>
      <c r="AL71" s="334"/>
    </row>
    <row r="72" spans="1:38" ht="15" customHeight="1" outlineLevel="1">
      <c r="A72" s="316" t="s">
        <v>188</v>
      </c>
      <c r="B72" s="316"/>
      <c r="C72" s="316"/>
      <c r="D72" s="316"/>
      <c r="E72" s="316"/>
      <c r="F72" s="316"/>
      <c r="G72" s="316"/>
      <c r="H72" s="338"/>
      <c r="I72" s="339"/>
      <c r="J72" s="340"/>
      <c r="K72" s="338"/>
      <c r="L72" s="339"/>
      <c r="M72" s="339"/>
      <c r="N72" s="340"/>
      <c r="O72" s="338"/>
      <c r="P72" s="340"/>
      <c r="Q72" s="341"/>
      <c r="R72" s="342"/>
      <c r="S72" s="310"/>
      <c r="T72" s="310"/>
      <c r="U72" s="311" t="s">
        <v>136</v>
      </c>
      <c r="V72" s="312"/>
      <c r="W72" s="310"/>
      <c r="X72" s="310"/>
      <c r="Y72" s="307"/>
      <c r="Z72" s="308"/>
      <c r="AA72" s="309"/>
      <c r="AB72" s="313">
        <f t="shared" si="37"/>
        <v>0</v>
      </c>
      <c r="AC72" s="314"/>
      <c r="AD72" s="314"/>
      <c r="AE72" s="307"/>
      <c r="AF72" s="308"/>
      <c r="AG72" s="309"/>
      <c r="AH72" s="314">
        <f t="shared" si="38"/>
        <v>0</v>
      </c>
      <c r="AI72" s="314"/>
      <c r="AJ72" s="328"/>
      <c r="AK72" s="333" t="str">
        <f>IF(ISBLANK(AE72),"",1-(Y72/AE72))</f>
        <v/>
      </c>
      <c r="AL72" s="334"/>
    </row>
    <row r="73" spans="1:38" ht="15" customHeight="1" outlineLevel="1">
      <c r="A73" s="316" t="s">
        <v>189</v>
      </c>
      <c r="B73" s="316"/>
      <c r="C73" s="316"/>
      <c r="D73" s="316"/>
      <c r="E73" s="316"/>
      <c r="F73" s="316"/>
      <c r="G73" s="316"/>
      <c r="H73" s="338"/>
      <c r="I73" s="339"/>
      <c r="J73" s="340"/>
      <c r="K73" s="338"/>
      <c r="L73" s="339"/>
      <c r="M73" s="339"/>
      <c r="N73" s="340"/>
      <c r="O73" s="338"/>
      <c r="P73" s="340"/>
      <c r="Q73" s="341"/>
      <c r="R73" s="342"/>
      <c r="S73" s="310"/>
      <c r="T73" s="310"/>
      <c r="U73" s="311" t="s">
        <v>136</v>
      </c>
      <c r="V73" s="312"/>
      <c r="W73" s="310"/>
      <c r="X73" s="310"/>
      <c r="Y73" s="307"/>
      <c r="Z73" s="308"/>
      <c r="AA73" s="309"/>
      <c r="AB73" s="313">
        <f t="shared" si="37"/>
        <v>0</v>
      </c>
      <c r="AC73" s="314"/>
      <c r="AD73" s="314"/>
      <c r="AE73" s="307"/>
      <c r="AF73" s="308"/>
      <c r="AG73" s="309"/>
      <c r="AH73" s="314">
        <f t="shared" si="38"/>
        <v>0</v>
      </c>
      <c r="AI73" s="314"/>
      <c r="AJ73" s="328"/>
      <c r="AK73" s="333" t="str">
        <f>IF(ISBLANK(AE73),"",1-(Y73/AE73))</f>
        <v/>
      </c>
      <c r="AL73" s="334"/>
    </row>
    <row r="74" spans="1:38" ht="18.75">
      <c r="A74" s="111" t="s">
        <v>190</v>
      </c>
      <c r="B74" s="112"/>
      <c r="C74" s="112"/>
      <c r="D74" s="112"/>
      <c r="E74" s="112"/>
      <c r="F74" s="112"/>
      <c r="G74" s="112"/>
      <c r="H74" s="113"/>
      <c r="I74" s="113"/>
      <c r="J74" s="113"/>
      <c r="K74" s="113"/>
      <c r="L74" s="113"/>
      <c r="M74" s="113"/>
      <c r="N74" s="113"/>
      <c r="O74" s="113"/>
      <c r="P74" s="113"/>
      <c r="Q74" s="113"/>
      <c r="R74" s="113"/>
      <c r="S74" s="113"/>
      <c r="T74" s="113"/>
      <c r="U74" s="113"/>
      <c r="V74" s="113"/>
      <c r="W74" s="113"/>
      <c r="X74" s="113"/>
      <c r="Y74" s="321"/>
      <c r="Z74" s="322"/>
      <c r="AA74" s="323"/>
      <c r="AB74" s="315">
        <f>SUBTOTAL(9,AB75:AD77)</f>
        <v>0</v>
      </c>
      <c r="AC74" s="315"/>
      <c r="AD74" s="315"/>
      <c r="AE74" s="321"/>
      <c r="AF74" s="322"/>
      <c r="AG74" s="323"/>
      <c r="AH74" s="315">
        <f>SUBTOTAL(9,AH75:AJ77)</f>
        <v>0</v>
      </c>
      <c r="AI74" s="315"/>
      <c r="AJ74" s="315"/>
      <c r="AK74" s="332" t="str">
        <f>IF(AH74=0,"",1-(AB74/AH74))</f>
        <v/>
      </c>
      <c r="AL74" s="332"/>
    </row>
    <row r="75" spans="1:38" ht="15" customHeight="1" outlineLevel="1">
      <c r="A75" s="316" t="s">
        <v>191</v>
      </c>
      <c r="B75" s="316"/>
      <c r="C75" s="316"/>
      <c r="D75" s="316"/>
      <c r="E75" s="316"/>
      <c r="F75" s="316"/>
      <c r="G75" s="316"/>
      <c r="H75" s="298"/>
      <c r="I75" s="298"/>
      <c r="J75" s="298"/>
      <c r="K75" s="311"/>
      <c r="L75" s="317"/>
      <c r="M75" s="317"/>
      <c r="N75" s="312"/>
      <c r="O75" s="311"/>
      <c r="P75" s="312"/>
      <c r="Q75" s="310"/>
      <c r="R75" s="298"/>
      <c r="S75" s="310"/>
      <c r="T75" s="310"/>
      <c r="U75" s="311" t="s">
        <v>136</v>
      </c>
      <c r="V75" s="312"/>
      <c r="W75" s="310"/>
      <c r="X75" s="310"/>
      <c r="Y75" s="307"/>
      <c r="Z75" s="308"/>
      <c r="AA75" s="309"/>
      <c r="AB75" s="313">
        <f t="shared" ref="AB75:AB77" si="39">Y75*W75</f>
        <v>0</v>
      </c>
      <c r="AC75" s="314"/>
      <c r="AD75" s="314"/>
      <c r="AE75" s="307"/>
      <c r="AF75" s="308"/>
      <c r="AG75" s="309"/>
      <c r="AH75" s="314">
        <f t="shared" ref="AH75:AH77" si="40">AE75*W75</f>
        <v>0</v>
      </c>
      <c r="AI75" s="314"/>
      <c r="AJ75" s="328"/>
      <c r="AK75" s="333" t="str">
        <f>IF(ISBLANK(AE75),"",1-(Y75/AE75))</f>
        <v/>
      </c>
      <c r="AL75" s="334"/>
    </row>
    <row r="76" spans="1:38" ht="15" customHeight="1" outlineLevel="1">
      <c r="A76" s="316" t="s">
        <v>192</v>
      </c>
      <c r="B76" s="316"/>
      <c r="C76" s="316"/>
      <c r="D76" s="316"/>
      <c r="E76" s="316"/>
      <c r="F76" s="316"/>
      <c r="G76" s="316"/>
      <c r="H76" s="298"/>
      <c r="I76" s="298"/>
      <c r="J76" s="298"/>
      <c r="K76" s="311"/>
      <c r="L76" s="317"/>
      <c r="M76" s="317"/>
      <c r="N76" s="312"/>
      <c r="O76" s="311"/>
      <c r="P76" s="312"/>
      <c r="Q76" s="310"/>
      <c r="R76" s="298"/>
      <c r="S76" s="310"/>
      <c r="T76" s="310"/>
      <c r="U76" s="311" t="s">
        <v>136</v>
      </c>
      <c r="V76" s="312"/>
      <c r="W76" s="310"/>
      <c r="X76" s="310"/>
      <c r="Y76" s="307"/>
      <c r="Z76" s="308"/>
      <c r="AA76" s="309"/>
      <c r="AB76" s="313">
        <f t="shared" si="39"/>
        <v>0</v>
      </c>
      <c r="AC76" s="314"/>
      <c r="AD76" s="314"/>
      <c r="AE76" s="307"/>
      <c r="AF76" s="308"/>
      <c r="AG76" s="309"/>
      <c r="AH76" s="314">
        <f t="shared" si="40"/>
        <v>0</v>
      </c>
      <c r="AI76" s="314"/>
      <c r="AJ76" s="328"/>
      <c r="AK76" s="333" t="str">
        <f>IF(ISBLANK(AE76),"",1-(Y76/AE76))</f>
        <v/>
      </c>
      <c r="AL76" s="334"/>
    </row>
    <row r="77" spans="1:38" ht="15" customHeight="1" outlineLevel="1">
      <c r="A77" s="316" t="s">
        <v>193</v>
      </c>
      <c r="B77" s="316"/>
      <c r="C77" s="316"/>
      <c r="D77" s="316"/>
      <c r="E77" s="316"/>
      <c r="F77" s="316"/>
      <c r="G77" s="316"/>
      <c r="H77" s="298"/>
      <c r="I77" s="298"/>
      <c r="J77" s="298"/>
      <c r="K77" s="311"/>
      <c r="L77" s="317"/>
      <c r="M77" s="317"/>
      <c r="N77" s="312"/>
      <c r="O77" s="311"/>
      <c r="P77" s="312"/>
      <c r="Q77" s="310"/>
      <c r="R77" s="298"/>
      <c r="S77" s="310"/>
      <c r="T77" s="310"/>
      <c r="U77" s="311" t="s">
        <v>136</v>
      </c>
      <c r="V77" s="312"/>
      <c r="W77" s="310"/>
      <c r="X77" s="310"/>
      <c r="Y77" s="307"/>
      <c r="Z77" s="308"/>
      <c r="AA77" s="309"/>
      <c r="AB77" s="313">
        <f t="shared" si="39"/>
        <v>0</v>
      </c>
      <c r="AC77" s="314"/>
      <c r="AD77" s="314"/>
      <c r="AE77" s="307"/>
      <c r="AF77" s="308"/>
      <c r="AG77" s="309"/>
      <c r="AH77" s="314">
        <f t="shared" si="40"/>
        <v>0</v>
      </c>
      <c r="AI77" s="314"/>
      <c r="AJ77" s="328"/>
      <c r="AK77" s="333" t="str">
        <f>IF(ISBLANK(AE77),"",1-(Y77/AE77))</f>
        <v/>
      </c>
      <c r="AL77" s="334"/>
    </row>
    <row r="78" spans="1:38" ht="18.75">
      <c r="A78" s="111" t="s">
        <v>194</v>
      </c>
      <c r="B78" s="112"/>
      <c r="C78" s="112"/>
      <c r="D78" s="112"/>
      <c r="E78" s="112"/>
      <c r="F78" s="112"/>
      <c r="G78" s="112"/>
      <c r="H78" s="113"/>
      <c r="I78" s="113"/>
      <c r="J78" s="113"/>
      <c r="K78" s="113"/>
      <c r="L78" s="113"/>
      <c r="M78" s="113"/>
      <c r="N78" s="113"/>
      <c r="O78" s="113"/>
      <c r="P78" s="113"/>
      <c r="Q78" s="113"/>
      <c r="R78" s="113"/>
      <c r="S78" s="113"/>
      <c r="T78" s="113"/>
      <c r="U78" s="113"/>
      <c r="V78" s="113"/>
      <c r="W78" s="113"/>
      <c r="X78" s="113"/>
      <c r="Y78" s="321"/>
      <c r="Z78" s="322"/>
      <c r="AA78" s="323"/>
      <c r="AB78" s="315">
        <f>SUBTOTAL(9,AB79:AD82)</f>
        <v>0</v>
      </c>
      <c r="AC78" s="315"/>
      <c r="AD78" s="315"/>
      <c r="AE78" s="321"/>
      <c r="AF78" s="322"/>
      <c r="AG78" s="323"/>
      <c r="AH78" s="315">
        <f>SUBTOTAL(9,AH79:AJ82)</f>
        <v>0</v>
      </c>
      <c r="AI78" s="315"/>
      <c r="AJ78" s="315"/>
      <c r="AK78" s="332" t="str">
        <f>IF(AH78=0,"",1-(AB78/AH78))</f>
        <v/>
      </c>
      <c r="AL78" s="332"/>
    </row>
    <row r="79" spans="1:38" ht="15" customHeight="1" outlineLevel="1">
      <c r="A79" s="316" t="s">
        <v>195</v>
      </c>
      <c r="B79" s="316"/>
      <c r="C79" s="316"/>
      <c r="D79" s="316"/>
      <c r="E79" s="316"/>
      <c r="F79" s="316"/>
      <c r="G79" s="316"/>
      <c r="H79" s="298"/>
      <c r="I79" s="298"/>
      <c r="J79" s="298"/>
      <c r="K79" s="311"/>
      <c r="L79" s="317"/>
      <c r="M79" s="317"/>
      <c r="N79" s="312"/>
      <c r="O79" s="311"/>
      <c r="P79" s="312"/>
      <c r="Q79" s="310"/>
      <c r="R79" s="298"/>
      <c r="S79" s="310"/>
      <c r="T79" s="310"/>
      <c r="U79" s="311" t="s">
        <v>136</v>
      </c>
      <c r="V79" s="312"/>
      <c r="W79" s="310"/>
      <c r="X79" s="310"/>
      <c r="Y79" s="307"/>
      <c r="Z79" s="308"/>
      <c r="AA79" s="309"/>
      <c r="AB79" s="313">
        <f t="shared" ref="AB79:AB82" si="41">Y79*W79</f>
        <v>0</v>
      </c>
      <c r="AC79" s="314"/>
      <c r="AD79" s="314"/>
      <c r="AE79" s="307"/>
      <c r="AF79" s="308"/>
      <c r="AG79" s="309"/>
      <c r="AH79" s="314">
        <f t="shared" ref="AH79:AH82" si="42">AE79*W79</f>
        <v>0</v>
      </c>
      <c r="AI79" s="314"/>
      <c r="AJ79" s="328"/>
      <c r="AK79" s="333" t="str">
        <f>IF(ISBLANK(AE79),"",1-(Y79/AE79))</f>
        <v/>
      </c>
      <c r="AL79" s="334"/>
    </row>
    <row r="80" spans="1:38" ht="15" customHeight="1" outlineLevel="1">
      <c r="A80" s="316" t="s">
        <v>196</v>
      </c>
      <c r="B80" s="316"/>
      <c r="C80" s="316"/>
      <c r="D80" s="316"/>
      <c r="E80" s="316"/>
      <c r="F80" s="316"/>
      <c r="G80" s="316"/>
      <c r="H80" s="298"/>
      <c r="I80" s="298"/>
      <c r="J80" s="298"/>
      <c r="K80" s="311"/>
      <c r="L80" s="317"/>
      <c r="M80" s="317"/>
      <c r="N80" s="312"/>
      <c r="O80" s="311"/>
      <c r="P80" s="312"/>
      <c r="Q80" s="310"/>
      <c r="R80" s="298"/>
      <c r="S80" s="310"/>
      <c r="T80" s="310"/>
      <c r="U80" s="311" t="s">
        <v>136</v>
      </c>
      <c r="V80" s="312"/>
      <c r="W80" s="310"/>
      <c r="X80" s="310"/>
      <c r="Y80" s="307"/>
      <c r="Z80" s="308"/>
      <c r="AA80" s="309"/>
      <c r="AB80" s="313">
        <f t="shared" ref="AB80" si="43">Y80*W80</f>
        <v>0</v>
      </c>
      <c r="AC80" s="314"/>
      <c r="AD80" s="314"/>
      <c r="AE80" s="307"/>
      <c r="AF80" s="308"/>
      <c r="AG80" s="309"/>
      <c r="AH80" s="314">
        <f t="shared" ref="AH80" si="44">AE80*W80</f>
        <v>0</v>
      </c>
      <c r="AI80" s="314"/>
      <c r="AJ80" s="328"/>
      <c r="AK80" s="333" t="str">
        <f>IF(ISBLANK(AE80),"",1-(Y80/AE80))</f>
        <v/>
      </c>
      <c r="AL80" s="334"/>
    </row>
    <row r="81" spans="1:38" ht="15" customHeight="1" outlineLevel="1">
      <c r="A81" s="316" t="s">
        <v>196</v>
      </c>
      <c r="B81" s="316"/>
      <c r="C81" s="316"/>
      <c r="D81" s="316"/>
      <c r="E81" s="316"/>
      <c r="F81" s="316"/>
      <c r="G81" s="316"/>
      <c r="H81" s="298"/>
      <c r="I81" s="298"/>
      <c r="J81" s="298"/>
      <c r="K81" s="311"/>
      <c r="L81" s="317"/>
      <c r="M81" s="317"/>
      <c r="N81" s="312"/>
      <c r="O81" s="311"/>
      <c r="P81" s="312"/>
      <c r="Q81" s="310"/>
      <c r="R81" s="298"/>
      <c r="S81" s="310"/>
      <c r="T81" s="310"/>
      <c r="U81" s="311" t="s">
        <v>136</v>
      </c>
      <c r="V81" s="312"/>
      <c r="W81" s="310"/>
      <c r="X81" s="310"/>
      <c r="Y81" s="307"/>
      <c r="Z81" s="308"/>
      <c r="AA81" s="309"/>
      <c r="AB81" s="313">
        <f t="shared" ref="AB81" si="45">Y81*W81</f>
        <v>0</v>
      </c>
      <c r="AC81" s="314"/>
      <c r="AD81" s="314"/>
      <c r="AE81" s="307"/>
      <c r="AF81" s="308"/>
      <c r="AG81" s="309"/>
      <c r="AH81" s="314">
        <f t="shared" ref="AH81" si="46">AE81*W81</f>
        <v>0</v>
      </c>
      <c r="AI81" s="314"/>
      <c r="AJ81" s="328"/>
      <c r="AK81" s="333" t="str">
        <f>IF(ISBLANK(AE81),"",1-(Y81/AE81))</f>
        <v/>
      </c>
      <c r="AL81" s="334"/>
    </row>
    <row r="82" spans="1:38" ht="15" customHeight="1" outlineLevel="1">
      <c r="A82" s="316" t="s">
        <v>196</v>
      </c>
      <c r="B82" s="316"/>
      <c r="C82" s="316"/>
      <c r="D82" s="316"/>
      <c r="E82" s="316"/>
      <c r="F82" s="316"/>
      <c r="G82" s="316"/>
      <c r="H82" s="298"/>
      <c r="I82" s="298"/>
      <c r="J82" s="298"/>
      <c r="K82" s="311"/>
      <c r="L82" s="317"/>
      <c r="M82" s="317"/>
      <c r="N82" s="312"/>
      <c r="O82" s="311"/>
      <c r="P82" s="312"/>
      <c r="Q82" s="310"/>
      <c r="R82" s="298"/>
      <c r="S82" s="310"/>
      <c r="T82" s="310"/>
      <c r="U82" s="311" t="s">
        <v>136</v>
      </c>
      <c r="V82" s="312"/>
      <c r="W82" s="310"/>
      <c r="X82" s="310"/>
      <c r="Y82" s="307"/>
      <c r="Z82" s="308"/>
      <c r="AA82" s="309"/>
      <c r="AB82" s="313">
        <f t="shared" si="41"/>
        <v>0</v>
      </c>
      <c r="AC82" s="314"/>
      <c r="AD82" s="314"/>
      <c r="AE82" s="307"/>
      <c r="AF82" s="308"/>
      <c r="AG82" s="309"/>
      <c r="AH82" s="314">
        <f t="shared" si="42"/>
        <v>0</v>
      </c>
      <c r="AI82" s="314"/>
      <c r="AJ82" s="328"/>
      <c r="AK82" s="333" t="str">
        <f>IF(ISBLANK(AE82),"",1-(Y82/AE82))</f>
        <v/>
      </c>
      <c r="AL82" s="334"/>
    </row>
    <row r="83" spans="1:38" ht="18.75">
      <c r="A83" s="111" t="s">
        <v>197</v>
      </c>
      <c r="B83" s="112"/>
      <c r="C83" s="112"/>
      <c r="D83" s="112"/>
      <c r="E83" s="112"/>
      <c r="F83" s="112"/>
      <c r="G83" s="112"/>
      <c r="H83" s="113"/>
      <c r="I83" s="113"/>
      <c r="J83" s="113"/>
      <c r="K83" s="113"/>
      <c r="L83" s="113"/>
      <c r="M83" s="113"/>
      <c r="N83" s="113"/>
      <c r="O83" s="113"/>
      <c r="P83" s="113"/>
      <c r="Q83" s="113"/>
      <c r="R83" s="113"/>
      <c r="S83" s="113"/>
      <c r="T83" s="113"/>
      <c r="U83" s="113"/>
      <c r="V83" s="113"/>
      <c r="W83" s="113"/>
      <c r="X83" s="113"/>
      <c r="Y83" s="321"/>
      <c r="Z83" s="322"/>
      <c r="AA83" s="323"/>
      <c r="AB83" s="315">
        <f>SUBTOTAL(9,AB84:AD91)</f>
        <v>0</v>
      </c>
      <c r="AC83" s="315"/>
      <c r="AD83" s="315"/>
      <c r="AE83" s="321"/>
      <c r="AF83" s="322"/>
      <c r="AG83" s="323"/>
      <c r="AH83" s="315">
        <f>SUBTOTAL(9,AH84:AJ91)</f>
        <v>0</v>
      </c>
      <c r="AI83" s="315"/>
      <c r="AJ83" s="315"/>
      <c r="AK83" s="332" t="str">
        <f>IF(AH83=0,"",1-(AB83/AH83))</f>
        <v/>
      </c>
      <c r="AL83" s="332"/>
    </row>
    <row r="84" spans="1:38" ht="15" customHeight="1" outlineLevel="1">
      <c r="A84" s="316" t="s">
        <v>198</v>
      </c>
      <c r="B84" s="316"/>
      <c r="C84" s="316"/>
      <c r="D84" s="316"/>
      <c r="E84" s="316"/>
      <c r="F84" s="316"/>
      <c r="G84" s="316"/>
      <c r="H84" s="298"/>
      <c r="I84" s="298"/>
      <c r="J84" s="298"/>
      <c r="K84" s="311"/>
      <c r="L84" s="317"/>
      <c r="M84" s="317"/>
      <c r="N84" s="312"/>
      <c r="O84" s="311"/>
      <c r="P84" s="312"/>
      <c r="Q84" s="310"/>
      <c r="R84" s="298"/>
      <c r="S84" s="310"/>
      <c r="T84" s="310"/>
      <c r="U84" s="311" t="s">
        <v>136</v>
      </c>
      <c r="V84" s="312"/>
      <c r="W84" s="310"/>
      <c r="X84" s="310"/>
      <c r="Y84" s="307"/>
      <c r="Z84" s="308"/>
      <c r="AA84" s="309"/>
      <c r="AB84" s="313">
        <f t="shared" ref="AB84:AB101" si="47">Y84*W84</f>
        <v>0</v>
      </c>
      <c r="AC84" s="314"/>
      <c r="AD84" s="314"/>
      <c r="AE84" s="307"/>
      <c r="AF84" s="308"/>
      <c r="AG84" s="309"/>
      <c r="AH84" s="314">
        <f t="shared" ref="AH84:AH101" si="48">AE84*W84</f>
        <v>0</v>
      </c>
      <c r="AI84" s="314"/>
      <c r="AJ84" s="328"/>
      <c r="AK84" s="333" t="str">
        <f t="shared" ref="AK84:AK91" si="49">IF(ISBLANK(AE84),"",1-(Y84/AE84))</f>
        <v/>
      </c>
      <c r="AL84" s="334"/>
    </row>
    <row r="85" spans="1:38" ht="15" customHeight="1" outlineLevel="1">
      <c r="A85" s="316" t="s">
        <v>199</v>
      </c>
      <c r="B85" s="316"/>
      <c r="C85" s="316"/>
      <c r="D85" s="316"/>
      <c r="E85" s="316"/>
      <c r="F85" s="316"/>
      <c r="G85" s="316"/>
      <c r="H85" s="298"/>
      <c r="I85" s="298"/>
      <c r="J85" s="298"/>
      <c r="K85" s="311"/>
      <c r="L85" s="317"/>
      <c r="M85" s="317"/>
      <c r="N85" s="312"/>
      <c r="O85" s="311"/>
      <c r="P85" s="312"/>
      <c r="Q85" s="310"/>
      <c r="R85" s="298"/>
      <c r="S85" s="310"/>
      <c r="T85" s="310"/>
      <c r="U85" s="311" t="s">
        <v>136</v>
      </c>
      <c r="V85" s="312"/>
      <c r="W85" s="310"/>
      <c r="X85" s="310"/>
      <c r="Y85" s="307"/>
      <c r="Z85" s="308"/>
      <c r="AA85" s="309"/>
      <c r="AB85" s="313">
        <f t="shared" si="47"/>
        <v>0</v>
      </c>
      <c r="AC85" s="314"/>
      <c r="AD85" s="314"/>
      <c r="AE85" s="307"/>
      <c r="AF85" s="308"/>
      <c r="AG85" s="309"/>
      <c r="AH85" s="314">
        <f t="shared" si="48"/>
        <v>0</v>
      </c>
      <c r="AI85" s="314"/>
      <c r="AJ85" s="328"/>
      <c r="AK85" s="333" t="str">
        <f t="shared" si="49"/>
        <v/>
      </c>
      <c r="AL85" s="334"/>
    </row>
    <row r="86" spans="1:38" ht="15" customHeight="1" outlineLevel="1">
      <c r="A86" s="316" t="s">
        <v>200</v>
      </c>
      <c r="B86" s="316"/>
      <c r="C86" s="316"/>
      <c r="D86" s="316"/>
      <c r="E86" s="316"/>
      <c r="F86" s="316"/>
      <c r="G86" s="316"/>
      <c r="H86" s="298"/>
      <c r="I86" s="298"/>
      <c r="J86" s="298"/>
      <c r="K86" s="311"/>
      <c r="L86" s="317"/>
      <c r="M86" s="317"/>
      <c r="N86" s="312"/>
      <c r="O86" s="311"/>
      <c r="P86" s="312"/>
      <c r="Q86" s="310"/>
      <c r="R86" s="298"/>
      <c r="S86" s="310"/>
      <c r="T86" s="310"/>
      <c r="U86" s="311" t="s">
        <v>136</v>
      </c>
      <c r="V86" s="312"/>
      <c r="W86" s="310"/>
      <c r="X86" s="310"/>
      <c r="Y86" s="307"/>
      <c r="Z86" s="308"/>
      <c r="AA86" s="309"/>
      <c r="AB86" s="313">
        <f t="shared" si="47"/>
        <v>0</v>
      </c>
      <c r="AC86" s="314"/>
      <c r="AD86" s="314"/>
      <c r="AE86" s="307"/>
      <c r="AF86" s="308"/>
      <c r="AG86" s="309"/>
      <c r="AH86" s="314">
        <f t="shared" si="48"/>
        <v>0</v>
      </c>
      <c r="AI86" s="314"/>
      <c r="AJ86" s="328"/>
      <c r="AK86" s="333" t="str">
        <f t="shared" si="49"/>
        <v/>
      </c>
      <c r="AL86" s="334"/>
    </row>
    <row r="87" spans="1:38" ht="15" customHeight="1" outlineLevel="1">
      <c r="A87" s="316" t="s">
        <v>201</v>
      </c>
      <c r="B87" s="316"/>
      <c r="C87" s="316"/>
      <c r="D87" s="316"/>
      <c r="E87" s="316"/>
      <c r="F87" s="316"/>
      <c r="G87" s="316"/>
      <c r="H87" s="298"/>
      <c r="I87" s="298"/>
      <c r="J87" s="298"/>
      <c r="K87" s="311"/>
      <c r="L87" s="317"/>
      <c r="M87" s="317"/>
      <c r="N87" s="312"/>
      <c r="O87" s="311"/>
      <c r="P87" s="312"/>
      <c r="Q87" s="311"/>
      <c r="R87" s="312"/>
      <c r="S87" s="310"/>
      <c r="T87" s="298"/>
      <c r="U87" s="311" t="s">
        <v>136</v>
      </c>
      <c r="V87" s="312"/>
      <c r="W87" s="310"/>
      <c r="X87" s="310"/>
      <c r="Y87" s="307"/>
      <c r="Z87" s="308"/>
      <c r="AA87" s="309"/>
      <c r="AB87" s="313">
        <f t="shared" si="47"/>
        <v>0</v>
      </c>
      <c r="AC87" s="314"/>
      <c r="AD87" s="314"/>
      <c r="AE87" s="307"/>
      <c r="AF87" s="308"/>
      <c r="AG87" s="309"/>
      <c r="AH87" s="314">
        <f t="shared" si="48"/>
        <v>0</v>
      </c>
      <c r="AI87" s="314"/>
      <c r="AJ87" s="328"/>
      <c r="AK87" s="333" t="str">
        <f t="shared" si="49"/>
        <v/>
      </c>
      <c r="AL87" s="334"/>
    </row>
    <row r="88" spans="1:38" ht="15" customHeight="1" outlineLevel="1">
      <c r="A88" s="316" t="s">
        <v>202</v>
      </c>
      <c r="B88" s="316"/>
      <c r="C88" s="316"/>
      <c r="D88" s="316"/>
      <c r="E88" s="316"/>
      <c r="F88" s="316"/>
      <c r="G88" s="316"/>
      <c r="H88" s="298"/>
      <c r="I88" s="298"/>
      <c r="J88" s="298"/>
      <c r="K88" s="311"/>
      <c r="L88" s="317"/>
      <c r="M88" s="317"/>
      <c r="N88" s="312"/>
      <c r="O88" s="311"/>
      <c r="P88" s="312"/>
      <c r="Q88" s="311"/>
      <c r="R88" s="312"/>
      <c r="S88" s="310"/>
      <c r="T88" s="298"/>
      <c r="U88" s="311" t="s">
        <v>136</v>
      </c>
      <c r="V88" s="312"/>
      <c r="W88" s="310"/>
      <c r="X88" s="310"/>
      <c r="Y88" s="307"/>
      <c r="Z88" s="308"/>
      <c r="AA88" s="309"/>
      <c r="AB88" s="313">
        <f t="shared" si="47"/>
        <v>0</v>
      </c>
      <c r="AC88" s="314"/>
      <c r="AD88" s="314"/>
      <c r="AE88" s="307"/>
      <c r="AF88" s="308"/>
      <c r="AG88" s="309"/>
      <c r="AH88" s="314">
        <f t="shared" si="48"/>
        <v>0</v>
      </c>
      <c r="AI88" s="314"/>
      <c r="AJ88" s="328"/>
      <c r="AK88" s="333" t="str">
        <f t="shared" si="49"/>
        <v/>
      </c>
      <c r="AL88" s="334"/>
    </row>
    <row r="89" spans="1:38" ht="15" customHeight="1" outlineLevel="1">
      <c r="A89" s="316" t="s">
        <v>203</v>
      </c>
      <c r="B89" s="316"/>
      <c r="C89" s="316"/>
      <c r="D89" s="316"/>
      <c r="E89" s="316"/>
      <c r="F89" s="316"/>
      <c r="G89" s="316"/>
      <c r="H89" s="298"/>
      <c r="I89" s="298"/>
      <c r="J89" s="298"/>
      <c r="K89" s="311"/>
      <c r="L89" s="317"/>
      <c r="M89" s="317"/>
      <c r="N89" s="312"/>
      <c r="O89" s="311"/>
      <c r="P89" s="312"/>
      <c r="Q89" s="311"/>
      <c r="R89" s="312"/>
      <c r="S89" s="310"/>
      <c r="T89" s="298"/>
      <c r="U89" s="311" t="s">
        <v>136</v>
      </c>
      <c r="V89" s="312"/>
      <c r="W89" s="310"/>
      <c r="X89" s="310"/>
      <c r="Y89" s="307"/>
      <c r="Z89" s="308"/>
      <c r="AA89" s="309"/>
      <c r="AB89" s="313">
        <f t="shared" si="47"/>
        <v>0</v>
      </c>
      <c r="AC89" s="314"/>
      <c r="AD89" s="314"/>
      <c r="AE89" s="307"/>
      <c r="AF89" s="308"/>
      <c r="AG89" s="309"/>
      <c r="AH89" s="314">
        <f t="shared" si="48"/>
        <v>0</v>
      </c>
      <c r="AI89" s="314"/>
      <c r="AJ89" s="328"/>
      <c r="AK89" s="333" t="str">
        <f t="shared" si="49"/>
        <v/>
      </c>
      <c r="AL89" s="334"/>
    </row>
    <row r="90" spans="1:38" ht="15" customHeight="1" outlineLevel="1">
      <c r="A90" s="316" t="s">
        <v>204</v>
      </c>
      <c r="B90" s="316"/>
      <c r="C90" s="316"/>
      <c r="D90" s="316"/>
      <c r="E90" s="316"/>
      <c r="F90" s="316"/>
      <c r="G90" s="316"/>
      <c r="H90" s="298"/>
      <c r="I90" s="298"/>
      <c r="J90" s="298"/>
      <c r="K90" s="311"/>
      <c r="L90" s="317"/>
      <c r="M90" s="317"/>
      <c r="N90" s="312"/>
      <c r="O90" s="311"/>
      <c r="P90" s="312"/>
      <c r="Q90" s="311"/>
      <c r="R90" s="312"/>
      <c r="S90" s="310"/>
      <c r="T90" s="298"/>
      <c r="U90" s="311" t="s">
        <v>136</v>
      </c>
      <c r="V90" s="312"/>
      <c r="W90" s="310"/>
      <c r="X90" s="310"/>
      <c r="Y90" s="307"/>
      <c r="Z90" s="308"/>
      <c r="AA90" s="309"/>
      <c r="AB90" s="313">
        <f t="shared" si="47"/>
        <v>0</v>
      </c>
      <c r="AC90" s="314"/>
      <c r="AD90" s="314"/>
      <c r="AE90" s="307"/>
      <c r="AF90" s="308"/>
      <c r="AG90" s="309"/>
      <c r="AH90" s="314">
        <f t="shared" si="48"/>
        <v>0</v>
      </c>
      <c r="AI90" s="314"/>
      <c r="AJ90" s="328"/>
      <c r="AK90" s="333" t="str">
        <f t="shared" si="49"/>
        <v/>
      </c>
      <c r="AL90" s="334"/>
    </row>
    <row r="91" spans="1:38" ht="15" customHeight="1" outlineLevel="1">
      <c r="A91" s="316" t="s">
        <v>205</v>
      </c>
      <c r="B91" s="316"/>
      <c r="C91" s="316"/>
      <c r="D91" s="316"/>
      <c r="E91" s="316"/>
      <c r="F91" s="316"/>
      <c r="G91" s="316"/>
      <c r="H91" s="298"/>
      <c r="I91" s="298"/>
      <c r="J91" s="298"/>
      <c r="K91" s="311"/>
      <c r="L91" s="317"/>
      <c r="M91" s="317"/>
      <c r="N91" s="312"/>
      <c r="O91" s="311"/>
      <c r="P91" s="312"/>
      <c r="Q91" s="311"/>
      <c r="R91" s="312"/>
      <c r="S91" s="310"/>
      <c r="T91" s="298"/>
      <c r="U91" s="311" t="s">
        <v>136</v>
      </c>
      <c r="V91" s="312"/>
      <c r="W91" s="310"/>
      <c r="X91" s="310"/>
      <c r="Y91" s="307"/>
      <c r="Z91" s="308"/>
      <c r="AA91" s="309"/>
      <c r="AB91" s="313">
        <f t="shared" si="47"/>
        <v>0</v>
      </c>
      <c r="AC91" s="314"/>
      <c r="AD91" s="314"/>
      <c r="AE91" s="307"/>
      <c r="AF91" s="308"/>
      <c r="AG91" s="309"/>
      <c r="AH91" s="314">
        <f t="shared" si="48"/>
        <v>0</v>
      </c>
      <c r="AI91" s="314"/>
      <c r="AJ91" s="328"/>
      <c r="AK91" s="333" t="str">
        <f t="shared" si="49"/>
        <v/>
      </c>
      <c r="AL91" s="334"/>
    </row>
    <row r="92" spans="1:38" ht="18.75">
      <c r="A92" s="111" t="s">
        <v>206</v>
      </c>
      <c r="B92" s="112"/>
      <c r="C92" s="112"/>
      <c r="D92" s="112"/>
      <c r="E92" s="112"/>
      <c r="F92" s="112"/>
      <c r="G92" s="112"/>
      <c r="H92" s="113"/>
      <c r="I92" s="113"/>
      <c r="J92" s="113"/>
      <c r="K92" s="113"/>
      <c r="L92" s="113"/>
      <c r="M92" s="113"/>
      <c r="N92" s="113"/>
      <c r="O92" s="113"/>
      <c r="P92" s="113"/>
      <c r="Q92" s="113"/>
      <c r="R92" s="113"/>
      <c r="S92" s="113"/>
      <c r="T92" s="113"/>
      <c r="U92" s="113"/>
      <c r="V92" s="113"/>
      <c r="W92" s="113"/>
      <c r="X92" s="113"/>
      <c r="Y92" s="321"/>
      <c r="Z92" s="322"/>
      <c r="AA92" s="323"/>
      <c r="AB92" s="315">
        <f>SUBTOTAL(9,AB93:AD96)</f>
        <v>0</v>
      </c>
      <c r="AC92" s="315"/>
      <c r="AD92" s="315"/>
      <c r="AE92" s="321"/>
      <c r="AF92" s="322"/>
      <c r="AG92" s="323"/>
      <c r="AH92" s="315">
        <f>SUBTOTAL(9,AH93:AJ96)</f>
        <v>0</v>
      </c>
      <c r="AI92" s="315"/>
      <c r="AJ92" s="315"/>
      <c r="AK92" s="332" t="str">
        <f>IF(AH92=0,"",1-(AB92/AH92))</f>
        <v/>
      </c>
      <c r="AL92" s="332"/>
    </row>
    <row r="93" spans="1:38" ht="15" customHeight="1" outlineLevel="1">
      <c r="A93" s="316" t="s">
        <v>207</v>
      </c>
      <c r="B93" s="316"/>
      <c r="C93" s="316"/>
      <c r="D93" s="316"/>
      <c r="E93" s="316"/>
      <c r="F93" s="316"/>
      <c r="G93" s="316"/>
      <c r="H93" s="298"/>
      <c r="I93" s="298"/>
      <c r="J93" s="298"/>
      <c r="K93" s="311"/>
      <c r="L93" s="317"/>
      <c r="M93" s="317"/>
      <c r="N93" s="312"/>
      <c r="O93" s="311"/>
      <c r="P93" s="312"/>
      <c r="Q93" s="311"/>
      <c r="R93" s="312"/>
      <c r="S93" s="310"/>
      <c r="T93" s="298"/>
      <c r="U93" s="311" t="s">
        <v>136</v>
      </c>
      <c r="V93" s="312"/>
      <c r="W93" s="310"/>
      <c r="X93" s="310"/>
      <c r="Y93" s="307"/>
      <c r="Z93" s="308"/>
      <c r="AA93" s="309"/>
      <c r="AB93" s="313">
        <f t="shared" si="47"/>
        <v>0</v>
      </c>
      <c r="AC93" s="314"/>
      <c r="AD93" s="314"/>
      <c r="AE93" s="307"/>
      <c r="AF93" s="308"/>
      <c r="AG93" s="309"/>
      <c r="AH93" s="314">
        <f t="shared" si="48"/>
        <v>0</v>
      </c>
      <c r="AI93" s="314"/>
      <c r="AJ93" s="328"/>
      <c r="AK93" s="333" t="str">
        <f>IF(ISBLANK(AE93),"",1-(Y93/AE93))</f>
        <v/>
      </c>
      <c r="AL93" s="334"/>
    </row>
    <row r="94" spans="1:38" ht="15" customHeight="1" outlineLevel="1">
      <c r="A94" s="316" t="s">
        <v>208</v>
      </c>
      <c r="B94" s="316"/>
      <c r="C94" s="316"/>
      <c r="D94" s="316"/>
      <c r="E94" s="316"/>
      <c r="F94" s="316"/>
      <c r="G94" s="316"/>
      <c r="H94" s="298"/>
      <c r="I94" s="298"/>
      <c r="J94" s="298"/>
      <c r="K94" s="311"/>
      <c r="L94" s="317"/>
      <c r="M94" s="317"/>
      <c r="N94" s="312"/>
      <c r="O94" s="311"/>
      <c r="P94" s="312"/>
      <c r="Q94" s="311"/>
      <c r="R94" s="312"/>
      <c r="S94" s="310"/>
      <c r="T94" s="298"/>
      <c r="U94" s="311" t="s">
        <v>136</v>
      </c>
      <c r="V94" s="312"/>
      <c r="W94" s="310"/>
      <c r="X94" s="310"/>
      <c r="Y94" s="307"/>
      <c r="Z94" s="308"/>
      <c r="AA94" s="309"/>
      <c r="AB94" s="313">
        <f t="shared" si="47"/>
        <v>0</v>
      </c>
      <c r="AC94" s="314"/>
      <c r="AD94" s="314"/>
      <c r="AE94" s="307"/>
      <c r="AF94" s="308"/>
      <c r="AG94" s="309"/>
      <c r="AH94" s="314">
        <f t="shared" si="48"/>
        <v>0</v>
      </c>
      <c r="AI94" s="314"/>
      <c r="AJ94" s="328"/>
      <c r="AK94" s="333" t="str">
        <f>IF(ISBLANK(AE94),"",1-(Y94/AE94))</f>
        <v/>
      </c>
      <c r="AL94" s="334"/>
    </row>
    <row r="95" spans="1:38" ht="15" customHeight="1" outlineLevel="1">
      <c r="A95" s="316" t="s">
        <v>203</v>
      </c>
      <c r="B95" s="316"/>
      <c r="C95" s="316"/>
      <c r="D95" s="316"/>
      <c r="E95" s="316"/>
      <c r="F95" s="316"/>
      <c r="G95" s="316"/>
      <c r="H95" s="298"/>
      <c r="I95" s="298"/>
      <c r="J95" s="298"/>
      <c r="K95" s="311"/>
      <c r="L95" s="317"/>
      <c r="M95" s="317"/>
      <c r="N95" s="312"/>
      <c r="O95" s="311"/>
      <c r="P95" s="312"/>
      <c r="Q95" s="311"/>
      <c r="R95" s="312"/>
      <c r="S95" s="310"/>
      <c r="T95" s="298"/>
      <c r="U95" s="311" t="s">
        <v>136</v>
      </c>
      <c r="V95" s="312"/>
      <c r="W95" s="310"/>
      <c r="X95" s="310"/>
      <c r="Y95" s="307"/>
      <c r="Z95" s="308"/>
      <c r="AA95" s="309"/>
      <c r="AB95" s="313">
        <f t="shared" si="47"/>
        <v>0</v>
      </c>
      <c r="AC95" s="314"/>
      <c r="AD95" s="314"/>
      <c r="AE95" s="307"/>
      <c r="AF95" s="308"/>
      <c r="AG95" s="309"/>
      <c r="AH95" s="314">
        <f t="shared" si="48"/>
        <v>0</v>
      </c>
      <c r="AI95" s="314"/>
      <c r="AJ95" s="328"/>
      <c r="AK95" s="333" t="str">
        <f>IF(ISBLANK(AE95),"",1-(Y95/AE95))</f>
        <v/>
      </c>
      <c r="AL95" s="334"/>
    </row>
    <row r="96" spans="1:38" ht="15" customHeight="1" outlineLevel="1">
      <c r="A96" s="316" t="s">
        <v>209</v>
      </c>
      <c r="B96" s="316"/>
      <c r="C96" s="316"/>
      <c r="D96" s="316"/>
      <c r="E96" s="316"/>
      <c r="F96" s="316"/>
      <c r="G96" s="316"/>
      <c r="H96" s="298"/>
      <c r="I96" s="298"/>
      <c r="J96" s="298"/>
      <c r="K96" s="311"/>
      <c r="L96" s="317"/>
      <c r="M96" s="317"/>
      <c r="N96" s="312"/>
      <c r="O96" s="311"/>
      <c r="P96" s="312"/>
      <c r="Q96" s="311"/>
      <c r="R96" s="312"/>
      <c r="S96" s="310"/>
      <c r="T96" s="298"/>
      <c r="U96" s="311" t="s">
        <v>136</v>
      </c>
      <c r="V96" s="312"/>
      <c r="W96" s="310"/>
      <c r="X96" s="310"/>
      <c r="Y96" s="307"/>
      <c r="Z96" s="308"/>
      <c r="AA96" s="309"/>
      <c r="AB96" s="313">
        <f t="shared" si="47"/>
        <v>0</v>
      </c>
      <c r="AC96" s="314"/>
      <c r="AD96" s="314"/>
      <c r="AE96" s="307"/>
      <c r="AF96" s="308"/>
      <c r="AG96" s="309"/>
      <c r="AH96" s="314">
        <f t="shared" si="48"/>
        <v>0</v>
      </c>
      <c r="AI96" s="314"/>
      <c r="AJ96" s="328"/>
      <c r="AK96" s="333" t="str">
        <f>IF(ISBLANK(AE96),"",1-(Y96/AE96))</f>
        <v/>
      </c>
      <c r="AL96" s="334"/>
    </row>
    <row r="97" spans="1:38" ht="18.75">
      <c r="A97" s="111" t="s">
        <v>210</v>
      </c>
      <c r="B97" s="112"/>
      <c r="C97" s="112"/>
      <c r="D97" s="112"/>
      <c r="E97" s="112"/>
      <c r="F97" s="112"/>
      <c r="G97" s="112"/>
      <c r="H97" s="113"/>
      <c r="I97" s="113"/>
      <c r="J97" s="113"/>
      <c r="K97" s="113"/>
      <c r="L97" s="113"/>
      <c r="M97" s="113"/>
      <c r="N97" s="113"/>
      <c r="O97" s="113"/>
      <c r="P97" s="113"/>
      <c r="Q97" s="113"/>
      <c r="R97" s="113"/>
      <c r="S97" s="113"/>
      <c r="T97" s="113"/>
      <c r="U97" s="113"/>
      <c r="V97" s="113"/>
      <c r="W97" s="113"/>
      <c r="X97" s="113"/>
      <c r="Y97" s="321"/>
      <c r="Z97" s="322"/>
      <c r="AA97" s="323"/>
      <c r="AB97" s="315">
        <f>SUBTOTAL(9,AB98:AD101)</f>
        <v>0</v>
      </c>
      <c r="AC97" s="315"/>
      <c r="AD97" s="315"/>
      <c r="AE97" s="321"/>
      <c r="AF97" s="322"/>
      <c r="AG97" s="323"/>
      <c r="AH97" s="315">
        <f>SUBTOTAL(9,AH98:AJ101)</f>
        <v>0</v>
      </c>
      <c r="AI97" s="315"/>
      <c r="AJ97" s="315"/>
      <c r="AK97" s="332" t="str">
        <f>IF(AH97=0,"",1-(AB97/AH97))</f>
        <v/>
      </c>
      <c r="AL97" s="332"/>
    </row>
    <row r="98" spans="1:38" ht="15" customHeight="1" outlineLevel="1">
      <c r="A98" s="170" t="s">
        <v>642</v>
      </c>
      <c r="B98" s="170"/>
      <c r="C98" s="170"/>
      <c r="D98" s="170"/>
      <c r="E98" s="170"/>
      <c r="F98" s="170"/>
      <c r="G98" s="170"/>
      <c r="H98" s="298"/>
      <c r="I98" s="298"/>
      <c r="J98" s="298"/>
      <c r="K98" s="311"/>
      <c r="L98" s="317"/>
      <c r="M98" s="317"/>
      <c r="N98" s="312"/>
      <c r="O98" s="311"/>
      <c r="P98" s="312"/>
      <c r="Q98" s="311"/>
      <c r="R98" s="312"/>
      <c r="S98" s="310"/>
      <c r="T98" s="298"/>
      <c r="U98" s="311" t="s">
        <v>136</v>
      </c>
      <c r="V98" s="312"/>
      <c r="W98" s="310"/>
      <c r="X98" s="310"/>
      <c r="Y98" s="307">
        <v>62.11</v>
      </c>
      <c r="Z98" s="308"/>
      <c r="AA98" s="309"/>
      <c r="AB98" s="313">
        <f t="shared" si="47"/>
        <v>0</v>
      </c>
      <c r="AC98" s="314"/>
      <c r="AD98" s="314"/>
      <c r="AE98" s="307"/>
      <c r="AF98" s="308"/>
      <c r="AG98" s="309"/>
      <c r="AH98" s="314">
        <f t="shared" si="48"/>
        <v>0</v>
      </c>
      <c r="AI98" s="314"/>
      <c r="AJ98" s="328"/>
      <c r="AK98" s="333" t="str">
        <f>IF(ISBLANK(AE98),"",1-(Y98/AE98))</f>
        <v/>
      </c>
      <c r="AL98" s="334"/>
    </row>
    <row r="99" spans="1:38" ht="15" customHeight="1" outlineLevel="1">
      <c r="A99" s="170" t="s">
        <v>211</v>
      </c>
      <c r="B99" s="170"/>
      <c r="C99" s="170"/>
      <c r="D99" s="170"/>
      <c r="E99" s="170"/>
      <c r="F99" s="170"/>
      <c r="G99" s="170"/>
      <c r="H99" s="298"/>
      <c r="I99" s="298"/>
      <c r="J99" s="298"/>
      <c r="K99" s="311"/>
      <c r="L99" s="317"/>
      <c r="M99" s="317"/>
      <c r="N99" s="312"/>
      <c r="O99" s="311"/>
      <c r="P99" s="312"/>
      <c r="Q99" s="311"/>
      <c r="R99" s="312"/>
      <c r="S99" s="310"/>
      <c r="T99" s="298"/>
      <c r="U99" s="311" t="s">
        <v>136</v>
      </c>
      <c r="V99" s="312"/>
      <c r="W99" s="310"/>
      <c r="X99" s="310"/>
      <c r="Y99" s="307">
        <v>66.25</v>
      </c>
      <c r="Z99" s="308"/>
      <c r="AA99" s="309"/>
      <c r="AB99" s="313">
        <f t="shared" ref="AB99" si="50">Y99*W99</f>
        <v>0</v>
      </c>
      <c r="AC99" s="314"/>
      <c r="AD99" s="314"/>
      <c r="AE99" s="307"/>
      <c r="AF99" s="308"/>
      <c r="AG99" s="309"/>
      <c r="AH99" s="314">
        <f t="shared" ref="AH99" si="51">AE99*W99</f>
        <v>0</v>
      </c>
      <c r="AI99" s="314"/>
      <c r="AJ99" s="328"/>
      <c r="AK99" s="333" t="str">
        <f>IF(ISBLANK(AE99),"",1-(Y99/AE99))</f>
        <v/>
      </c>
      <c r="AL99" s="334"/>
    </row>
    <row r="100" spans="1:38" ht="15" customHeight="1" outlineLevel="1">
      <c r="A100" s="170" t="s">
        <v>205</v>
      </c>
      <c r="B100" s="170"/>
      <c r="C100" s="170"/>
      <c r="D100" s="170"/>
      <c r="E100" s="170"/>
      <c r="F100" s="170"/>
      <c r="G100" s="170"/>
      <c r="H100" s="298"/>
      <c r="I100" s="298"/>
      <c r="J100" s="298"/>
      <c r="K100" s="311"/>
      <c r="L100" s="317"/>
      <c r="M100" s="317"/>
      <c r="N100" s="312"/>
      <c r="O100" s="311"/>
      <c r="P100" s="312"/>
      <c r="Q100" s="311"/>
      <c r="R100" s="312"/>
      <c r="S100" s="310"/>
      <c r="T100" s="298"/>
      <c r="U100" s="311" t="s">
        <v>136</v>
      </c>
      <c r="V100" s="312"/>
      <c r="W100" s="310"/>
      <c r="X100" s="310"/>
      <c r="Y100" s="307">
        <v>1.5</v>
      </c>
      <c r="Z100" s="308"/>
      <c r="AA100" s="309"/>
      <c r="AB100" s="313">
        <f t="shared" si="47"/>
        <v>0</v>
      </c>
      <c r="AC100" s="314"/>
      <c r="AD100" s="314"/>
      <c r="AE100" s="307"/>
      <c r="AF100" s="308"/>
      <c r="AG100" s="309"/>
      <c r="AH100" s="314">
        <f t="shared" si="48"/>
        <v>0</v>
      </c>
      <c r="AI100" s="314"/>
      <c r="AJ100" s="328"/>
      <c r="AK100" s="333" t="str">
        <f>IF(ISBLANK(AE100),"",1-(Y100/AE100))</f>
        <v/>
      </c>
      <c r="AL100" s="334"/>
    </row>
    <row r="101" spans="1:38" ht="15" customHeight="1" outlineLevel="1">
      <c r="A101" s="170" t="s">
        <v>212</v>
      </c>
      <c r="B101" s="170"/>
      <c r="C101" s="170"/>
      <c r="D101" s="170"/>
      <c r="E101" s="170"/>
      <c r="F101" s="170"/>
      <c r="G101" s="170"/>
      <c r="H101" s="298"/>
      <c r="I101" s="298"/>
      <c r="J101" s="298"/>
      <c r="K101" s="311"/>
      <c r="L101" s="317"/>
      <c r="M101" s="317"/>
      <c r="N101" s="312"/>
      <c r="O101" s="311"/>
      <c r="P101" s="312"/>
      <c r="Q101" s="311"/>
      <c r="R101" s="312"/>
      <c r="S101" s="310"/>
      <c r="T101" s="298"/>
      <c r="U101" s="311" t="s">
        <v>136</v>
      </c>
      <c r="V101" s="312"/>
      <c r="W101" s="310"/>
      <c r="X101" s="310"/>
      <c r="Y101" s="307">
        <v>26.55</v>
      </c>
      <c r="Z101" s="308"/>
      <c r="AA101" s="309"/>
      <c r="AB101" s="313">
        <f t="shared" si="47"/>
        <v>0</v>
      </c>
      <c r="AC101" s="314"/>
      <c r="AD101" s="314"/>
      <c r="AE101" s="307"/>
      <c r="AF101" s="308"/>
      <c r="AG101" s="309"/>
      <c r="AH101" s="314">
        <f t="shared" si="48"/>
        <v>0</v>
      </c>
      <c r="AI101" s="314"/>
      <c r="AJ101" s="328"/>
      <c r="AK101" s="333" t="str">
        <f>IF(ISBLANK(AE101),"",1-(Y101/AE101))</f>
        <v/>
      </c>
      <c r="AL101" s="334"/>
    </row>
    <row r="102" spans="1:38" ht="18.75">
      <c r="A102" s="111" t="s">
        <v>213</v>
      </c>
      <c r="B102" s="112"/>
      <c r="C102" s="112"/>
      <c r="D102" s="112"/>
      <c r="E102" s="112"/>
      <c r="F102" s="112"/>
      <c r="G102" s="112"/>
      <c r="H102" s="113"/>
      <c r="I102" s="113"/>
      <c r="J102" s="113"/>
      <c r="K102" s="113"/>
      <c r="L102" s="113"/>
      <c r="M102" s="113"/>
      <c r="N102" s="113"/>
      <c r="O102" s="113"/>
      <c r="P102" s="113"/>
      <c r="Q102" s="113"/>
      <c r="R102" s="113"/>
      <c r="S102" s="113"/>
      <c r="T102" s="113"/>
      <c r="U102" s="113"/>
      <c r="V102" s="113"/>
      <c r="W102" s="113"/>
      <c r="X102" s="113"/>
      <c r="Y102" s="113"/>
      <c r="Z102" s="113"/>
      <c r="AA102" s="113"/>
      <c r="AB102" s="315"/>
      <c r="AC102" s="315"/>
      <c r="AD102" s="315"/>
      <c r="AE102" s="321"/>
      <c r="AF102" s="322"/>
      <c r="AG102" s="323"/>
      <c r="AH102" s="315">
        <f>SUBTOTAL(9,AH103:AJ106)</f>
        <v>0</v>
      </c>
      <c r="AI102" s="315"/>
      <c r="AJ102" s="315"/>
      <c r="AK102" s="332" t="str">
        <f>IF(AH102=0,"",1-(AB102/AH102))</f>
        <v/>
      </c>
      <c r="AL102" s="332"/>
    </row>
    <row r="103" spans="1:38" outlineLevel="1">
      <c r="A103" s="316" t="s">
        <v>214</v>
      </c>
      <c r="B103" s="316"/>
      <c r="C103" s="316"/>
      <c r="D103" s="316"/>
      <c r="E103" s="316"/>
      <c r="F103" s="316"/>
      <c r="G103" s="316"/>
      <c r="H103" s="298"/>
      <c r="I103" s="298"/>
      <c r="J103" s="298"/>
      <c r="K103" s="311"/>
      <c r="L103" s="317"/>
      <c r="M103" s="317"/>
      <c r="N103" s="312"/>
      <c r="O103" s="311"/>
      <c r="P103" s="312"/>
      <c r="Q103" s="310"/>
      <c r="R103" s="298"/>
      <c r="S103" s="310"/>
      <c r="T103" s="310"/>
      <c r="U103" s="311" t="s">
        <v>136</v>
      </c>
      <c r="V103" s="312"/>
      <c r="W103" s="310"/>
      <c r="X103" s="310"/>
      <c r="Y103" s="335"/>
      <c r="Z103" s="336"/>
      <c r="AA103" s="337"/>
      <c r="AB103" s="318"/>
      <c r="AC103" s="319"/>
      <c r="AD103" s="320"/>
      <c r="AE103" s="307"/>
      <c r="AF103" s="308"/>
      <c r="AG103" s="309"/>
      <c r="AH103" s="313">
        <f>-AE103*W103</f>
        <v>0</v>
      </c>
      <c r="AI103" s="314"/>
      <c r="AJ103" s="328"/>
      <c r="AK103" s="333" t="str">
        <f>IF(ISBLANK(AE103),"",1-(Y103/AE103))</f>
        <v/>
      </c>
      <c r="AL103" s="334"/>
    </row>
    <row r="104" spans="1:38" outlineLevel="1">
      <c r="A104" s="316" t="s">
        <v>214</v>
      </c>
      <c r="B104" s="316"/>
      <c r="C104" s="316"/>
      <c r="D104" s="316"/>
      <c r="E104" s="316"/>
      <c r="F104" s="316"/>
      <c r="G104" s="316"/>
      <c r="H104" s="298"/>
      <c r="I104" s="298"/>
      <c r="J104" s="298"/>
      <c r="K104" s="311"/>
      <c r="L104" s="317"/>
      <c r="M104" s="317"/>
      <c r="N104" s="312"/>
      <c r="O104" s="311"/>
      <c r="P104" s="312"/>
      <c r="Q104" s="310"/>
      <c r="R104" s="298"/>
      <c r="S104" s="310"/>
      <c r="T104" s="310"/>
      <c r="U104" s="311" t="s">
        <v>136</v>
      </c>
      <c r="V104" s="312"/>
      <c r="W104" s="310"/>
      <c r="X104" s="310"/>
      <c r="Y104" s="335"/>
      <c r="Z104" s="336"/>
      <c r="AA104" s="337"/>
      <c r="AB104" s="318"/>
      <c r="AC104" s="319"/>
      <c r="AD104" s="320"/>
      <c r="AE104" s="307"/>
      <c r="AF104" s="308"/>
      <c r="AG104" s="309"/>
      <c r="AH104" s="313">
        <f>-AE104*W104</f>
        <v>0</v>
      </c>
      <c r="AI104" s="314"/>
      <c r="AJ104" s="328"/>
      <c r="AK104" s="333" t="str">
        <f>IF(ISBLANK(AE104),"",1-(Y104/AE104))</f>
        <v/>
      </c>
      <c r="AL104" s="334"/>
    </row>
    <row r="105" spans="1:38" outlineLevel="1">
      <c r="A105" s="316" t="s">
        <v>214</v>
      </c>
      <c r="B105" s="316"/>
      <c r="C105" s="316"/>
      <c r="D105" s="316"/>
      <c r="E105" s="316"/>
      <c r="F105" s="316"/>
      <c r="G105" s="316"/>
      <c r="H105" s="298"/>
      <c r="I105" s="298"/>
      <c r="J105" s="298"/>
      <c r="K105" s="311"/>
      <c r="L105" s="317"/>
      <c r="M105" s="317"/>
      <c r="N105" s="312"/>
      <c r="O105" s="311"/>
      <c r="P105" s="312"/>
      <c r="Q105" s="310"/>
      <c r="R105" s="298"/>
      <c r="S105" s="310"/>
      <c r="T105" s="310"/>
      <c r="U105" s="311" t="s">
        <v>136</v>
      </c>
      <c r="V105" s="312"/>
      <c r="W105" s="310"/>
      <c r="X105" s="310"/>
      <c r="Y105" s="335"/>
      <c r="Z105" s="336"/>
      <c r="AA105" s="337"/>
      <c r="AB105" s="318"/>
      <c r="AC105" s="319"/>
      <c r="AD105" s="320"/>
      <c r="AE105" s="307"/>
      <c r="AF105" s="308"/>
      <c r="AG105" s="309"/>
      <c r="AH105" s="313">
        <f>-AE105*W105</f>
        <v>0</v>
      </c>
      <c r="AI105" s="314"/>
      <c r="AJ105" s="328"/>
      <c r="AK105" s="333" t="str">
        <f>IF(ISBLANK(AE105),"",1-(Y105/AE105))</f>
        <v/>
      </c>
      <c r="AL105" s="334"/>
    </row>
    <row r="106" spans="1:38" outlineLevel="1">
      <c r="A106" s="316" t="s">
        <v>214</v>
      </c>
      <c r="B106" s="316"/>
      <c r="C106" s="316"/>
      <c r="D106" s="316"/>
      <c r="E106" s="316"/>
      <c r="F106" s="316"/>
      <c r="G106" s="316"/>
      <c r="H106" s="298"/>
      <c r="I106" s="298"/>
      <c r="J106" s="298"/>
      <c r="K106" s="311"/>
      <c r="L106" s="317"/>
      <c r="M106" s="317"/>
      <c r="N106" s="312"/>
      <c r="O106" s="311"/>
      <c r="P106" s="312"/>
      <c r="Q106" s="310"/>
      <c r="R106" s="298"/>
      <c r="S106" s="310"/>
      <c r="T106" s="310"/>
      <c r="U106" s="311" t="s">
        <v>136</v>
      </c>
      <c r="V106" s="312"/>
      <c r="W106" s="310"/>
      <c r="X106" s="310"/>
      <c r="Y106" s="335"/>
      <c r="Z106" s="336"/>
      <c r="AA106" s="337"/>
      <c r="AB106" s="318"/>
      <c r="AC106" s="319"/>
      <c r="AD106" s="320"/>
      <c r="AE106" s="307"/>
      <c r="AF106" s="308"/>
      <c r="AG106" s="309"/>
      <c r="AH106" s="313">
        <f>-AE106*W106</f>
        <v>0</v>
      </c>
      <c r="AI106" s="314"/>
      <c r="AJ106" s="328"/>
      <c r="AK106" s="333" t="str">
        <f>IF(ISBLANK(AE106),"",1-(Y106/AE106))</f>
        <v/>
      </c>
      <c r="AL106" s="334"/>
    </row>
    <row r="107" spans="1:38" ht="24.95" customHeight="1">
      <c r="A107" s="327"/>
      <c r="B107" s="327"/>
      <c r="C107" s="327"/>
      <c r="D107" s="327"/>
      <c r="E107" s="327"/>
      <c r="F107" s="327"/>
      <c r="G107" s="327"/>
      <c r="H107" s="327"/>
      <c r="I107" s="327"/>
      <c r="J107" s="327"/>
      <c r="K107" s="327"/>
      <c r="L107" s="327"/>
      <c r="M107" s="327"/>
      <c r="N107" s="327"/>
      <c r="O107" s="327"/>
      <c r="P107" s="327"/>
      <c r="Q107" s="327"/>
      <c r="R107" s="327"/>
      <c r="S107" s="327"/>
      <c r="T107" s="306" t="s">
        <v>215</v>
      </c>
      <c r="U107" s="306"/>
      <c r="V107" s="306"/>
      <c r="W107" s="306"/>
      <c r="X107" s="306"/>
      <c r="Y107" s="306"/>
      <c r="Z107" s="306"/>
      <c r="AA107" s="306"/>
      <c r="AB107" s="329">
        <f>SUBTOTAL(9,AH15:AJ106)</f>
        <v>0</v>
      </c>
      <c r="AC107" s="330"/>
      <c r="AD107" s="330"/>
      <c r="AE107" s="330"/>
      <c r="AF107" s="330"/>
      <c r="AG107" s="330"/>
      <c r="AH107" s="331" t="str">
        <f>IFERROR(((AB107-$AB$109)/AB107),"")</f>
        <v/>
      </c>
      <c r="AI107" s="331"/>
      <c r="AJ107" s="331"/>
      <c r="AK107" s="331"/>
      <c r="AL107" s="331"/>
    </row>
    <row r="108" spans="1:38" ht="24.95" customHeight="1">
      <c r="A108" s="327"/>
      <c r="B108" s="327"/>
      <c r="C108" s="327"/>
      <c r="D108" s="327"/>
      <c r="E108" s="327"/>
      <c r="F108" s="327"/>
      <c r="G108" s="327"/>
      <c r="H108" s="327"/>
      <c r="I108" s="327"/>
      <c r="J108" s="327"/>
      <c r="K108" s="327"/>
      <c r="L108" s="327"/>
      <c r="M108" s="327"/>
      <c r="N108" s="327"/>
      <c r="O108" s="327"/>
      <c r="P108" s="327"/>
      <c r="Q108" s="327"/>
      <c r="R108" s="327"/>
      <c r="S108" s="327"/>
      <c r="T108" s="306" t="s">
        <v>216</v>
      </c>
      <c r="U108" s="306"/>
      <c r="V108" s="306"/>
      <c r="W108" s="306"/>
      <c r="X108" s="306"/>
      <c r="Y108" s="306"/>
      <c r="Z108" s="306"/>
      <c r="AA108" s="306"/>
      <c r="AB108" s="379">
        <v>0</v>
      </c>
      <c r="AC108" s="380"/>
      <c r="AD108" s="380"/>
      <c r="AE108" s="380"/>
      <c r="AF108" s="380"/>
      <c r="AG108" s="380"/>
      <c r="AH108" s="381" t="str">
        <f>IFERROR(((AB108-$AB$109)/AB108),"")</f>
        <v/>
      </c>
      <c r="AI108" s="381"/>
      <c r="AJ108" s="381"/>
      <c r="AK108" s="381"/>
      <c r="AL108" s="381"/>
    </row>
    <row r="109" spans="1:38" ht="24.95" customHeight="1">
      <c r="A109" s="327"/>
      <c r="B109" s="327"/>
      <c r="C109" s="327"/>
      <c r="D109" s="327"/>
      <c r="E109" s="327"/>
      <c r="F109" s="327"/>
      <c r="G109" s="327"/>
      <c r="H109" s="327"/>
      <c r="I109" s="327"/>
      <c r="J109" s="327"/>
      <c r="K109" s="327"/>
      <c r="L109" s="327"/>
      <c r="M109" s="327"/>
      <c r="N109" s="327"/>
      <c r="O109" s="327"/>
      <c r="P109" s="327"/>
      <c r="Q109" s="327"/>
      <c r="R109" s="327"/>
      <c r="S109" s="327"/>
      <c r="T109" s="306" t="s">
        <v>217</v>
      </c>
      <c r="U109" s="306"/>
      <c r="V109" s="306"/>
      <c r="W109" s="306"/>
      <c r="X109" s="306"/>
      <c r="Y109" s="306"/>
      <c r="Z109" s="306"/>
      <c r="AA109" s="306"/>
      <c r="AB109" s="329">
        <f>SUBTOTAL(9,AB15:AD106)</f>
        <v>0</v>
      </c>
      <c r="AC109" s="330"/>
      <c r="AD109" s="330"/>
      <c r="AE109" s="330"/>
      <c r="AF109" s="330"/>
      <c r="AG109" s="330"/>
      <c r="AH109" s="331"/>
      <c r="AI109" s="331"/>
      <c r="AJ109" s="331"/>
      <c r="AK109" s="331"/>
      <c r="AL109" s="331"/>
    </row>
    <row r="110" spans="1:38" ht="24.95" customHeight="1">
      <c r="A110" s="327"/>
      <c r="B110" s="327"/>
      <c r="C110" s="327"/>
      <c r="D110" s="327"/>
      <c r="E110" s="327"/>
      <c r="F110" s="327"/>
      <c r="G110" s="327"/>
      <c r="H110" s="327"/>
      <c r="I110" s="327"/>
      <c r="J110" s="327"/>
      <c r="K110" s="327"/>
      <c r="L110" s="327"/>
      <c r="M110" s="327"/>
      <c r="N110" s="327"/>
      <c r="O110" s="327"/>
      <c r="P110" s="327"/>
      <c r="Q110" s="327"/>
      <c r="R110" s="327"/>
      <c r="S110" s="327"/>
      <c r="T110" s="306" t="s">
        <v>218</v>
      </c>
      <c r="U110" s="306"/>
      <c r="V110" s="306"/>
      <c r="W110" s="306"/>
      <c r="X110" s="306"/>
      <c r="Y110" s="306"/>
      <c r="Z110" s="306"/>
      <c r="AA110" s="306"/>
      <c r="AB110" s="329">
        <f>AB109/0.7</f>
        <v>0</v>
      </c>
      <c r="AC110" s="330"/>
      <c r="AD110" s="330"/>
      <c r="AE110" s="330"/>
      <c r="AF110" s="330"/>
      <c r="AG110" s="330"/>
      <c r="AH110" s="331">
        <v>0.3</v>
      </c>
      <c r="AI110" s="331"/>
      <c r="AJ110" s="331"/>
      <c r="AK110" s="331"/>
      <c r="AL110" s="331"/>
    </row>
    <row r="111" spans="1:38" ht="24.95" customHeight="1">
      <c r="A111" s="327"/>
      <c r="B111" s="327"/>
      <c r="C111" s="327"/>
      <c r="D111" s="327"/>
      <c r="E111" s="327"/>
      <c r="F111" s="327"/>
      <c r="G111" s="327"/>
      <c r="H111" s="327"/>
      <c r="I111" s="327"/>
      <c r="J111" s="327"/>
      <c r="K111" s="327"/>
      <c r="L111" s="327"/>
      <c r="M111" s="327"/>
      <c r="N111" s="327"/>
      <c r="O111" s="327"/>
      <c r="P111" s="327"/>
      <c r="Q111" s="327"/>
      <c r="R111" s="327"/>
      <c r="S111" s="327"/>
      <c r="T111" s="306" t="s">
        <v>219</v>
      </c>
      <c r="U111" s="306"/>
      <c r="V111" s="306"/>
      <c r="W111" s="306"/>
      <c r="X111" s="306"/>
      <c r="Y111" s="306"/>
      <c r="Z111" s="306"/>
      <c r="AA111" s="306"/>
      <c r="AB111" s="329">
        <f>AB109/0.8</f>
        <v>0</v>
      </c>
      <c r="AC111" s="330"/>
      <c r="AD111" s="330"/>
      <c r="AE111" s="330"/>
      <c r="AF111" s="330"/>
      <c r="AG111" s="330"/>
      <c r="AH111" s="331">
        <v>0.2</v>
      </c>
      <c r="AI111" s="331"/>
      <c r="AJ111" s="331"/>
      <c r="AK111" s="331"/>
      <c r="AL111" s="331"/>
    </row>
    <row r="112" spans="1:38" ht="15.75">
      <c r="AG112" s="88" t="s">
        <v>220</v>
      </c>
    </row>
    <row r="113" spans="29:30" ht="15.75">
      <c r="AC113" s="88"/>
      <c r="AD113" s="89"/>
    </row>
  </sheetData>
  <sheetProtection algorithmName="SHA-512" hashValue="qUg195nghDO3EPjQ95FFQy08YkLHovuw92rMFURnZoGIzo2MODp7rRi9zA8JpR6j3fNxgZqspQmZiFp2hm2KLw==" saltValue="CEA7TP3vTZjjT794O+WehA==" spinCount="100000" sheet="1" objects="1" scenarios="1"/>
  <mergeCells count="1109">
    <mergeCell ref="T108:AA108"/>
    <mergeCell ref="AB108:AG108"/>
    <mergeCell ref="AH108:AL108"/>
    <mergeCell ref="AK61:AL61"/>
    <mergeCell ref="H61:J61"/>
    <mergeCell ref="K61:N61"/>
    <mergeCell ref="A99:G99"/>
    <mergeCell ref="H99:J99"/>
    <mergeCell ref="K99:N99"/>
    <mergeCell ref="O99:P99"/>
    <mergeCell ref="Q99:R99"/>
    <mergeCell ref="S99:T99"/>
    <mergeCell ref="U99:V99"/>
    <mergeCell ref="W99:X99"/>
    <mergeCell ref="Y99:AA99"/>
    <mergeCell ref="AB99:AD99"/>
    <mergeCell ref="AE99:AG99"/>
    <mergeCell ref="AH99:AJ99"/>
    <mergeCell ref="AK99:AL99"/>
    <mergeCell ref="O61:P61"/>
    <mergeCell ref="Q61:R61"/>
    <mergeCell ref="S61:T61"/>
    <mergeCell ref="U61:V61"/>
    <mergeCell ref="Y62:AA62"/>
    <mergeCell ref="AB62:AD62"/>
    <mergeCell ref="AE62:AG62"/>
    <mergeCell ref="AH62:AJ62"/>
    <mergeCell ref="AK62:AL62"/>
    <mergeCell ref="H62:J62"/>
    <mergeCell ref="K62:N62"/>
    <mergeCell ref="O62:P62"/>
    <mergeCell ref="Q62:R62"/>
    <mergeCell ref="AE57:AG57"/>
    <mergeCell ref="AH57:AJ57"/>
    <mergeCell ref="AK57:AL57"/>
    <mergeCell ref="A57:G57"/>
    <mergeCell ref="H57:J57"/>
    <mergeCell ref="K57:N57"/>
    <mergeCell ref="O57:P57"/>
    <mergeCell ref="Q57:R57"/>
    <mergeCell ref="S57:T57"/>
    <mergeCell ref="U57:V57"/>
    <mergeCell ref="W57:X57"/>
    <mergeCell ref="Y57:AA57"/>
    <mergeCell ref="A56:G56"/>
    <mergeCell ref="H56:J56"/>
    <mergeCell ref="K56:N56"/>
    <mergeCell ref="O56:P56"/>
    <mergeCell ref="Q56:R56"/>
    <mergeCell ref="Y56:AA56"/>
    <mergeCell ref="A23:G23"/>
    <mergeCell ref="H23:J23"/>
    <mergeCell ref="K23:N23"/>
    <mergeCell ref="O23:P23"/>
    <mergeCell ref="Q23:R23"/>
    <mergeCell ref="S23:T23"/>
    <mergeCell ref="U23:V23"/>
    <mergeCell ref="W23:X23"/>
    <mergeCell ref="Y23:AA23"/>
    <mergeCell ref="AB23:AD23"/>
    <mergeCell ref="AE23:AG23"/>
    <mergeCell ref="AH23:AJ23"/>
    <mergeCell ref="AK23:AL23"/>
    <mergeCell ref="AH37:AJ37"/>
    <mergeCell ref="AK37:AL37"/>
    <mergeCell ref="AB39:AD39"/>
    <mergeCell ref="AE39:AG39"/>
    <mergeCell ref="A38:G38"/>
    <mergeCell ref="Y39:AA39"/>
    <mergeCell ref="A37:G37"/>
    <mergeCell ref="H37:J37"/>
    <mergeCell ref="K37:N37"/>
    <mergeCell ref="O37:P37"/>
    <mergeCell ref="Q37:R37"/>
    <mergeCell ref="S37:T37"/>
    <mergeCell ref="U37:V37"/>
    <mergeCell ref="W37:X37"/>
    <mergeCell ref="Y37:AA37"/>
    <mergeCell ref="AB37:AD37"/>
    <mergeCell ref="AE37:AG37"/>
    <mergeCell ref="K26:N26"/>
    <mergeCell ref="O26:P26"/>
    <mergeCell ref="A42:G42"/>
    <mergeCell ref="H42:J42"/>
    <mergeCell ref="K42:N42"/>
    <mergeCell ref="O42:P42"/>
    <mergeCell ref="Q42:R42"/>
    <mergeCell ref="S42:T42"/>
    <mergeCell ref="U42:V42"/>
    <mergeCell ref="W42:X42"/>
    <mergeCell ref="S41:T41"/>
    <mergeCell ref="U41:V41"/>
    <mergeCell ref="W41:X41"/>
    <mergeCell ref="Y41:AA41"/>
    <mergeCell ref="AH38:AJ38"/>
    <mergeCell ref="AK38:AL38"/>
    <mergeCell ref="H38:J38"/>
    <mergeCell ref="K38:N38"/>
    <mergeCell ref="O38:P38"/>
    <mergeCell ref="Q38:R38"/>
    <mergeCell ref="S38:T38"/>
    <mergeCell ref="U38:V38"/>
    <mergeCell ref="W38:X38"/>
    <mergeCell ref="Y38:AA38"/>
    <mergeCell ref="AB38:AD38"/>
    <mergeCell ref="AE42:AG42"/>
    <mergeCell ref="AH42:AJ42"/>
    <mergeCell ref="AE38:AG38"/>
    <mergeCell ref="A41:G41"/>
    <mergeCell ref="AB41:AD41"/>
    <mergeCell ref="AE41:AG41"/>
    <mergeCell ref="H41:J41"/>
    <mergeCell ref="K41:N41"/>
    <mergeCell ref="O41:P41"/>
    <mergeCell ref="H27:J27"/>
    <mergeCell ref="K27:N27"/>
    <mergeCell ref="O27:P27"/>
    <mergeCell ref="Q27:R27"/>
    <mergeCell ref="S27:T27"/>
    <mergeCell ref="U27:V27"/>
    <mergeCell ref="H32:J32"/>
    <mergeCell ref="A34:G34"/>
    <mergeCell ref="W29:X29"/>
    <mergeCell ref="Y29:AA29"/>
    <mergeCell ref="AB29:AD29"/>
    <mergeCell ref="AE29:AG29"/>
    <mergeCell ref="Y36:AA36"/>
    <mergeCell ref="AB36:AD36"/>
    <mergeCell ref="AE36:AG36"/>
    <mergeCell ref="U36:V36"/>
    <mergeCell ref="W36:X36"/>
    <mergeCell ref="S33:T33"/>
    <mergeCell ref="AB31:AD31"/>
    <mergeCell ref="A43:G43"/>
    <mergeCell ref="AH33:AJ33"/>
    <mergeCell ref="AK33:AL33"/>
    <mergeCell ref="AB21:AD21"/>
    <mergeCell ref="AE21:AG21"/>
    <mergeCell ref="AH21:AJ21"/>
    <mergeCell ref="AK21:AL21"/>
    <mergeCell ref="A28:G28"/>
    <mergeCell ref="H28:J28"/>
    <mergeCell ref="K28:N28"/>
    <mergeCell ref="O28:P28"/>
    <mergeCell ref="Q28:R28"/>
    <mergeCell ref="S28:T28"/>
    <mergeCell ref="U28:V28"/>
    <mergeCell ref="W28:X28"/>
    <mergeCell ref="Y28:AA28"/>
    <mergeCell ref="AB28:AD28"/>
    <mergeCell ref="AE28:AG28"/>
    <mergeCell ref="AH28:AJ28"/>
    <mergeCell ref="AK28:AL28"/>
    <mergeCell ref="A21:G21"/>
    <mergeCell ref="H21:J21"/>
    <mergeCell ref="K21:N21"/>
    <mergeCell ref="O21:P21"/>
    <mergeCell ref="Q21:R21"/>
    <mergeCell ref="S21:T21"/>
    <mergeCell ref="U21:V21"/>
    <mergeCell ref="W21:X21"/>
    <mergeCell ref="Y21:AA21"/>
    <mergeCell ref="K24:N24"/>
    <mergeCell ref="O24:P24"/>
    <mergeCell ref="A32:G32"/>
    <mergeCell ref="A22:G22"/>
    <mergeCell ref="A24:G24"/>
    <mergeCell ref="A13:G13"/>
    <mergeCell ref="A18:G18"/>
    <mergeCell ref="A20:G20"/>
    <mergeCell ref="H20:J20"/>
    <mergeCell ref="K20:N20"/>
    <mergeCell ref="O20:P20"/>
    <mergeCell ref="Q20:R20"/>
    <mergeCell ref="S20:T20"/>
    <mergeCell ref="U20:V20"/>
    <mergeCell ref="W20:X20"/>
    <mergeCell ref="Y20:AA20"/>
    <mergeCell ref="AB20:AD20"/>
    <mergeCell ref="AE20:AG20"/>
    <mergeCell ref="AH20:AJ20"/>
    <mergeCell ref="AK20:AL20"/>
    <mergeCell ref="A19:G19"/>
    <mergeCell ref="H19:J19"/>
    <mergeCell ref="K19:N19"/>
    <mergeCell ref="O19:P19"/>
    <mergeCell ref="Q19:R19"/>
    <mergeCell ref="S19:T19"/>
    <mergeCell ref="U19:V19"/>
    <mergeCell ref="W19:X19"/>
    <mergeCell ref="Y19:AA19"/>
    <mergeCell ref="AK19:AL19"/>
    <mergeCell ref="H22:J22"/>
    <mergeCell ref="Q22:R22"/>
    <mergeCell ref="S22:T22"/>
    <mergeCell ref="U22:V22"/>
    <mergeCell ref="H16:J16"/>
    <mergeCell ref="T1:AH4"/>
    <mergeCell ref="E5:S6"/>
    <mergeCell ref="AF14:AL14"/>
    <mergeCell ref="AB14:AE14"/>
    <mergeCell ref="R12:W12"/>
    <mergeCell ref="AB12:AD12"/>
    <mergeCell ref="AE12:AF12"/>
    <mergeCell ref="A12:G12"/>
    <mergeCell ref="K7:S7"/>
    <mergeCell ref="E8:J8"/>
    <mergeCell ref="E9:J9"/>
    <mergeCell ref="A11:AL11"/>
    <mergeCell ref="T7:X7"/>
    <mergeCell ref="T8:X8"/>
    <mergeCell ref="Y7:AH7"/>
    <mergeCell ref="Y8:AH8"/>
    <mergeCell ref="E7:J7"/>
    <mergeCell ref="Y9:AH9"/>
    <mergeCell ref="K9:S9"/>
    <mergeCell ref="AK13:AL13"/>
    <mergeCell ref="H12:I12"/>
    <mergeCell ref="Y14:AA14"/>
    <mergeCell ref="X12:Y12"/>
    <mergeCell ref="AH13:AJ13"/>
    <mergeCell ref="O13:P13"/>
    <mergeCell ref="S13:T13"/>
    <mergeCell ref="U13:V13"/>
    <mergeCell ref="W13:X13"/>
    <mergeCell ref="Q13:R13"/>
    <mergeCell ref="Y13:AA13"/>
    <mergeCell ref="AB13:AD13"/>
    <mergeCell ref="T5:X5"/>
    <mergeCell ref="H18:J18"/>
    <mergeCell ref="K18:N18"/>
    <mergeCell ref="O18:P18"/>
    <mergeCell ref="Q18:R18"/>
    <mergeCell ref="S18:T18"/>
    <mergeCell ref="U18:V18"/>
    <mergeCell ref="W18:X18"/>
    <mergeCell ref="Y18:AA18"/>
    <mergeCell ref="H17:J17"/>
    <mergeCell ref="K17:N17"/>
    <mergeCell ref="O17:P17"/>
    <mergeCell ref="Q17:R17"/>
    <mergeCell ref="S17:T17"/>
    <mergeCell ref="U17:V17"/>
    <mergeCell ref="W17:X17"/>
    <mergeCell ref="AK15:AL15"/>
    <mergeCell ref="H13:J13"/>
    <mergeCell ref="K13:N13"/>
    <mergeCell ref="K16:N16"/>
    <mergeCell ref="A14:S14"/>
    <mergeCell ref="T14:X14"/>
    <mergeCell ref="AK16:AL16"/>
    <mergeCell ref="A17:G17"/>
    <mergeCell ref="Y17:AA17"/>
    <mergeCell ref="A16:G16"/>
    <mergeCell ref="O16:P16"/>
    <mergeCell ref="AH16:AJ16"/>
    <mergeCell ref="AH15:AJ15"/>
    <mergeCell ref="AB15:AD15"/>
    <mergeCell ref="AE13:AG13"/>
    <mergeCell ref="AB16:AD16"/>
    <mergeCell ref="AE16:AG16"/>
    <mergeCell ref="W16:X16"/>
    <mergeCell ref="W22:X22"/>
    <mergeCell ref="AH22:AJ22"/>
    <mergeCell ref="AB19:AD19"/>
    <mergeCell ref="AE19:AG19"/>
    <mergeCell ref="AH19:AJ19"/>
    <mergeCell ref="Y5:AH5"/>
    <mergeCell ref="T6:X6"/>
    <mergeCell ref="Y6:AH6"/>
    <mergeCell ref="AE17:AG17"/>
    <mergeCell ref="AH17:AJ17"/>
    <mergeCell ref="Q16:R16"/>
    <mergeCell ref="S16:T16"/>
    <mergeCell ref="U16:V16"/>
    <mergeCell ref="Y16:AA16"/>
    <mergeCell ref="K8:S8"/>
    <mergeCell ref="T9:X9"/>
    <mergeCell ref="K22:N22"/>
    <mergeCell ref="O22:P22"/>
    <mergeCell ref="AB17:AD17"/>
    <mergeCell ref="W26:X26"/>
    <mergeCell ref="AK26:AL26"/>
    <mergeCell ref="AE27:AG27"/>
    <mergeCell ref="AH27:AJ27"/>
    <mergeCell ref="AK27:AL27"/>
    <mergeCell ref="W27:X27"/>
    <mergeCell ref="Y27:AA27"/>
    <mergeCell ref="AK17:AL17"/>
    <mergeCell ref="AB18:AD18"/>
    <mergeCell ref="AE18:AG18"/>
    <mergeCell ref="AH18:AJ18"/>
    <mergeCell ref="AK18:AL18"/>
    <mergeCell ref="U24:V24"/>
    <mergeCell ref="AH24:AJ24"/>
    <mergeCell ref="W24:X24"/>
    <mergeCell ref="Y24:AA24"/>
    <mergeCell ref="AB24:AD24"/>
    <mergeCell ref="AE24:AG24"/>
    <mergeCell ref="AB25:AD25"/>
    <mergeCell ref="AH25:AJ25"/>
    <mergeCell ref="AK22:AL22"/>
    <mergeCell ref="AK24:AL24"/>
    <mergeCell ref="AH26:AJ26"/>
    <mergeCell ref="Y22:AA22"/>
    <mergeCell ref="AB22:AD22"/>
    <mergeCell ref="AE22:AG22"/>
    <mergeCell ref="AH29:AJ29"/>
    <mergeCell ref="AK29:AL29"/>
    <mergeCell ref="H24:J24"/>
    <mergeCell ref="Q24:R24"/>
    <mergeCell ref="S24:T24"/>
    <mergeCell ref="Y26:AA26"/>
    <mergeCell ref="AB26:AD26"/>
    <mergeCell ref="AE26:AG26"/>
    <mergeCell ref="Y30:AA30"/>
    <mergeCell ref="AB30:AD30"/>
    <mergeCell ref="AE30:AG30"/>
    <mergeCell ref="K30:N30"/>
    <mergeCell ref="O30:P30"/>
    <mergeCell ref="A30:G30"/>
    <mergeCell ref="H30:J30"/>
    <mergeCell ref="A26:G26"/>
    <mergeCell ref="H26:J26"/>
    <mergeCell ref="Q26:R26"/>
    <mergeCell ref="S26:T26"/>
    <mergeCell ref="K29:N29"/>
    <mergeCell ref="O29:P29"/>
    <mergeCell ref="A27:G27"/>
    <mergeCell ref="AB27:AD27"/>
    <mergeCell ref="Q29:R29"/>
    <mergeCell ref="S29:T29"/>
    <mergeCell ref="U29:V29"/>
    <mergeCell ref="A29:G29"/>
    <mergeCell ref="H29:J29"/>
    <mergeCell ref="W30:X30"/>
    <mergeCell ref="AK25:AL25"/>
    <mergeCell ref="AE25:AG25"/>
    <mergeCell ref="U26:V26"/>
    <mergeCell ref="AH31:AJ31"/>
    <mergeCell ref="AH30:AJ30"/>
    <mergeCell ref="AK30:AL30"/>
    <mergeCell ref="AK31:AL31"/>
    <mergeCell ref="K32:N32"/>
    <mergeCell ref="Q32:R32"/>
    <mergeCell ref="S32:T32"/>
    <mergeCell ref="U32:V32"/>
    <mergeCell ref="A33:G33"/>
    <mergeCell ref="H33:J33"/>
    <mergeCell ref="K33:N33"/>
    <mergeCell ref="O33:P33"/>
    <mergeCell ref="Q33:R33"/>
    <mergeCell ref="AB35:AD35"/>
    <mergeCell ref="AH35:AJ35"/>
    <mergeCell ref="AK35:AL35"/>
    <mergeCell ref="AE31:AG31"/>
    <mergeCell ref="AE35:AG35"/>
    <mergeCell ref="AK32:AL32"/>
    <mergeCell ref="AH34:AJ34"/>
    <mergeCell ref="AK34:AL34"/>
    <mergeCell ref="Y34:AA34"/>
    <mergeCell ref="AB34:AD34"/>
    <mergeCell ref="Q30:R30"/>
    <mergeCell ref="S30:T30"/>
    <mergeCell ref="U30:V30"/>
    <mergeCell ref="O34:P34"/>
    <mergeCell ref="Q34:R34"/>
    <mergeCell ref="S34:T34"/>
    <mergeCell ref="U34:V34"/>
    <mergeCell ref="W32:X32"/>
    <mergeCell ref="A36:G36"/>
    <mergeCell ref="H36:J36"/>
    <mergeCell ref="K36:N36"/>
    <mergeCell ref="O36:P36"/>
    <mergeCell ref="Q36:R36"/>
    <mergeCell ref="S36:T36"/>
    <mergeCell ref="A39:G39"/>
    <mergeCell ref="H39:J39"/>
    <mergeCell ref="K39:N39"/>
    <mergeCell ref="O39:P39"/>
    <mergeCell ref="Q39:R39"/>
    <mergeCell ref="S39:T39"/>
    <mergeCell ref="AE33:AG33"/>
    <mergeCell ref="AK36:AL36"/>
    <mergeCell ref="AB40:AD40"/>
    <mergeCell ref="AK40:AL40"/>
    <mergeCell ref="W34:X34"/>
    <mergeCell ref="AH36:AJ36"/>
    <mergeCell ref="U33:V33"/>
    <mergeCell ref="W33:X33"/>
    <mergeCell ref="Y33:AA33"/>
    <mergeCell ref="AB33:AD33"/>
    <mergeCell ref="AE34:AG34"/>
    <mergeCell ref="H34:J34"/>
    <mergeCell ref="K34:N34"/>
    <mergeCell ref="H48:J48"/>
    <mergeCell ref="K48:N48"/>
    <mergeCell ref="O48:P48"/>
    <mergeCell ref="Q48:R48"/>
    <mergeCell ref="S48:T48"/>
    <mergeCell ref="U48:V48"/>
    <mergeCell ref="H47:J47"/>
    <mergeCell ref="Q41:R41"/>
    <mergeCell ref="O43:P43"/>
    <mergeCell ref="Q43:R43"/>
    <mergeCell ref="S43:T43"/>
    <mergeCell ref="H43:J43"/>
    <mergeCell ref="K43:N43"/>
    <mergeCell ref="AH41:AJ41"/>
    <mergeCell ref="AK41:AL41"/>
    <mergeCell ref="Y32:AA32"/>
    <mergeCell ref="AB32:AD32"/>
    <mergeCell ref="AE32:AG32"/>
    <mergeCell ref="AH32:AJ32"/>
    <mergeCell ref="O32:P32"/>
    <mergeCell ref="Q49:R49"/>
    <mergeCell ref="S49:T49"/>
    <mergeCell ref="U49:V49"/>
    <mergeCell ref="AE40:AG40"/>
    <mergeCell ref="U39:V39"/>
    <mergeCell ref="W39:X39"/>
    <mergeCell ref="AK39:AL39"/>
    <mergeCell ref="AK43:AL43"/>
    <mergeCell ref="U43:V43"/>
    <mergeCell ref="W43:X43"/>
    <mergeCell ref="Y43:AA43"/>
    <mergeCell ref="AB43:AD43"/>
    <mergeCell ref="AE43:AG43"/>
    <mergeCell ref="AH43:AJ43"/>
    <mergeCell ref="Y42:AA42"/>
    <mergeCell ref="AB42:AD42"/>
    <mergeCell ref="AK42:AL42"/>
    <mergeCell ref="W48:X48"/>
    <mergeCell ref="Y48:AA48"/>
    <mergeCell ref="AB48:AD48"/>
    <mergeCell ref="W45:X45"/>
    <mergeCell ref="Y45:AA45"/>
    <mergeCell ref="W47:X47"/>
    <mergeCell ref="Y47:AA47"/>
    <mergeCell ref="AB47:AD47"/>
    <mergeCell ref="AB45:AD45"/>
    <mergeCell ref="W50:X50"/>
    <mergeCell ref="Y50:AA50"/>
    <mergeCell ref="AB50:AD50"/>
    <mergeCell ref="AE50:AG50"/>
    <mergeCell ref="AH50:AJ50"/>
    <mergeCell ref="AK50:AL50"/>
    <mergeCell ref="H50:J50"/>
    <mergeCell ref="K50:N50"/>
    <mergeCell ref="O50:P50"/>
    <mergeCell ref="Q50:R50"/>
    <mergeCell ref="S50:T50"/>
    <mergeCell ref="U50:V50"/>
    <mergeCell ref="H45:J45"/>
    <mergeCell ref="K45:N45"/>
    <mergeCell ref="O45:P45"/>
    <mergeCell ref="Q45:R45"/>
    <mergeCell ref="S45:T45"/>
    <mergeCell ref="U45:V45"/>
    <mergeCell ref="K47:N47"/>
    <mergeCell ref="O47:P47"/>
    <mergeCell ref="Q47:R47"/>
    <mergeCell ref="S47:T47"/>
    <mergeCell ref="U47:V47"/>
    <mergeCell ref="W49:X49"/>
    <mergeCell ref="Y49:AA49"/>
    <mergeCell ref="AB49:AD49"/>
    <mergeCell ref="AE49:AG49"/>
    <mergeCell ref="AH49:AJ49"/>
    <mergeCell ref="AK49:AL49"/>
    <mergeCell ref="H49:J49"/>
    <mergeCell ref="K49:N49"/>
    <mergeCell ref="O49:P49"/>
    <mergeCell ref="AH59:AJ59"/>
    <mergeCell ref="AK59:AL59"/>
    <mergeCell ref="W52:X52"/>
    <mergeCell ref="Y52:AA52"/>
    <mergeCell ref="AB52:AD52"/>
    <mergeCell ref="AE52:AG52"/>
    <mergeCell ref="AH52:AJ52"/>
    <mergeCell ref="AK52:AL52"/>
    <mergeCell ref="H52:J52"/>
    <mergeCell ref="K52:N52"/>
    <mergeCell ref="O52:P52"/>
    <mergeCell ref="Q52:R52"/>
    <mergeCell ref="S52:T52"/>
    <mergeCell ref="U52:V52"/>
    <mergeCell ref="W53:X53"/>
    <mergeCell ref="Y53:AA53"/>
    <mergeCell ref="AB53:AD53"/>
    <mergeCell ref="AE53:AG53"/>
    <mergeCell ref="H53:J53"/>
    <mergeCell ref="K53:N53"/>
    <mergeCell ref="O53:P53"/>
    <mergeCell ref="Q53:R53"/>
    <mergeCell ref="S53:T53"/>
    <mergeCell ref="U53:V53"/>
    <mergeCell ref="AB56:AD56"/>
    <mergeCell ref="AE56:AG56"/>
    <mergeCell ref="AH56:AJ56"/>
    <mergeCell ref="AK56:AL56"/>
    <mergeCell ref="S56:T56"/>
    <mergeCell ref="U56:V56"/>
    <mergeCell ref="W56:X56"/>
    <mergeCell ref="AB57:AD57"/>
    <mergeCell ref="AE64:AG64"/>
    <mergeCell ref="AH64:AJ64"/>
    <mergeCell ref="AK64:AL64"/>
    <mergeCell ref="H64:J64"/>
    <mergeCell ref="K64:N64"/>
    <mergeCell ref="O64:P64"/>
    <mergeCell ref="Q64:R64"/>
    <mergeCell ref="S64:T64"/>
    <mergeCell ref="U64:V64"/>
    <mergeCell ref="Y64:AA64"/>
    <mergeCell ref="W62:X62"/>
    <mergeCell ref="W61:X61"/>
    <mergeCell ref="Y61:AA61"/>
    <mergeCell ref="AB61:AD61"/>
    <mergeCell ref="AE61:AG61"/>
    <mergeCell ref="AH61:AJ61"/>
    <mergeCell ref="AB60:AD60"/>
    <mergeCell ref="AE60:AG60"/>
    <mergeCell ref="AH60:AJ60"/>
    <mergeCell ref="AK60:AL60"/>
    <mergeCell ref="H60:J60"/>
    <mergeCell ref="K60:N60"/>
    <mergeCell ref="O60:P60"/>
    <mergeCell ref="Q60:R60"/>
    <mergeCell ref="S60:T60"/>
    <mergeCell ref="U60:V60"/>
    <mergeCell ref="AE65:AG65"/>
    <mergeCell ref="AH65:AJ65"/>
    <mergeCell ref="AK65:AL65"/>
    <mergeCell ref="H65:J65"/>
    <mergeCell ref="K65:N65"/>
    <mergeCell ref="O65:P65"/>
    <mergeCell ref="Q65:R65"/>
    <mergeCell ref="S65:T65"/>
    <mergeCell ref="U65:V65"/>
    <mergeCell ref="AB66:AD66"/>
    <mergeCell ref="AE66:AG66"/>
    <mergeCell ref="AH66:AJ66"/>
    <mergeCell ref="AK66:AL66"/>
    <mergeCell ref="H66:J66"/>
    <mergeCell ref="K66:N66"/>
    <mergeCell ref="O66:P66"/>
    <mergeCell ref="Q66:R66"/>
    <mergeCell ref="S66:T66"/>
    <mergeCell ref="U66:V66"/>
    <mergeCell ref="AE67:AG67"/>
    <mergeCell ref="AH67:AJ67"/>
    <mergeCell ref="AK67:AL67"/>
    <mergeCell ref="H67:J67"/>
    <mergeCell ref="K67:N67"/>
    <mergeCell ref="O67:P67"/>
    <mergeCell ref="Q67:R67"/>
    <mergeCell ref="S67:T67"/>
    <mergeCell ref="U67:V67"/>
    <mergeCell ref="AE68:AG68"/>
    <mergeCell ref="AH68:AJ68"/>
    <mergeCell ref="AK68:AL68"/>
    <mergeCell ref="H68:J68"/>
    <mergeCell ref="K68:N68"/>
    <mergeCell ref="O68:P68"/>
    <mergeCell ref="Q68:R68"/>
    <mergeCell ref="S68:T68"/>
    <mergeCell ref="U68:V68"/>
    <mergeCell ref="AE69:AG69"/>
    <mergeCell ref="AH69:AJ69"/>
    <mergeCell ref="AK69:AL69"/>
    <mergeCell ref="H69:J69"/>
    <mergeCell ref="K69:N69"/>
    <mergeCell ref="O69:P69"/>
    <mergeCell ref="Q69:R69"/>
    <mergeCell ref="S69:T69"/>
    <mergeCell ref="U69:V69"/>
    <mergeCell ref="A53:G53"/>
    <mergeCell ref="A54:G54"/>
    <mergeCell ref="A58:G58"/>
    <mergeCell ref="A45:G45"/>
    <mergeCell ref="A47:G47"/>
    <mergeCell ref="A48:G48"/>
    <mergeCell ref="A49:G49"/>
    <mergeCell ref="A50:G50"/>
    <mergeCell ref="A52:G52"/>
    <mergeCell ref="W58:X58"/>
    <mergeCell ref="Y58:AA58"/>
    <mergeCell ref="AB58:AD58"/>
    <mergeCell ref="AE58:AG58"/>
    <mergeCell ref="AH58:AJ58"/>
    <mergeCell ref="AK58:AL58"/>
    <mergeCell ref="H58:J58"/>
    <mergeCell ref="K58:N58"/>
    <mergeCell ref="O58:P58"/>
    <mergeCell ref="Q58:R58"/>
    <mergeCell ref="S58:T58"/>
    <mergeCell ref="U58:V58"/>
    <mergeCell ref="W54:X54"/>
    <mergeCell ref="AB67:AD67"/>
    <mergeCell ref="A96:G96"/>
    <mergeCell ref="Y54:AA54"/>
    <mergeCell ref="AB54:AD54"/>
    <mergeCell ref="AE54:AG54"/>
    <mergeCell ref="AH54:AJ54"/>
    <mergeCell ref="AK54:AL54"/>
    <mergeCell ref="H54:J54"/>
    <mergeCell ref="K54:N54"/>
    <mergeCell ref="O54:P54"/>
    <mergeCell ref="Q54:R54"/>
    <mergeCell ref="S54:T54"/>
    <mergeCell ref="A67:G67"/>
    <mergeCell ref="A68:G68"/>
    <mergeCell ref="A69:G69"/>
    <mergeCell ref="W71:X71"/>
    <mergeCell ref="Y71:AA71"/>
    <mergeCell ref="A60:G60"/>
    <mergeCell ref="A61:G61"/>
    <mergeCell ref="A62:G62"/>
    <mergeCell ref="A64:G64"/>
    <mergeCell ref="A65:G65"/>
    <mergeCell ref="A66:G66"/>
    <mergeCell ref="W69:X69"/>
    <mergeCell ref="Y69:AA69"/>
    <mergeCell ref="W68:X68"/>
    <mergeCell ref="Y68:AA68"/>
    <mergeCell ref="W67:X67"/>
    <mergeCell ref="Y67:AA67"/>
    <mergeCell ref="W66:X66"/>
    <mergeCell ref="Y66:AA66"/>
    <mergeCell ref="W65:X65"/>
    <mergeCell ref="Y65:AA65"/>
    <mergeCell ref="A71:G71"/>
    <mergeCell ref="H71:J71"/>
    <mergeCell ref="K71:N71"/>
    <mergeCell ref="O71:P71"/>
    <mergeCell ref="Q71:R71"/>
    <mergeCell ref="S71:T71"/>
    <mergeCell ref="U71:V71"/>
    <mergeCell ref="AK72:AL72"/>
    <mergeCell ref="U72:V72"/>
    <mergeCell ref="W72:X72"/>
    <mergeCell ref="Y72:AA72"/>
    <mergeCell ref="AB72:AD72"/>
    <mergeCell ref="AE72:AG72"/>
    <mergeCell ref="AH72:AJ72"/>
    <mergeCell ref="A105:G105"/>
    <mergeCell ref="A106:G106"/>
    <mergeCell ref="A91:G91"/>
    <mergeCell ref="A93:G93"/>
    <mergeCell ref="A94:G94"/>
    <mergeCell ref="A95:G95"/>
    <mergeCell ref="A89:G89"/>
    <mergeCell ref="A90:G90"/>
    <mergeCell ref="A75:G75"/>
    <mergeCell ref="A76:G76"/>
    <mergeCell ref="A77:G77"/>
    <mergeCell ref="A79:G79"/>
    <mergeCell ref="A82:G82"/>
    <mergeCell ref="A84:G84"/>
    <mergeCell ref="A85:G85"/>
    <mergeCell ref="A86:G86"/>
    <mergeCell ref="A87:G87"/>
    <mergeCell ref="A88:G88"/>
    <mergeCell ref="H77:J77"/>
    <mergeCell ref="K77:N77"/>
    <mergeCell ref="O77:P77"/>
    <mergeCell ref="Q77:R77"/>
    <mergeCell ref="S77:T77"/>
    <mergeCell ref="U77:V77"/>
    <mergeCell ref="H79:J79"/>
    <mergeCell ref="K79:N79"/>
    <mergeCell ref="O79:P79"/>
    <mergeCell ref="Q79:R79"/>
    <mergeCell ref="S79:T79"/>
    <mergeCell ref="A72:G72"/>
    <mergeCell ref="H72:J72"/>
    <mergeCell ref="K72:N72"/>
    <mergeCell ref="O72:P72"/>
    <mergeCell ref="Q72:R72"/>
    <mergeCell ref="S72:T72"/>
    <mergeCell ref="H82:J82"/>
    <mergeCell ref="K82:N82"/>
    <mergeCell ref="O82:P82"/>
    <mergeCell ref="Q82:R82"/>
    <mergeCell ref="S82:T82"/>
    <mergeCell ref="U82:V82"/>
    <mergeCell ref="W85:X85"/>
    <mergeCell ref="Y85:AA85"/>
    <mergeCell ref="A73:G73"/>
    <mergeCell ref="H73:J73"/>
    <mergeCell ref="K73:N73"/>
    <mergeCell ref="O73:P73"/>
    <mergeCell ref="Q73:R73"/>
    <mergeCell ref="S73:T73"/>
    <mergeCell ref="U73:V73"/>
    <mergeCell ref="W73:X73"/>
    <mergeCell ref="Y73:AA73"/>
    <mergeCell ref="W76:X76"/>
    <mergeCell ref="Y76:AA76"/>
    <mergeCell ref="H75:J75"/>
    <mergeCell ref="K75:N75"/>
    <mergeCell ref="O75:P75"/>
    <mergeCell ref="Q75:R75"/>
    <mergeCell ref="S75:T75"/>
    <mergeCell ref="U75:V75"/>
    <mergeCell ref="A80:G80"/>
    <mergeCell ref="H80:J80"/>
    <mergeCell ref="K80:N80"/>
    <mergeCell ref="O80:P80"/>
    <mergeCell ref="Q80:R80"/>
    <mergeCell ref="S80:T80"/>
    <mergeCell ref="U80:V80"/>
    <mergeCell ref="AE85:AG85"/>
    <mergeCell ref="AH85:AJ85"/>
    <mergeCell ref="AK85:AL85"/>
    <mergeCell ref="AB84:AD84"/>
    <mergeCell ref="AE84:AG84"/>
    <mergeCell ref="AH84:AJ84"/>
    <mergeCell ref="AK84:AL84"/>
    <mergeCell ref="W86:X86"/>
    <mergeCell ref="Y86:AA86"/>
    <mergeCell ref="AB86:AD86"/>
    <mergeCell ref="AE86:AG86"/>
    <mergeCell ref="AH86:AJ86"/>
    <mergeCell ref="AK86:AL86"/>
    <mergeCell ref="H86:J86"/>
    <mergeCell ref="K86:N86"/>
    <mergeCell ref="O86:P86"/>
    <mergeCell ref="Q86:R86"/>
    <mergeCell ref="S86:T86"/>
    <mergeCell ref="U86:V86"/>
    <mergeCell ref="H85:J85"/>
    <mergeCell ref="K85:N85"/>
    <mergeCell ref="O85:P85"/>
    <mergeCell ref="Q85:R85"/>
    <mergeCell ref="S85:T85"/>
    <mergeCell ref="U85:V85"/>
    <mergeCell ref="H84:J84"/>
    <mergeCell ref="K84:N84"/>
    <mergeCell ref="O84:P84"/>
    <mergeCell ref="Q84:R84"/>
    <mergeCell ref="S84:T84"/>
    <mergeCell ref="U84:V84"/>
    <mergeCell ref="AE87:AG87"/>
    <mergeCell ref="AH87:AJ87"/>
    <mergeCell ref="AK87:AL87"/>
    <mergeCell ref="H87:J87"/>
    <mergeCell ref="K87:N87"/>
    <mergeCell ref="O87:P87"/>
    <mergeCell ref="Q87:R87"/>
    <mergeCell ref="S87:T87"/>
    <mergeCell ref="U87:V87"/>
    <mergeCell ref="W88:X88"/>
    <mergeCell ref="Y88:AA88"/>
    <mergeCell ref="AB88:AD88"/>
    <mergeCell ref="AE88:AG88"/>
    <mergeCell ref="AH88:AJ88"/>
    <mergeCell ref="AK88:AL88"/>
    <mergeCell ref="H88:J88"/>
    <mergeCell ref="K88:N88"/>
    <mergeCell ref="O88:P88"/>
    <mergeCell ref="Q88:R88"/>
    <mergeCell ref="S88:T88"/>
    <mergeCell ref="U88:V88"/>
    <mergeCell ref="AE89:AG89"/>
    <mergeCell ref="AH89:AJ89"/>
    <mergeCell ref="AK89:AL89"/>
    <mergeCell ref="H89:J89"/>
    <mergeCell ref="K89:N89"/>
    <mergeCell ref="O89:P89"/>
    <mergeCell ref="Q89:R89"/>
    <mergeCell ref="S89:T89"/>
    <mergeCell ref="U89:V89"/>
    <mergeCell ref="AE90:AG90"/>
    <mergeCell ref="AH90:AJ90"/>
    <mergeCell ref="AK90:AL90"/>
    <mergeCell ref="H90:J90"/>
    <mergeCell ref="K90:N90"/>
    <mergeCell ref="O90:P90"/>
    <mergeCell ref="Q90:R90"/>
    <mergeCell ref="S90:T90"/>
    <mergeCell ref="U90:V90"/>
    <mergeCell ref="AK94:AL94"/>
    <mergeCell ref="H91:J91"/>
    <mergeCell ref="K91:N91"/>
    <mergeCell ref="O91:P91"/>
    <mergeCell ref="Q91:R91"/>
    <mergeCell ref="S91:T91"/>
    <mergeCell ref="U91:V91"/>
    <mergeCell ref="W90:X90"/>
    <mergeCell ref="Y90:AA90"/>
    <mergeCell ref="AB90:AD90"/>
    <mergeCell ref="AB92:AD92"/>
    <mergeCell ref="AE92:AG92"/>
    <mergeCell ref="AH92:AJ92"/>
    <mergeCell ref="AK92:AL92"/>
    <mergeCell ref="W91:X91"/>
    <mergeCell ref="Y91:AA91"/>
    <mergeCell ref="AB91:AD91"/>
    <mergeCell ref="AE91:AG91"/>
    <mergeCell ref="AH91:AJ91"/>
    <mergeCell ref="AK91:AL91"/>
    <mergeCell ref="AE97:AG97"/>
    <mergeCell ref="AH97:AJ97"/>
    <mergeCell ref="AK97:AL97"/>
    <mergeCell ref="W96:X96"/>
    <mergeCell ref="Y96:AA96"/>
    <mergeCell ref="AB96:AD96"/>
    <mergeCell ref="AE96:AG96"/>
    <mergeCell ref="AH96:AJ96"/>
    <mergeCell ref="AK96:AL96"/>
    <mergeCell ref="AE93:AG93"/>
    <mergeCell ref="AH93:AJ93"/>
    <mergeCell ref="AK93:AL93"/>
    <mergeCell ref="H93:J93"/>
    <mergeCell ref="K93:N93"/>
    <mergeCell ref="O93:P93"/>
    <mergeCell ref="Q93:R93"/>
    <mergeCell ref="S93:T93"/>
    <mergeCell ref="U93:V93"/>
    <mergeCell ref="H94:J94"/>
    <mergeCell ref="K94:N94"/>
    <mergeCell ref="O94:P94"/>
    <mergeCell ref="Q94:R94"/>
    <mergeCell ref="S94:T94"/>
    <mergeCell ref="U94:V94"/>
    <mergeCell ref="W93:X93"/>
    <mergeCell ref="Y93:AA93"/>
    <mergeCell ref="AB93:AD93"/>
    <mergeCell ref="W94:X94"/>
    <mergeCell ref="Y94:AA94"/>
    <mergeCell ref="AB94:AD94"/>
    <mergeCell ref="AE94:AG94"/>
    <mergeCell ref="AH94:AJ94"/>
    <mergeCell ref="H98:J98"/>
    <mergeCell ref="K98:N98"/>
    <mergeCell ref="O98:P98"/>
    <mergeCell ref="Q98:R98"/>
    <mergeCell ref="S98:T98"/>
    <mergeCell ref="U98:V98"/>
    <mergeCell ref="W98:X98"/>
    <mergeCell ref="AK100:AL100"/>
    <mergeCell ref="H100:J100"/>
    <mergeCell ref="K100:N100"/>
    <mergeCell ref="O100:P100"/>
    <mergeCell ref="Q100:R100"/>
    <mergeCell ref="S100:T100"/>
    <mergeCell ref="U100:V100"/>
    <mergeCell ref="W100:X100"/>
    <mergeCell ref="Y100:AA100"/>
    <mergeCell ref="AK95:AL95"/>
    <mergeCell ref="W95:X95"/>
    <mergeCell ref="Y95:AA95"/>
    <mergeCell ref="AB95:AD95"/>
    <mergeCell ref="AE95:AG95"/>
    <mergeCell ref="AH95:AJ95"/>
    <mergeCell ref="H96:J96"/>
    <mergeCell ref="K96:N96"/>
    <mergeCell ref="O96:P96"/>
    <mergeCell ref="Q96:R96"/>
    <mergeCell ref="S96:T96"/>
    <mergeCell ref="U96:V96"/>
    <mergeCell ref="Q95:R95"/>
    <mergeCell ref="S95:T95"/>
    <mergeCell ref="U95:V95"/>
    <mergeCell ref="AB97:AD97"/>
    <mergeCell ref="Q101:R101"/>
    <mergeCell ref="S101:T101"/>
    <mergeCell ref="U101:V101"/>
    <mergeCell ref="AB100:AD100"/>
    <mergeCell ref="AE100:AG100"/>
    <mergeCell ref="AH100:AJ100"/>
    <mergeCell ref="AB102:AD102"/>
    <mergeCell ref="AE102:AG102"/>
    <mergeCell ref="AH102:AJ102"/>
    <mergeCell ref="AK102:AL102"/>
    <mergeCell ref="W101:X101"/>
    <mergeCell ref="Y101:AA101"/>
    <mergeCell ref="AB101:AD101"/>
    <mergeCell ref="AE101:AG101"/>
    <mergeCell ref="AH101:AJ101"/>
    <mergeCell ref="AK101:AL101"/>
    <mergeCell ref="AB98:AD98"/>
    <mergeCell ref="AE98:AG98"/>
    <mergeCell ref="AH98:AJ98"/>
    <mergeCell ref="AK98:AL98"/>
    <mergeCell ref="AE103:AG103"/>
    <mergeCell ref="AH103:AJ103"/>
    <mergeCell ref="AK103:AL103"/>
    <mergeCell ref="H103:J103"/>
    <mergeCell ref="K103:N103"/>
    <mergeCell ref="O103:P103"/>
    <mergeCell ref="Q103:R103"/>
    <mergeCell ref="S103:T103"/>
    <mergeCell ref="U103:V103"/>
    <mergeCell ref="W103:X103"/>
    <mergeCell ref="Y103:AA103"/>
    <mergeCell ref="AB104:AD104"/>
    <mergeCell ref="AE104:AG104"/>
    <mergeCell ref="AH104:AJ104"/>
    <mergeCell ref="AK104:AL104"/>
    <mergeCell ref="H104:J104"/>
    <mergeCell ref="K104:N104"/>
    <mergeCell ref="O104:P104"/>
    <mergeCell ref="Q104:R104"/>
    <mergeCell ref="S104:T104"/>
    <mergeCell ref="U104:V104"/>
    <mergeCell ref="W104:X104"/>
    <mergeCell ref="Y104:AA104"/>
    <mergeCell ref="AE105:AG105"/>
    <mergeCell ref="AH105:AJ105"/>
    <mergeCell ref="AK105:AL105"/>
    <mergeCell ref="H105:J105"/>
    <mergeCell ref="K105:N105"/>
    <mergeCell ref="O105:P105"/>
    <mergeCell ref="Q105:R105"/>
    <mergeCell ref="S105:T105"/>
    <mergeCell ref="U105:V105"/>
    <mergeCell ref="W105:X105"/>
    <mergeCell ref="Y105:AA105"/>
    <mergeCell ref="AK106:AL106"/>
    <mergeCell ref="H106:J106"/>
    <mergeCell ref="K106:N106"/>
    <mergeCell ref="O106:P106"/>
    <mergeCell ref="Q106:R106"/>
    <mergeCell ref="S106:T106"/>
    <mergeCell ref="U106:V106"/>
    <mergeCell ref="W106:X106"/>
    <mergeCell ref="Y106:AA106"/>
    <mergeCell ref="AB105:AD105"/>
    <mergeCell ref="AE59:AG59"/>
    <mergeCell ref="AE63:AG63"/>
    <mergeCell ref="W77:X77"/>
    <mergeCell ref="Y77:AA77"/>
    <mergeCell ref="W75:X75"/>
    <mergeCell ref="Y75:AA75"/>
    <mergeCell ref="H76:J76"/>
    <mergeCell ref="K76:N76"/>
    <mergeCell ref="O76:P76"/>
    <mergeCell ref="Q76:R76"/>
    <mergeCell ref="S76:T76"/>
    <mergeCell ref="U76:V76"/>
    <mergeCell ref="AB76:AD76"/>
    <mergeCell ref="AE76:AG76"/>
    <mergeCell ref="AH76:AJ76"/>
    <mergeCell ref="AK76:AL76"/>
    <mergeCell ref="AB77:AD77"/>
    <mergeCell ref="AE77:AG77"/>
    <mergeCell ref="AH77:AJ77"/>
    <mergeCell ref="AK77:AL77"/>
    <mergeCell ref="AH73:AJ73"/>
    <mergeCell ref="AK73:AL73"/>
    <mergeCell ref="AK63:AL63"/>
    <mergeCell ref="AH75:AJ75"/>
    <mergeCell ref="AK75:AL75"/>
    <mergeCell ref="AB74:AD74"/>
    <mergeCell ref="AH74:AJ74"/>
    <mergeCell ref="AB71:AD71"/>
    <mergeCell ref="AE71:AG71"/>
    <mergeCell ref="AH71:AJ71"/>
    <mergeCell ref="AK71:AL71"/>
    <mergeCell ref="AB68:AD68"/>
    <mergeCell ref="AH55:AJ55"/>
    <mergeCell ref="AK55:AL55"/>
    <mergeCell ref="AB44:AD44"/>
    <mergeCell ref="AH44:AJ44"/>
    <mergeCell ref="AK44:AL44"/>
    <mergeCell ref="AB46:AD46"/>
    <mergeCell ref="AH46:AJ46"/>
    <mergeCell ref="AE48:AG48"/>
    <mergeCell ref="AH48:AJ48"/>
    <mergeCell ref="AK48:AL48"/>
    <mergeCell ref="AK47:AL47"/>
    <mergeCell ref="AK46:AL46"/>
    <mergeCell ref="AE51:AG51"/>
    <mergeCell ref="AE55:AG55"/>
    <mergeCell ref="AE47:AG47"/>
    <mergeCell ref="AH47:AJ47"/>
    <mergeCell ref="AE45:AG45"/>
    <mergeCell ref="AH45:AJ45"/>
    <mergeCell ref="AK45:AL45"/>
    <mergeCell ref="AH53:AJ53"/>
    <mergeCell ref="AK53:AL53"/>
    <mergeCell ref="AK51:AL51"/>
    <mergeCell ref="AH83:AJ83"/>
    <mergeCell ref="AK83:AL83"/>
    <mergeCell ref="AE70:AG70"/>
    <mergeCell ref="AE74:AG74"/>
    <mergeCell ref="AE78:AG78"/>
    <mergeCell ref="AK74:AL74"/>
    <mergeCell ref="AB78:AD78"/>
    <mergeCell ref="AH78:AJ78"/>
    <mergeCell ref="AK78:AL78"/>
    <mergeCell ref="AB70:AD70"/>
    <mergeCell ref="AH70:AJ70"/>
    <mergeCell ref="AK70:AL70"/>
    <mergeCell ref="AB79:AD79"/>
    <mergeCell ref="AE79:AG79"/>
    <mergeCell ref="AH79:AJ79"/>
    <mergeCell ref="AK79:AL79"/>
    <mergeCell ref="AB82:AD82"/>
    <mergeCell ref="AE82:AG82"/>
    <mergeCell ref="AH82:AJ82"/>
    <mergeCell ref="AK82:AL82"/>
    <mergeCell ref="AB75:AD75"/>
    <mergeCell ref="AE75:AG75"/>
    <mergeCell ref="AE83:AG83"/>
    <mergeCell ref="AE80:AG80"/>
    <mergeCell ref="AH80:AJ80"/>
    <mergeCell ref="AK80:AL80"/>
    <mergeCell ref="AE81:AG81"/>
    <mergeCell ref="AH81:AJ81"/>
    <mergeCell ref="AK81:AL81"/>
    <mergeCell ref="AB73:AD73"/>
    <mergeCell ref="AE73:AG73"/>
    <mergeCell ref="T110:AA110"/>
    <mergeCell ref="T111:AA111"/>
    <mergeCell ref="AE15:AG15"/>
    <mergeCell ref="AE44:AG44"/>
    <mergeCell ref="AE46:AG46"/>
    <mergeCell ref="A107:S111"/>
    <mergeCell ref="AB63:AD63"/>
    <mergeCell ref="AH63:AJ63"/>
    <mergeCell ref="A98:G98"/>
    <mergeCell ref="A100:G100"/>
    <mergeCell ref="A101:G101"/>
    <mergeCell ref="A103:G103"/>
    <mergeCell ref="A104:G104"/>
    <mergeCell ref="AB106:AD106"/>
    <mergeCell ref="AE106:AG106"/>
    <mergeCell ref="AH39:AJ39"/>
    <mergeCell ref="H95:J95"/>
    <mergeCell ref="K95:N95"/>
    <mergeCell ref="O95:P95"/>
    <mergeCell ref="AH40:AJ40"/>
    <mergeCell ref="AB51:AD51"/>
    <mergeCell ref="AH51:AJ51"/>
    <mergeCell ref="AH106:AJ106"/>
    <mergeCell ref="AB111:AG111"/>
    <mergeCell ref="AH111:AL111"/>
    <mergeCell ref="AB107:AG107"/>
    <mergeCell ref="AH107:AL107"/>
    <mergeCell ref="AB109:AG109"/>
    <mergeCell ref="AH109:AL109"/>
    <mergeCell ref="AB110:AG110"/>
    <mergeCell ref="AH110:AL110"/>
    <mergeCell ref="T109:AA109"/>
    <mergeCell ref="A81:G81"/>
    <mergeCell ref="H81:J81"/>
    <mergeCell ref="K81:N81"/>
    <mergeCell ref="O81:P81"/>
    <mergeCell ref="Q81:R81"/>
    <mergeCell ref="S81:T81"/>
    <mergeCell ref="U81:V81"/>
    <mergeCell ref="W81:X81"/>
    <mergeCell ref="Y81:AA81"/>
    <mergeCell ref="AB81:AD81"/>
    <mergeCell ref="AB83:AD83"/>
    <mergeCell ref="AB103:AD103"/>
    <mergeCell ref="Y25:AA25"/>
    <mergeCell ref="Y31:AA31"/>
    <mergeCell ref="Y35:AA35"/>
    <mergeCell ref="Y40:AA40"/>
    <mergeCell ref="Y44:AA44"/>
    <mergeCell ref="Y46:AA46"/>
    <mergeCell ref="Y51:AA51"/>
    <mergeCell ref="Y55:AA55"/>
    <mergeCell ref="Y59:AA59"/>
    <mergeCell ref="Y63:AA63"/>
    <mergeCell ref="Y70:AA70"/>
    <mergeCell ref="Y74:AA74"/>
    <mergeCell ref="Y78:AA78"/>
    <mergeCell ref="Y83:AA83"/>
    <mergeCell ref="Y92:AA92"/>
    <mergeCell ref="Y97:AA97"/>
    <mergeCell ref="AB55:AD55"/>
    <mergeCell ref="H101:J101"/>
    <mergeCell ref="K101:N101"/>
    <mergeCell ref="O101:P101"/>
    <mergeCell ref="T107:AA107"/>
    <mergeCell ref="Y98:AA98"/>
    <mergeCell ref="W89:X89"/>
    <mergeCell ref="Y89:AA89"/>
    <mergeCell ref="W87:X87"/>
    <mergeCell ref="Y87:AA87"/>
    <mergeCell ref="W82:X82"/>
    <mergeCell ref="Y82:AA82"/>
    <mergeCell ref="W84:X84"/>
    <mergeCell ref="Y84:AA84"/>
    <mergeCell ref="W64:X64"/>
    <mergeCell ref="U54:V54"/>
    <mergeCell ref="W60:X60"/>
    <mergeCell ref="Y60:AA60"/>
    <mergeCell ref="W80:X80"/>
    <mergeCell ref="Y80:AA80"/>
    <mergeCell ref="AB80:AD80"/>
    <mergeCell ref="AB89:AD89"/>
    <mergeCell ref="AB87:AD87"/>
    <mergeCell ref="AB85:AD85"/>
    <mergeCell ref="AB69:AD69"/>
    <mergeCell ref="AB65:AD65"/>
    <mergeCell ref="S62:T62"/>
    <mergeCell ref="U62:V62"/>
    <mergeCell ref="AB64:AD64"/>
    <mergeCell ref="AB59:AD59"/>
    <mergeCell ref="U79:V79"/>
    <mergeCell ref="W79:X79"/>
    <mergeCell ref="Y79:AA79"/>
  </mergeCells>
  <phoneticPr fontId="39" type="noConversion"/>
  <dataValidations count="1">
    <dataValidation type="list" allowBlank="1" sqref="Y14:AA14" xr:uid="{87BFC9DB-697B-48AA-9293-F9B1771BB762}">
      <formula1>L_TypedeMurs</formula1>
    </dataValidation>
  </dataValidations>
  <printOptions horizontalCentered="1" verticalCentered="1"/>
  <pageMargins left="0.23622047244094488" right="0.23622047244094488" top="0.23622047244094488" bottom="0.23622047244094488" header="0.31496062992125984" footer="0.31496062992125984"/>
  <pageSetup paperSize="9" scale="45"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D719C-9968-4CAC-8DBD-678B74ADB3DA}">
  <sheetPr codeName="Feuil17">
    <tabColor theme="5" tint="0.59999389629810485"/>
  </sheetPr>
  <dimension ref="A1:K89"/>
  <sheetViews>
    <sheetView zoomScale="115" zoomScaleNormal="115" workbookViewId="0">
      <selection activeCell="C7" sqref="C7"/>
    </sheetView>
  </sheetViews>
  <sheetFormatPr baseColWidth="10" defaultRowHeight="12.75"/>
  <cols>
    <col min="1" max="1" width="15.42578125" style="1061" customWidth="1"/>
    <col min="2" max="2" width="46.5703125" style="1061" bestFit="1" customWidth="1"/>
    <col min="3" max="3" width="20.42578125" style="1061" customWidth="1"/>
    <col min="4" max="4" width="15.85546875" style="1061" hidden="1" customWidth="1"/>
    <col min="5" max="5" width="15.42578125" style="1061" hidden="1" customWidth="1"/>
    <col min="6" max="6" width="14.7109375" style="1061" hidden="1" customWidth="1"/>
    <col min="7" max="7" width="8" style="1061" hidden="1" customWidth="1"/>
    <col min="8" max="8" width="12.85546875" style="1061" hidden="1" customWidth="1"/>
    <col min="9" max="9" width="13.28515625" style="1061" hidden="1" customWidth="1"/>
    <col min="10" max="10" width="48" style="1061" hidden="1" customWidth="1"/>
    <col min="11" max="11" width="11.42578125" style="1061" customWidth="1"/>
    <col min="12" max="13" width="12.42578125" style="1061" bestFit="1" customWidth="1"/>
    <col min="14" max="14" width="28.140625" style="1061" bestFit="1" customWidth="1"/>
    <col min="15" max="15" width="11" style="1061" bestFit="1" customWidth="1"/>
    <col min="16" max="16384" width="11.42578125" style="1061"/>
  </cols>
  <sheetData>
    <row r="1" spans="1:10">
      <c r="A1" s="1121" t="s">
        <v>747</v>
      </c>
      <c r="B1" s="1122"/>
      <c r="C1" s="1122"/>
      <c r="D1" s="1122"/>
      <c r="E1" s="1122"/>
      <c r="F1" s="1122"/>
      <c r="G1" s="1122"/>
      <c r="H1" s="1122"/>
      <c r="I1" s="1122"/>
      <c r="J1" s="1123"/>
    </row>
    <row r="2" spans="1:10">
      <c r="A2" s="1124"/>
      <c r="B2" s="1125"/>
      <c r="C2" s="1125"/>
      <c r="D2" s="1125"/>
      <c r="E2" s="1125"/>
      <c r="F2" s="1125"/>
      <c r="G2" s="1125"/>
      <c r="H2" s="1125"/>
      <c r="I2" s="1125"/>
      <c r="J2" s="1126"/>
    </row>
    <row r="3" spans="1:10" ht="13.5" thickBot="1">
      <c r="A3" s="1127"/>
      <c r="B3" s="1128"/>
      <c r="C3" s="1128"/>
      <c r="D3" s="1215"/>
      <c r="E3" s="1215"/>
      <c r="F3" s="1215"/>
      <c r="G3" s="1215"/>
      <c r="H3" s="1215"/>
      <c r="I3" s="1215"/>
      <c r="J3" s="1126"/>
    </row>
    <row r="4" spans="1:10" ht="12.75" customHeight="1" thickBot="1">
      <c r="A4" s="1129"/>
      <c r="B4" s="1129"/>
      <c r="C4" s="1129"/>
      <c r="D4" s="1216"/>
      <c r="E4" s="1216"/>
      <c r="F4" s="1216"/>
      <c r="G4" s="1216"/>
      <c r="H4" s="1216"/>
      <c r="I4" s="1216"/>
      <c r="J4" s="1216"/>
    </row>
    <row r="5" spans="1:10" ht="12.75" customHeight="1">
      <c r="A5" s="1139" t="s">
        <v>748</v>
      </c>
      <c r="B5" s="1092" t="s">
        <v>749</v>
      </c>
      <c r="C5" s="1130">
        <v>1000</v>
      </c>
      <c r="D5" s="1216"/>
      <c r="E5" s="1216"/>
      <c r="F5" s="1216"/>
      <c r="G5" s="1216"/>
      <c r="H5" s="1216"/>
      <c r="I5" s="1216"/>
      <c r="J5" s="1216"/>
    </row>
    <row r="6" spans="1:10" ht="12.75" customHeight="1">
      <c r="A6" s="1145"/>
      <c r="B6" s="1088" t="s">
        <v>750</v>
      </c>
      <c r="C6" s="1131">
        <v>70</v>
      </c>
      <c r="D6" s="1216"/>
      <c r="E6" s="1216"/>
      <c r="F6" s="1216"/>
      <c r="G6" s="1216"/>
      <c r="H6" s="1216"/>
      <c r="I6" s="1216"/>
      <c r="J6" s="1216"/>
    </row>
    <row r="7" spans="1:10" ht="12.75" customHeight="1">
      <c r="A7" s="1145"/>
      <c r="B7" s="1088" t="s">
        <v>751</v>
      </c>
      <c r="C7" s="1131">
        <v>0.2</v>
      </c>
      <c r="D7" s="1216"/>
      <c r="E7" s="1216"/>
      <c r="F7" s="1216"/>
      <c r="G7" s="1216"/>
      <c r="H7" s="1216"/>
      <c r="I7" s="1216"/>
      <c r="J7" s="1216"/>
    </row>
    <row r="8" spans="1:10" ht="12.75" customHeight="1">
      <c r="A8" s="1145"/>
      <c r="B8" s="1088" t="s">
        <v>752</v>
      </c>
      <c r="C8" s="1131">
        <v>8</v>
      </c>
      <c r="D8" s="1216"/>
      <c r="E8" s="1216"/>
      <c r="F8" s="1216"/>
      <c r="G8" s="1216"/>
      <c r="H8" s="1216"/>
      <c r="I8" s="1216"/>
      <c r="J8" s="1216"/>
    </row>
    <row r="9" spans="1:10" ht="12.75" customHeight="1">
      <c r="A9" s="1145"/>
      <c r="B9" s="1217" t="s">
        <v>753</v>
      </c>
      <c r="C9" s="1132">
        <f>POWER(((1.6*1000*(POWER((C5/3600),1.85)*C6))/((POWER(10,10)*C7*C8))),1/5)*1000</f>
        <v>57.967915379920768</v>
      </c>
      <c r="D9" s="1216"/>
      <c r="E9" s="1216"/>
      <c r="F9" s="1216"/>
      <c r="G9" s="1216"/>
      <c r="H9" s="1216"/>
      <c r="I9" s="1216"/>
      <c r="J9" s="1216"/>
    </row>
    <row r="10" spans="1:10" ht="12.75" customHeight="1">
      <c r="A10" s="1145"/>
      <c r="B10" s="1217" t="s">
        <v>754</v>
      </c>
      <c r="C10" s="1133" t="str" cm="1">
        <f t="array" ref="C10">IF(INDEX(Descente!B4:B14,_xlfn.XMATCH(C9,Descente!C4:C14,1,1))=0,"Veuillez consulter le BE",INDEX(Descente!B4:B14,_xlfn.XMATCH(C9,Descente!C4:C14,1,1)))</f>
        <v>DN65 - Serti 76</v>
      </c>
      <c r="D10" s="1216"/>
      <c r="E10" s="1216"/>
      <c r="F10" s="1216"/>
      <c r="G10" s="1216"/>
      <c r="H10" s="1216"/>
      <c r="I10" s="1216"/>
      <c r="J10" s="1216"/>
    </row>
    <row r="11" spans="1:10" ht="12.75" customHeight="1" thickBot="1">
      <c r="A11" s="1152"/>
      <c r="B11" s="1218" t="s">
        <v>755</v>
      </c>
      <c r="C11" s="1134"/>
      <c r="D11" s="1216"/>
      <c r="E11" s="1216"/>
      <c r="F11" s="1216"/>
      <c r="G11" s="1216"/>
      <c r="H11" s="1216"/>
      <c r="I11" s="1216"/>
      <c r="J11" s="1216"/>
    </row>
    <row r="12" spans="1:10" ht="13.5" thickBot="1">
      <c r="A12" s="1135"/>
      <c r="B12" s="1135"/>
      <c r="C12" s="1135"/>
      <c r="D12" s="1136" t="s">
        <v>756</v>
      </c>
      <c r="E12" s="1137" t="s">
        <v>757</v>
      </c>
      <c r="F12" s="1137" t="s">
        <v>758</v>
      </c>
      <c r="G12" s="1137" t="s">
        <v>759</v>
      </c>
      <c r="H12" s="1137" t="s">
        <v>760</v>
      </c>
      <c r="I12" s="1137" t="s">
        <v>761</v>
      </c>
      <c r="J12" s="1138" t="s">
        <v>762</v>
      </c>
    </row>
    <row r="13" spans="1:10" ht="12.75" customHeight="1">
      <c r="A13" s="1139" t="s">
        <v>763</v>
      </c>
      <c r="B13" s="1092" t="s">
        <v>764</v>
      </c>
      <c r="C13" s="1130">
        <v>140</v>
      </c>
      <c r="D13" s="1140" t="s">
        <v>765</v>
      </c>
      <c r="E13" s="1062">
        <v>6</v>
      </c>
      <c r="F13" s="1141" t="str">
        <f>HLOOKUP($C$15,Equivalence!$D$3:$M$54,E13,FALSE)</f>
        <v>RXS42</v>
      </c>
      <c r="G13" s="1142">
        <f>CEILING(C13*I13,6)+1*6</f>
        <v>162</v>
      </c>
      <c r="H13" s="1143">
        <f>IFERROR(VLOOKUP(F13,BasePrix[],3,FALSE),NA())*G13</f>
        <v>2196.56448</v>
      </c>
      <c r="I13" s="1140">
        <v>1.1000000000000001</v>
      </c>
      <c r="J13" s="1144" t="s">
        <v>766</v>
      </c>
    </row>
    <row r="14" spans="1:10">
      <c r="A14" s="1145"/>
      <c r="B14" s="1088" t="s">
        <v>644</v>
      </c>
      <c r="C14" s="1131" t="s">
        <v>653</v>
      </c>
      <c r="D14" s="1146" t="s">
        <v>767</v>
      </c>
      <c r="E14" s="1061">
        <v>7</v>
      </c>
      <c r="F14" s="1147" t="str">
        <f>HLOOKUP($C$15,Equivalence!$D$3:$M$54,E14,FALSE)</f>
        <v>R20420</v>
      </c>
      <c r="G14" s="1148">
        <f>MAX(G13/6-1-ROUNDDOWN(0.8*(G22+G25+G26),0)+I14,G13/6-1,0)</f>
        <v>26</v>
      </c>
      <c r="H14" s="1149">
        <f>IFERROR(VLOOKUP(F14,BasePrix[],3,FALSE),0)*G14</f>
        <v>158.15800000000002</v>
      </c>
      <c r="I14" s="1146"/>
      <c r="J14" s="1150" t="s">
        <v>768</v>
      </c>
    </row>
    <row r="15" spans="1:10" ht="13.5" thickBot="1">
      <c r="A15" s="1145"/>
      <c r="B15" s="1088" t="s">
        <v>769</v>
      </c>
      <c r="C15" s="1131" t="s">
        <v>662</v>
      </c>
      <c r="D15" s="1146" t="s">
        <v>770</v>
      </c>
      <c r="E15" s="1061">
        <v>26</v>
      </c>
      <c r="F15" s="1147" t="str">
        <f>HLOOKUP($C$15,Equivalence!$D$3:$M$54,E15,FALSE)</f>
        <v>CVI42</v>
      </c>
      <c r="G15" s="1148">
        <f>_xlfn.CEILING.MATH(G13/I15,1)</f>
        <v>65</v>
      </c>
      <c r="H15" s="1149">
        <f>IFERROR(VLOOKUP(F15,BasePrix[],3,FALSE),0)*G15</f>
        <v>188.47400000000002</v>
      </c>
      <c r="I15" s="1146">
        <f>IF(VLOOKUP(C15,Descente!B:C,2,FALSE)&gt;28,2.5,2)</f>
        <v>2.5</v>
      </c>
      <c r="J15" s="1150" t="s">
        <v>771</v>
      </c>
    </row>
    <row r="16" spans="1:10" hidden="1">
      <c r="A16" s="1145"/>
      <c r="B16" s="1088"/>
      <c r="C16" s="1151"/>
      <c r="D16" s="1146" t="s">
        <v>772</v>
      </c>
      <c r="F16" s="1147">
        <v>41092</v>
      </c>
      <c r="G16" s="1148">
        <f>G15</f>
        <v>65</v>
      </c>
      <c r="H16" s="1149">
        <f>IFERROR(VLOOKUP(F16,BasePrix[],3,FALSE),0)*G16</f>
        <v>761.80000000000007</v>
      </c>
      <c r="I16" s="1146">
        <f>I15</f>
        <v>2.5</v>
      </c>
      <c r="J16" s="1150" t="s">
        <v>773</v>
      </c>
    </row>
    <row r="17" spans="1:10" hidden="1">
      <c r="A17" s="1145"/>
      <c r="B17" s="1088"/>
      <c r="C17" s="1151"/>
      <c r="D17" s="1146" t="s">
        <v>774</v>
      </c>
      <c r="F17" s="1147">
        <v>32921</v>
      </c>
      <c r="G17" s="1148">
        <f>G16</f>
        <v>65</v>
      </c>
      <c r="H17" s="1149">
        <f>IFERROR(VLOOKUP(F17,BasePrix[],3,FALSE),0)*G17</f>
        <v>23.4</v>
      </c>
      <c r="I17" s="1146">
        <f>I16</f>
        <v>2.5</v>
      </c>
      <c r="J17" s="1150" t="s">
        <v>773</v>
      </c>
    </row>
    <row r="18" spans="1:10" hidden="1">
      <c r="A18" s="1145"/>
      <c r="B18" s="1088"/>
      <c r="C18" s="1151"/>
      <c r="D18" s="1146" t="s">
        <v>775</v>
      </c>
      <c r="E18" s="1061">
        <v>28</v>
      </c>
      <c r="F18" s="1147">
        <f>HLOOKUP($C$15,Equivalence!$D$3:$M$54,E18,FALSE)</f>
        <v>30953</v>
      </c>
      <c r="G18" s="1148">
        <f>G15</f>
        <v>65</v>
      </c>
      <c r="H18" s="1149">
        <f>IFERROR(VLOOKUP(F18,BasePrix[],3,FALSE),0)*G18</f>
        <v>39</v>
      </c>
      <c r="I18" s="1146">
        <f>I16</f>
        <v>2.5</v>
      </c>
      <c r="J18" s="1150" t="s">
        <v>773</v>
      </c>
    </row>
    <row r="19" spans="1:10" hidden="1">
      <c r="A19" s="1145"/>
      <c r="B19" s="1088"/>
      <c r="C19" s="1151"/>
      <c r="D19" s="1146" t="s">
        <v>776</v>
      </c>
      <c r="F19" s="1147">
        <v>29645</v>
      </c>
      <c r="G19" s="1148">
        <f>G15*I19</f>
        <v>130</v>
      </c>
      <c r="H19" s="1149">
        <f>IFERROR(VLOOKUP(F19,BasePrix[],3,FALSE),0)*G19</f>
        <v>36.400000000000006</v>
      </c>
      <c r="I19" s="1146">
        <v>2</v>
      </c>
      <c r="J19" s="1150" t="s">
        <v>777</v>
      </c>
    </row>
    <row r="20" spans="1:10" hidden="1">
      <c r="A20" s="1145"/>
      <c r="B20" s="1088"/>
      <c r="C20" s="1151"/>
      <c r="D20" s="1146" t="s">
        <v>778</v>
      </c>
      <c r="F20" s="1147">
        <v>35351</v>
      </c>
      <c r="G20" s="1148">
        <f>G15*I20</f>
        <v>130</v>
      </c>
      <c r="H20" s="1149">
        <f>IFERROR(VLOOKUP(F20,BasePrix[],3,FALSE),0)*G20</f>
        <v>65</v>
      </c>
      <c r="I20" s="1146">
        <f>I19</f>
        <v>2</v>
      </c>
      <c r="J20" s="1150" t="s">
        <v>777</v>
      </c>
    </row>
    <row r="21" spans="1:10" ht="13.5" hidden="1" thickBot="1">
      <c r="A21" s="1152"/>
      <c r="B21" s="1086"/>
      <c r="C21" s="1153"/>
      <c r="D21" s="1154" t="s">
        <v>779</v>
      </c>
      <c r="E21" s="1155"/>
      <c r="F21" s="1156" t="s">
        <v>780</v>
      </c>
      <c r="G21" s="1157">
        <f>G13/INDEX(Equivalence!D52:M54,MATCH('Calculette Réseau'!C14,Equivalence!C52:C54,0),MATCH(C15,Equivalence!D3:M3,0))</f>
        <v>40.5</v>
      </c>
      <c r="H21" s="1158">
        <f>IFERROR(VLOOKUP(F21,BasePrix[],3,FALSE),0)*G21</f>
        <v>0</v>
      </c>
      <c r="I21" s="1154"/>
      <c r="J21" s="1159" t="s">
        <v>781</v>
      </c>
    </row>
    <row r="22" spans="1:10">
      <c r="A22" s="1160" t="s">
        <v>782</v>
      </c>
      <c r="B22" s="1092" t="s">
        <v>783</v>
      </c>
      <c r="C22" s="1130">
        <v>10</v>
      </c>
      <c r="D22" s="1140" t="s">
        <v>783</v>
      </c>
      <c r="E22" s="1062">
        <v>8</v>
      </c>
      <c r="F22" s="1141" t="str">
        <f>HLOOKUP($C$15,Equivalence!$D$3:$M$54,E22,FALSE)</f>
        <v>R90420</v>
      </c>
      <c r="G22" s="1142">
        <f>C22</f>
        <v>10</v>
      </c>
      <c r="H22" s="1143">
        <f>IFERROR(VLOOKUP(F22,BasePrix[],3,FALSE),0)*G22</f>
        <v>161.08400000000003</v>
      </c>
      <c r="I22" s="1140"/>
      <c r="J22" s="1144"/>
    </row>
    <row r="23" spans="1:10">
      <c r="A23" s="1161"/>
      <c r="B23" s="1088" t="s">
        <v>784</v>
      </c>
      <c r="C23" s="1131">
        <v>2</v>
      </c>
      <c r="D23" s="1146" t="s">
        <v>784</v>
      </c>
      <c r="E23" s="1061">
        <v>9</v>
      </c>
      <c r="F23" s="1147" t="str">
        <f>HLOOKUP($C$15,Equivalence!$D$3:$M$54,E23,FALSE)</f>
        <v>R90420S</v>
      </c>
      <c r="G23" s="1148">
        <f>C23</f>
        <v>2</v>
      </c>
      <c r="H23" s="1149">
        <f>IFERROR(VLOOKUP(F23,BasePrix[],3,FALSE),0)*G23</f>
        <v>31.785600000000002</v>
      </c>
      <c r="I23" s="1146"/>
      <c r="J23" s="1150"/>
    </row>
    <row r="24" spans="1:10">
      <c r="A24" s="1161"/>
      <c r="B24" s="1088" t="s">
        <v>785</v>
      </c>
      <c r="C24" s="1131">
        <v>6</v>
      </c>
      <c r="D24" s="1146" t="s">
        <v>785</v>
      </c>
      <c r="E24" s="1061">
        <v>10</v>
      </c>
      <c r="F24" s="1147" t="str">
        <f>HLOOKUP($C$15,Equivalence!$D$3:$M$54,E24,FALSE)</f>
        <v>R45420</v>
      </c>
      <c r="G24" s="1148">
        <f>C24</f>
        <v>6</v>
      </c>
      <c r="H24" s="1149">
        <f>IFERROR(VLOOKUP(F24,BasePrix[],3,FALSE),0)*G24</f>
        <v>88.935000000000002</v>
      </c>
      <c r="I24" s="1146"/>
      <c r="J24" s="1150"/>
    </row>
    <row r="25" spans="1:10">
      <c r="A25" s="1161"/>
      <c r="B25" s="1088" t="s">
        <v>786</v>
      </c>
      <c r="C25" s="1131">
        <v>2</v>
      </c>
      <c r="D25" s="1146" t="s">
        <v>787</v>
      </c>
      <c r="E25" s="1061">
        <v>13</v>
      </c>
      <c r="F25" s="1147" t="str">
        <f>HLOOKUP($C$15,Equivalence!$D$3:$M$54,E25,FALSE)</f>
        <v>R15420</v>
      </c>
      <c r="G25" s="1148">
        <f>C25</f>
        <v>2</v>
      </c>
      <c r="H25" s="1220">
        <f>IFERROR(VLOOKUP(F25,BasePrix[],3,FALSE),0)*G25</f>
        <v>30.629720000000006</v>
      </c>
      <c r="I25" s="1146"/>
      <c r="J25" s="1150"/>
    </row>
    <row r="26" spans="1:10">
      <c r="A26" s="1161"/>
      <c r="B26" s="1088" t="s">
        <v>788</v>
      </c>
      <c r="C26" s="1131">
        <v>0</v>
      </c>
      <c r="D26" s="1146" t="s">
        <v>789</v>
      </c>
      <c r="E26" s="1061">
        <v>23</v>
      </c>
      <c r="F26" s="1147" t="str">
        <f>HLOOKUP($C$15,Equivalence!$D$3:$M$54,E26,FALSE)</f>
        <v>Erreur</v>
      </c>
      <c r="G26" s="1148">
        <f>I26*C26</f>
        <v>0</v>
      </c>
      <c r="H26" s="1220">
        <f>IF(G26=0,0,VLOOKUP(F26,BasePrix[],3,FALSE))*G26</f>
        <v>0</v>
      </c>
      <c r="I26" s="1146">
        <v>1</v>
      </c>
      <c r="J26" s="1150" t="s">
        <v>790</v>
      </c>
    </row>
    <row r="27" spans="1:10" hidden="1">
      <c r="A27" s="1161"/>
      <c r="B27" s="1088"/>
      <c r="C27" s="1151"/>
      <c r="D27" s="1146" t="s">
        <v>791</v>
      </c>
      <c r="E27" s="1061">
        <v>24</v>
      </c>
      <c r="F27" s="1147" t="str">
        <f>HLOOKUP($C$15,Equivalence!$D$3:$M$54,E27,FALSE)</f>
        <v>Erreur</v>
      </c>
      <c r="G27" s="1148">
        <f>C26*I27</f>
        <v>0</v>
      </c>
      <c r="H27" s="1149">
        <f>IFERROR(VLOOKUP(F27,BasePrix[],3,FALSE),0)*G27</f>
        <v>0</v>
      </c>
      <c r="I27" s="1146">
        <v>2</v>
      </c>
      <c r="J27" s="1150" t="s">
        <v>792</v>
      </c>
    </row>
    <row r="28" spans="1:10" hidden="1">
      <c r="A28" s="1161"/>
      <c r="B28" s="1088"/>
      <c r="C28" s="1151"/>
      <c r="D28" s="1146" t="s">
        <v>560</v>
      </c>
      <c r="F28" s="1147" t="s">
        <v>793</v>
      </c>
      <c r="G28" s="1148">
        <f>C26*8*2</f>
        <v>0</v>
      </c>
      <c r="H28" s="1220">
        <f>IFERROR(VLOOKUP(F28,BasePrix[],3,FALSE),0)*G28</f>
        <v>0</v>
      </c>
      <c r="I28" s="1146"/>
      <c r="J28" s="1150" t="s">
        <v>794</v>
      </c>
    </row>
    <row r="29" spans="1:10" ht="13.5" thickBot="1">
      <c r="A29" s="1161"/>
      <c r="B29" s="1088" t="s">
        <v>795</v>
      </c>
      <c r="C29" s="1131">
        <v>6</v>
      </c>
      <c r="D29" s="1146" t="s">
        <v>796</v>
      </c>
      <c r="E29" s="1061">
        <v>17</v>
      </c>
      <c r="F29" s="1147" t="str">
        <f>HLOOKUP($C$15,Equivalence!$D$3:$M$54,E29,FALSE)</f>
        <v>VBP112FF</v>
      </c>
      <c r="G29" s="1148">
        <f>C29</f>
        <v>6</v>
      </c>
      <c r="H29" s="1220">
        <f>IF(G29=0,0,VLOOKUP(F29,BasePrix[],3,FALSE))*G29</f>
        <v>98.34</v>
      </c>
      <c r="I29" s="1146"/>
      <c r="J29" s="1150"/>
    </row>
    <row r="30" spans="1:10" ht="13.5" hidden="1" thickBot="1">
      <c r="A30" s="1162"/>
      <c r="B30" s="1086"/>
      <c r="C30" s="1153"/>
      <c r="D30" s="1146" t="s">
        <v>797</v>
      </c>
      <c r="E30" s="1061">
        <v>21</v>
      </c>
      <c r="F30" s="1147" t="str">
        <f>HLOOKUP($C$15,Equivalence!$D$3:$M$54,E30,FALSE)</f>
        <v>R2442112</v>
      </c>
      <c r="G30" s="1148">
        <f>G29*I30</f>
        <v>12</v>
      </c>
      <c r="H30" s="1149">
        <f>IFERROR(VLOOKUP(F30,BasePrix[],3,FALSE),0)*G30</f>
        <v>217.04759999999999</v>
      </c>
      <c r="I30" s="1146">
        <v>2</v>
      </c>
      <c r="J30" s="1150" t="s">
        <v>798</v>
      </c>
    </row>
    <row r="31" spans="1:10">
      <c r="A31" s="1160" t="s">
        <v>799</v>
      </c>
      <c r="B31" s="1092" t="s">
        <v>759</v>
      </c>
      <c r="C31" s="1130">
        <v>2</v>
      </c>
      <c r="D31" s="1140" t="s">
        <v>800</v>
      </c>
      <c r="E31" s="1062"/>
      <c r="F31" s="1141" t="str">
        <f>INDEX(Descente!$B$3:$M$14,MATCH('Calculette Réseau'!C15,Descente!$B$3:$M$3,0),MATCH('Calculette Réseau'!C32,Descente!$B$3:$B$14,0))</f>
        <v>R15420</v>
      </c>
      <c r="G31" s="1142">
        <f>C31*I31</f>
        <v>2</v>
      </c>
      <c r="H31" s="1143">
        <f>IFERROR(VLOOKUP(F31,BasePrix[],3,FALSE),NA())*G31</f>
        <v>30.629720000000006</v>
      </c>
      <c r="I31" s="1140">
        <v>1</v>
      </c>
      <c r="J31" s="1144"/>
    </row>
    <row r="32" spans="1:10">
      <c r="A32" s="1161"/>
      <c r="B32" s="1088" t="s">
        <v>801</v>
      </c>
      <c r="C32" s="1131" t="s">
        <v>662</v>
      </c>
      <c r="D32" s="1146" t="s">
        <v>784</v>
      </c>
      <c r="E32" s="1061">
        <v>9</v>
      </c>
      <c r="F32" s="1147" t="str">
        <f>HLOOKUP($C$32,Equivalence!$D$3:$M$54,E32,FALSE)</f>
        <v>R90420S</v>
      </c>
      <c r="G32" s="1148">
        <f>C31*I32</f>
        <v>2</v>
      </c>
      <c r="H32" s="1149">
        <f>IFERROR(VLOOKUP(F32,BasePrix[],3,FALSE),0)*G32</f>
        <v>31.785600000000002</v>
      </c>
      <c r="I32" s="1146">
        <v>1</v>
      </c>
      <c r="J32" s="1150"/>
    </row>
    <row r="33" spans="1:10" ht="13.5" thickBot="1">
      <c r="A33" s="1161"/>
      <c r="B33" s="1088" t="s">
        <v>802</v>
      </c>
      <c r="C33" s="1131">
        <v>7</v>
      </c>
      <c r="D33" s="1146" t="s">
        <v>783</v>
      </c>
      <c r="E33" s="1061">
        <v>8</v>
      </c>
      <c r="F33" s="1147" t="str">
        <f>HLOOKUP($C$32,Equivalence!$D$3:$M$54,E33,FALSE)</f>
        <v>R90420</v>
      </c>
      <c r="G33" s="1148">
        <f>C31*I33</f>
        <v>2</v>
      </c>
      <c r="H33" s="1149">
        <f>IFERROR(VLOOKUP(F33,BasePrix[],3,FALSE),0)*G33</f>
        <v>32.216800000000006</v>
      </c>
      <c r="I33" s="1146">
        <v>1</v>
      </c>
      <c r="J33" s="1150"/>
    </row>
    <row r="34" spans="1:10" hidden="1">
      <c r="A34" s="1161"/>
      <c r="B34" s="1088"/>
      <c r="C34" s="1151"/>
      <c r="D34" s="1146" t="s">
        <v>785</v>
      </c>
      <c r="E34" s="1061">
        <v>10</v>
      </c>
      <c r="F34" s="1147" t="str">
        <f>HLOOKUP($C$32,Equivalence!$D$3:$M$54,E34,FALSE)</f>
        <v>R45420</v>
      </c>
      <c r="G34" s="1148">
        <f>C31*I34</f>
        <v>4</v>
      </c>
      <c r="H34" s="1149">
        <f>IFERROR(VLOOKUP(F34,BasePrix[],3,FALSE),0)*G34</f>
        <v>59.290000000000006</v>
      </c>
      <c r="I34" s="1146">
        <v>2</v>
      </c>
      <c r="J34" s="1150"/>
    </row>
    <row r="35" spans="1:10" hidden="1">
      <c r="A35" s="1161"/>
      <c r="B35" s="1088"/>
      <c r="C35" s="1151"/>
      <c r="D35" s="1146" t="s">
        <v>803</v>
      </c>
      <c r="E35" s="1061">
        <v>21</v>
      </c>
      <c r="F35" s="1147" t="str">
        <f>HLOOKUP($C$32,Equivalence!$D$3:$M$54,E35,FALSE)</f>
        <v>R2442112</v>
      </c>
      <c r="G35" s="1148">
        <f>C31*I35</f>
        <v>2</v>
      </c>
      <c r="H35" s="1149">
        <f>IFERROR(VLOOKUP(F35,BasePrix[],3,FALSE),0)*G35</f>
        <v>36.174599999999998</v>
      </c>
      <c r="I35" s="1146">
        <v>1</v>
      </c>
      <c r="J35" s="1150"/>
    </row>
    <row r="36" spans="1:10" hidden="1">
      <c r="A36" s="1161"/>
      <c r="B36" s="1088"/>
      <c r="C36" s="1151"/>
      <c r="D36" s="1146" t="s">
        <v>804</v>
      </c>
      <c r="E36" s="1061">
        <v>17</v>
      </c>
      <c r="F36" s="1147" t="str">
        <f>HLOOKUP($C$32,Equivalence!$D$3:$M$54,E36,FALSE)</f>
        <v>VBP112FF</v>
      </c>
      <c r="G36" s="1148">
        <f>C31*I36</f>
        <v>2</v>
      </c>
      <c r="H36" s="1149">
        <f>IFERROR(VLOOKUP(F36,BasePrix[],3,FALSE),0)*G36</f>
        <v>32.78</v>
      </c>
      <c r="I36" s="1146">
        <v>1</v>
      </c>
      <c r="J36" s="1150"/>
    </row>
    <row r="37" spans="1:10" hidden="1">
      <c r="A37" s="1161"/>
      <c r="B37" s="1088"/>
      <c r="C37" s="1151"/>
      <c r="D37" s="1146" t="s">
        <v>765</v>
      </c>
      <c r="E37" s="1061">
        <v>6</v>
      </c>
      <c r="F37" s="1147" t="str">
        <f>HLOOKUP($C$32,Equivalence!$D$3:$M$54,E37,FALSE)</f>
        <v>RXS42</v>
      </c>
      <c r="G37" s="1148">
        <f>CEILING(CEILING(C33,3)*C31,6)</f>
        <v>18</v>
      </c>
      <c r="H37" s="1149">
        <f>IFERROR(VLOOKUP(F37,BasePrix[],3,FALSE),0)*G37</f>
        <v>244.06272000000001</v>
      </c>
      <c r="I37" s="1146"/>
      <c r="J37" s="1150" t="s">
        <v>805</v>
      </c>
    </row>
    <row r="38" spans="1:10" hidden="1">
      <c r="A38" s="1161"/>
      <c r="B38" s="1088"/>
      <c r="C38" s="1151"/>
      <c r="D38" s="1146" t="s">
        <v>806</v>
      </c>
      <c r="E38" s="1061">
        <v>26</v>
      </c>
      <c r="F38" s="1147" t="str">
        <f>HLOOKUP($C$32,Equivalence!$D$3:$M$54,E38,FALSE)</f>
        <v>CVI42</v>
      </c>
      <c r="G38" s="1148">
        <f>IF(C32&gt;18,C31*2,C31*3)</f>
        <v>4</v>
      </c>
      <c r="H38" s="1149">
        <f>IFERROR(VLOOKUP(F38,BasePrix[],3,FALSE),0)*G38</f>
        <v>11.598400000000002</v>
      </c>
      <c r="I38" s="1146">
        <v>3</v>
      </c>
      <c r="J38" s="1150" t="s">
        <v>807</v>
      </c>
    </row>
    <row r="39" spans="1:10" hidden="1">
      <c r="A39" s="1161"/>
      <c r="B39" s="1088"/>
      <c r="C39" s="1151"/>
      <c r="D39" s="1146" t="s">
        <v>808</v>
      </c>
      <c r="F39" s="1147" t="s">
        <v>809</v>
      </c>
      <c r="G39" s="1148">
        <f>G38</f>
        <v>4</v>
      </c>
      <c r="H39" s="1149">
        <f>IFERROR(VLOOKUP(F39,BasePrix[],3,FALSE),0)*G39</f>
        <v>23.12</v>
      </c>
      <c r="I39" s="1146">
        <v>3</v>
      </c>
      <c r="J39" s="1150" t="s">
        <v>807</v>
      </c>
    </row>
    <row r="40" spans="1:10" ht="13.5" hidden="1" thickBot="1">
      <c r="A40" s="1162"/>
      <c r="B40" s="1086"/>
      <c r="C40" s="1153"/>
      <c r="D40" s="1154" t="s">
        <v>810</v>
      </c>
      <c r="E40" s="1155"/>
      <c r="F40" s="1156" t="s">
        <v>780</v>
      </c>
      <c r="G40" s="1163">
        <f>G37/INDEX(Equivalence!$D$52:$M$54,MATCH('Calculette Réseau'!$C$14,Equivalence!$C$52:$C$54,0),MATCH(C32,Equivalence!$D$3:$M$3,0))*I40</f>
        <v>5.8500000000000005</v>
      </c>
      <c r="H40" s="1158">
        <f>IFERROR(VLOOKUP(F40,BasePrix[],3,FALSE),0)*G40</f>
        <v>0</v>
      </c>
      <c r="I40" s="1164">
        <v>1.3</v>
      </c>
      <c r="J40" s="1159" t="str">
        <f>_xlfn.CONCAT("Une descente en ",ROUND(G40/C31,2),"h")</f>
        <v>Une descente en 2,93h</v>
      </c>
    </row>
    <row r="41" spans="1:10">
      <c r="A41" s="1160" t="s">
        <v>811</v>
      </c>
      <c r="B41" s="1092" t="s">
        <v>759</v>
      </c>
      <c r="C41" s="1130">
        <v>2</v>
      </c>
      <c r="D41" s="1140" t="s">
        <v>800</v>
      </c>
      <c r="E41" s="1062"/>
      <c r="F41" s="1141" t="str">
        <f>INDEX(Descente!$B$3:$M$14,MATCH('Calculette Réseau'!C15,Descente!$B$3:$M$3,0),MATCH('Calculette Réseau'!C42,Descente!$B$3:$B$14,0))</f>
        <v>R15420</v>
      </c>
      <c r="G41" s="1142">
        <f>C41*I41</f>
        <v>2</v>
      </c>
      <c r="H41" s="1143">
        <f>IFERROR(VLOOKUP(F41,BasePrix[],3,FALSE),NA())*G41</f>
        <v>30.629720000000006</v>
      </c>
      <c r="I41" s="1140">
        <v>1</v>
      </c>
      <c r="J41" s="1144"/>
    </row>
    <row r="42" spans="1:10">
      <c r="A42" s="1161"/>
      <c r="B42" s="1088" t="s">
        <v>801</v>
      </c>
      <c r="C42" s="1131" t="s">
        <v>662</v>
      </c>
      <c r="D42" s="1146" t="s">
        <v>784</v>
      </c>
      <c r="E42" s="1061">
        <v>9</v>
      </c>
      <c r="F42" s="1147" t="str">
        <f>HLOOKUP($C$42,Equivalence!$D$3:$M$54,E42,FALSE)</f>
        <v>R90420S</v>
      </c>
      <c r="G42" s="1148">
        <f>C41*I42</f>
        <v>2</v>
      </c>
      <c r="H42" s="1149">
        <f>IFERROR(VLOOKUP(F42,BasePrix[],3,FALSE),0)*G42</f>
        <v>31.785600000000002</v>
      </c>
      <c r="I42" s="1146">
        <v>1</v>
      </c>
      <c r="J42" s="1150"/>
    </row>
    <row r="43" spans="1:10" ht="13.5" thickBot="1">
      <c r="A43" s="1161"/>
      <c r="B43" s="1088" t="s">
        <v>802</v>
      </c>
      <c r="C43" s="1131">
        <v>9</v>
      </c>
      <c r="D43" s="1146" t="s">
        <v>783</v>
      </c>
      <c r="E43" s="1061">
        <v>8</v>
      </c>
      <c r="F43" s="1147" t="str">
        <f>HLOOKUP($C$42,Equivalence!$D$3:$M$54,E43,FALSE)</f>
        <v>R90420</v>
      </c>
      <c r="G43" s="1148">
        <f>C41*I43</f>
        <v>2</v>
      </c>
      <c r="H43" s="1149">
        <f>IFERROR(VLOOKUP(F43,BasePrix[],3,FALSE),0)*G43</f>
        <v>32.216800000000006</v>
      </c>
      <c r="I43" s="1146">
        <v>1</v>
      </c>
      <c r="J43" s="1150"/>
    </row>
    <row r="44" spans="1:10" hidden="1">
      <c r="A44" s="1161"/>
      <c r="B44" s="1088"/>
      <c r="C44" s="1151"/>
      <c r="D44" s="1146" t="s">
        <v>785</v>
      </c>
      <c r="E44" s="1061">
        <v>10</v>
      </c>
      <c r="F44" s="1147" t="str">
        <f>HLOOKUP($C$42,Equivalence!$D$3:$M$54,E44,FALSE)</f>
        <v>R45420</v>
      </c>
      <c r="G44" s="1148">
        <f>C41*I44</f>
        <v>4</v>
      </c>
      <c r="H44" s="1149">
        <f>IFERROR(VLOOKUP(F44,BasePrix[],3,FALSE),0)*G44</f>
        <v>59.290000000000006</v>
      </c>
      <c r="I44" s="1146">
        <v>2</v>
      </c>
      <c r="J44" s="1150"/>
    </row>
    <row r="45" spans="1:10" hidden="1">
      <c r="A45" s="1161"/>
      <c r="B45" s="1088"/>
      <c r="C45" s="1151"/>
      <c r="D45" s="1146" t="s">
        <v>803</v>
      </c>
      <c r="E45" s="1061">
        <v>21</v>
      </c>
      <c r="F45" s="1147" t="str">
        <f>HLOOKUP($C$42,Equivalence!$D$3:$M$54,E45,FALSE)</f>
        <v>R2442112</v>
      </c>
      <c r="G45" s="1148">
        <f>C41*I45</f>
        <v>2</v>
      </c>
      <c r="H45" s="1149">
        <f>IFERROR(VLOOKUP(F45,BasePrix[],3,FALSE),0)*G45</f>
        <v>36.174599999999998</v>
      </c>
      <c r="I45" s="1146">
        <v>1</v>
      </c>
      <c r="J45" s="1150"/>
    </row>
    <row r="46" spans="1:10" hidden="1">
      <c r="A46" s="1161"/>
      <c r="B46" s="1088"/>
      <c r="C46" s="1151"/>
      <c r="D46" s="1146" t="s">
        <v>804</v>
      </c>
      <c r="E46" s="1061">
        <v>17</v>
      </c>
      <c r="F46" s="1147" t="str">
        <f>HLOOKUP($C$42,Equivalence!$D$3:$M$54,E46,FALSE)</f>
        <v>VBP112FF</v>
      </c>
      <c r="G46" s="1148">
        <f>C41*I46</f>
        <v>2</v>
      </c>
      <c r="H46" s="1149">
        <f>IFERROR(VLOOKUP(F46,BasePrix[],3,FALSE),0)*G46</f>
        <v>32.78</v>
      </c>
      <c r="I46" s="1146">
        <v>1</v>
      </c>
      <c r="J46" s="1150"/>
    </row>
    <row r="47" spans="1:10" hidden="1">
      <c r="A47" s="1161"/>
      <c r="B47" s="1088"/>
      <c r="C47" s="1151"/>
      <c r="D47" s="1146" t="s">
        <v>765</v>
      </c>
      <c r="E47" s="1061">
        <v>6</v>
      </c>
      <c r="F47" s="1147" t="str">
        <f>HLOOKUP($C$42,Equivalence!$D$3:$M$54,E47,FALSE)</f>
        <v>RXS42</v>
      </c>
      <c r="G47" s="1148">
        <f>CEILING(CEILING(C43,3)*C41,6)</f>
        <v>18</v>
      </c>
      <c r="H47" s="1149">
        <f>IFERROR(VLOOKUP(F47,BasePrix[],3,FALSE),0)*G47</f>
        <v>244.06272000000001</v>
      </c>
      <c r="I47" s="1146"/>
      <c r="J47" s="1150" t="s">
        <v>812</v>
      </c>
    </row>
    <row r="48" spans="1:10" hidden="1">
      <c r="A48" s="1161"/>
      <c r="B48" s="1088"/>
      <c r="C48" s="1151"/>
      <c r="D48" s="1146" t="s">
        <v>806</v>
      </c>
      <c r="E48" s="1061">
        <v>26</v>
      </c>
      <c r="F48" s="1147" t="str">
        <f>HLOOKUP($C$42,Equivalence!$D$3:$M$54,E48,FALSE)</f>
        <v>CVI42</v>
      </c>
      <c r="G48" s="1148">
        <f>IF(C42&gt;18,C41*2,C41*3)</f>
        <v>4</v>
      </c>
      <c r="H48" s="1149">
        <f>IFERROR(VLOOKUP(F48,BasePrix[],3,FALSE),0)*G48</f>
        <v>11.598400000000002</v>
      </c>
      <c r="I48" s="1146">
        <v>3</v>
      </c>
      <c r="J48" s="1150" t="s">
        <v>807</v>
      </c>
    </row>
    <row r="49" spans="1:10" hidden="1">
      <c r="A49" s="1161"/>
      <c r="B49" s="1088"/>
      <c r="C49" s="1151"/>
      <c r="D49" s="1146" t="s">
        <v>808</v>
      </c>
      <c r="F49" s="1147" t="s">
        <v>809</v>
      </c>
      <c r="G49" s="1148">
        <f>G48</f>
        <v>4</v>
      </c>
      <c r="H49" s="1149">
        <f>IFERROR(VLOOKUP(F49,BasePrix[],3,FALSE),0)*G49</f>
        <v>23.12</v>
      </c>
      <c r="I49" s="1146">
        <v>3</v>
      </c>
      <c r="J49" s="1150" t="s">
        <v>807</v>
      </c>
    </row>
    <row r="50" spans="1:10" ht="13.5" hidden="1" thickBot="1">
      <c r="A50" s="1162"/>
      <c r="B50" s="1086"/>
      <c r="C50" s="1153"/>
      <c r="D50" s="1154" t="s">
        <v>810</v>
      </c>
      <c r="E50" s="1155"/>
      <c r="F50" s="1156" t="s">
        <v>780</v>
      </c>
      <c r="G50" s="1163">
        <f>G47/INDEX(Equivalence!$D$52:$M$54,MATCH('Calculette Réseau'!$C$14,Equivalence!$C$52:$C$54,0),MATCH(C42,Equivalence!$D$3:$M$3,0))*I50</f>
        <v>5.8500000000000005</v>
      </c>
      <c r="H50" s="1158">
        <f>IFERROR(VLOOKUP(F50,BasePrix[],3,FALSE),0)*G50</f>
        <v>0</v>
      </c>
      <c r="I50" s="1164">
        <v>1.3</v>
      </c>
      <c r="J50" s="1159" t="str">
        <f>_xlfn.CONCAT("Une descente en ",ROUND(G50/C41,2),"h")</f>
        <v>Une descente en 2,93h</v>
      </c>
    </row>
    <row r="51" spans="1:10" ht="13.5" thickBot="1">
      <c r="A51" s="1165" t="s">
        <v>341</v>
      </c>
      <c r="B51" s="1166" t="s">
        <v>341</v>
      </c>
      <c r="C51" s="1167" t="b">
        <v>0</v>
      </c>
      <c r="D51" s="1140" t="s">
        <v>341</v>
      </c>
      <c r="E51" s="1062"/>
      <c r="F51" s="1141" t="str">
        <f>VLOOKUP(C14,Information!AB2:AC5,2,FALSE)</f>
        <v>AG18-ELE100</v>
      </c>
      <c r="G51" s="1142">
        <f>G55*C51</f>
        <v>0</v>
      </c>
      <c r="H51" s="1143">
        <f>IFERROR(VLOOKUP(F51,BasePrix[],3,FALSE),0)*G51</f>
        <v>0</v>
      </c>
      <c r="I51" s="1140"/>
      <c r="J51" s="1144" t="s">
        <v>813</v>
      </c>
    </row>
    <row r="52" spans="1:10" ht="36.75" hidden="1" customHeight="1" thickBot="1">
      <c r="A52" s="1168"/>
      <c r="B52" s="1169"/>
      <c r="C52" s="1170"/>
      <c r="D52" s="1154" t="s">
        <v>201</v>
      </c>
      <c r="E52" s="1171"/>
      <c r="F52" s="1156" t="s">
        <v>814</v>
      </c>
      <c r="G52" s="1172">
        <f>C51*2</f>
        <v>0</v>
      </c>
      <c r="H52" s="1158">
        <f>IFERROR(VLOOKUP(F52,BasePrix[],3,FALSE),0)*G52</f>
        <v>0</v>
      </c>
      <c r="I52" s="1154"/>
      <c r="J52" s="1159" t="s">
        <v>815</v>
      </c>
    </row>
    <row r="53" spans="1:10" ht="25.5" customHeight="1" thickBot="1">
      <c r="A53" s="1222" t="s">
        <v>816</v>
      </c>
      <c r="B53" s="1166" t="s">
        <v>817</v>
      </c>
      <c r="C53" s="1221">
        <v>0</v>
      </c>
      <c r="D53" s="1140" t="s">
        <v>818</v>
      </c>
      <c r="E53" s="1062"/>
      <c r="F53" s="1141"/>
      <c r="G53" s="1173">
        <f>IF(C56,(G21+MAX(0,C53)+G40+G50)*2,(G21+MAX(0,C53)+G40+G50))</f>
        <v>52.2</v>
      </c>
      <c r="H53" s="1143">
        <f>IFERROR(VLOOKUP(F53,BasePrix[],3,FALSE),0)*G53</f>
        <v>0</v>
      </c>
      <c r="I53" s="1140"/>
      <c r="J53" s="1144" t="s">
        <v>819</v>
      </c>
    </row>
    <row r="54" spans="1:10" ht="38.25" customHeight="1">
      <c r="A54" s="1174" t="s">
        <v>816</v>
      </c>
      <c r="B54" s="1092" t="s">
        <v>820</v>
      </c>
      <c r="C54" s="1130">
        <v>50</v>
      </c>
      <c r="D54" s="1146" t="s">
        <v>821</v>
      </c>
      <c r="F54" s="1147"/>
      <c r="G54" s="1148" t="b">
        <f>OR(C54&gt;125,C55&gt;1.5,C57)</f>
        <v>0</v>
      </c>
      <c r="H54" s="1149">
        <f>IFERROR(VLOOKUP(F54,BasePrix[],3,FALSE),0)*G54</f>
        <v>0</v>
      </c>
      <c r="I54" s="1146"/>
      <c r="J54" s="1175"/>
    </row>
    <row r="55" spans="1:10">
      <c r="A55" s="1176"/>
      <c r="B55" s="1088" t="s">
        <v>822</v>
      </c>
      <c r="C55" s="1177">
        <v>0.75</v>
      </c>
      <c r="D55" s="1146" t="s">
        <v>823</v>
      </c>
      <c r="F55" s="1147"/>
      <c r="G55" s="1148">
        <f>IF(G54,MAX(ROUNDUP(G53/(I55-0.25*2),0),1),MAX(ROUNDUP(G53/(I55-C55*2),0),1))</f>
        <v>7</v>
      </c>
      <c r="H55" s="1149">
        <f>IFERROR(VLOOKUP(F55,BasePrix[],3,FALSE),0)*G55</f>
        <v>0</v>
      </c>
      <c r="I55" s="1178">
        <v>10</v>
      </c>
      <c r="J55" s="1150" t="s">
        <v>824</v>
      </c>
    </row>
    <row r="56" spans="1:10">
      <c r="A56" s="1176"/>
      <c r="B56" s="1088" t="s">
        <v>825</v>
      </c>
      <c r="C56" s="1179" t="b">
        <v>0</v>
      </c>
      <c r="D56" s="1146" t="s">
        <v>826</v>
      </c>
      <c r="F56" s="1147" t="s">
        <v>827</v>
      </c>
      <c r="G56" s="1148">
        <f>G55*I56+G57</f>
        <v>7</v>
      </c>
      <c r="H56" s="1149">
        <f>IFERROR(VLOOKUP(F56,BasePrix[],3,FALSE),0)*G56</f>
        <v>0</v>
      </c>
      <c r="I56" s="1146">
        <v>1</v>
      </c>
      <c r="J56" s="1150" t="s">
        <v>828</v>
      </c>
    </row>
    <row r="57" spans="1:10" ht="13.5" thickBot="1">
      <c r="A57" s="1180"/>
      <c r="B57" s="1086" t="s">
        <v>829</v>
      </c>
      <c r="C57" s="1181" t="b">
        <v>0</v>
      </c>
      <c r="D57" s="1146" t="s">
        <v>830</v>
      </c>
      <c r="F57" s="1147" t="s">
        <v>831</v>
      </c>
      <c r="G57" s="1148">
        <f>IF(G54,MOD(G55,5)-1+ROUNDDOWN(G55/5,0)*4,0)</f>
        <v>0</v>
      </c>
      <c r="H57" s="1149">
        <f>IFERROR(VLOOKUP(F57,BasePrix[],3,FALSE),0)*G57</f>
        <v>0</v>
      </c>
      <c r="I57" s="1146"/>
      <c r="J57" s="1150" t="s">
        <v>832</v>
      </c>
    </row>
    <row r="58" spans="1:10" ht="13.5" hidden="1" customHeight="1" thickBot="1">
      <c r="A58" s="1182"/>
      <c r="B58" s="1183"/>
      <c r="C58" s="1184"/>
      <c r="D58" s="1146" t="s">
        <v>833</v>
      </c>
      <c r="F58" s="1147" t="s">
        <v>834</v>
      </c>
      <c r="G58" s="1148">
        <f>IF(G54,QUOTIENT(G55,5)*(C54*2+40*4)+C54*2+(MOD(G55,5)-1)*40,C54*2*G55)</f>
        <v>700</v>
      </c>
      <c r="H58" s="1149">
        <f>IFERROR(VLOOKUP(F58,BasePrix[],3,FALSE),0)*G58</f>
        <v>0</v>
      </c>
      <c r="I58" s="1146"/>
      <c r="J58" s="1150" t="s">
        <v>835</v>
      </c>
    </row>
    <row r="59" spans="1:10" ht="13.5" hidden="1" thickBot="1">
      <c r="A59" s="1185"/>
      <c r="B59" s="1146"/>
      <c r="C59" s="1146"/>
      <c r="D59" s="1140" t="s">
        <v>836</v>
      </c>
      <c r="E59" s="1140"/>
      <c r="F59" s="1141" t="s">
        <v>837</v>
      </c>
      <c r="G59" s="1186">
        <f>CEILING(G55*10,10)</f>
        <v>70</v>
      </c>
      <c r="H59" s="1143">
        <f>IFERROR(VLOOKUP(F59,BasePrix[],3,FALSE),0)*G59</f>
        <v>0</v>
      </c>
      <c r="I59" s="1140"/>
      <c r="J59" s="1144"/>
    </row>
    <row r="60" spans="1:10" ht="25.5" hidden="1" customHeight="1">
      <c r="A60" s="1187" t="s">
        <v>838</v>
      </c>
      <c r="B60" s="1140"/>
      <c r="C60" s="1144"/>
      <c r="D60" s="1140"/>
      <c r="E60" s="1062"/>
      <c r="F60" s="1141" t="s">
        <v>826</v>
      </c>
      <c r="G60" s="1142">
        <f>G56-G64</f>
        <v>6</v>
      </c>
      <c r="H60" s="1143">
        <f>IFERROR(VLOOKUP(F60,BasePrix[],3,FALSE),0)*G60</f>
        <v>183.24</v>
      </c>
      <c r="I60" s="1140"/>
      <c r="J60" s="1144"/>
    </row>
    <row r="61" spans="1:10" hidden="1">
      <c r="A61" s="1188"/>
      <c r="B61" s="1146"/>
      <c r="C61" s="1150"/>
      <c r="D61" s="1146"/>
      <c r="F61" s="1147" t="s">
        <v>830</v>
      </c>
      <c r="G61" s="1148">
        <f>G57-G65</f>
        <v>0</v>
      </c>
      <c r="H61" s="1149">
        <f>IFERROR(VLOOKUP(F61,BasePrix[],3,FALSE),0)*G61</f>
        <v>0</v>
      </c>
      <c r="I61" s="1146"/>
      <c r="J61" s="1150"/>
    </row>
    <row r="62" spans="1:10" hidden="1">
      <c r="A62" s="1188"/>
      <c r="B62" s="1146"/>
      <c r="C62" s="1150"/>
      <c r="D62" s="1146"/>
      <c r="F62" s="1147" t="s">
        <v>833</v>
      </c>
      <c r="G62" s="1148">
        <f>G58-G66</f>
        <v>621</v>
      </c>
      <c r="H62" s="1149">
        <f>IFERROR(VLOOKUP(F62,BasePrix[],3,FALSE),0)*G62</f>
        <v>1074.33</v>
      </c>
      <c r="I62" s="1146"/>
      <c r="J62" s="1150"/>
    </row>
    <row r="63" spans="1:10" ht="13.5" hidden="1" thickBot="1">
      <c r="A63" s="1189"/>
      <c r="B63" s="1154"/>
      <c r="C63" s="1159"/>
      <c r="D63" s="1154"/>
      <c r="E63" s="1171"/>
      <c r="F63" s="1156" t="s">
        <v>839</v>
      </c>
      <c r="G63" s="1190">
        <f>G59-G67</f>
        <v>60</v>
      </c>
      <c r="H63" s="1158">
        <f>IFERROR(VLOOKUP(F63,BasePrix[],3,FALSE),0)*G63</f>
        <v>2907.6</v>
      </c>
      <c r="I63" s="1154"/>
      <c r="J63" s="1159"/>
    </row>
    <row r="64" spans="1:10" ht="25.5" hidden="1" customHeight="1">
      <c r="A64" s="1187" t="s">
        <v>840</v>
      </c>
      <c r="B64" s="1146"/>
      <c r="C64" s="1150"/>
      <c r="D64" s="1146"/>
      <c r="F64" s="1147" t="s">
        <v>826</v>
      </c>
      <c r="G64" s="1148">
        <f>CEILING(G56*G40/G53,1)</f>
        <v>1</v>
      </c>
      <c r="H64" s="1149">
        <f>IFERROR(VLOOKUP(F64,BasePrix[],3,FALSE),0)*G64</f>
        <v>30.54</v>
      </c>
      <c r="I64" s="1146"/>
      <c r="J64" s="1150"/>
    </row>
    <row r="65" spans="1:10" hidden="1">
      <c r="A65" s="1188"/>
      <c r="B65" s="1146"/>
      <c r="C65" s="1150"/>
      <c r="D65" s="1146"/>
      <c r="F65" s="1147" t="s">
        <v>830</v>
      </c>
      <c r="G65" s="1148">
        <f>CEILING(G57*G40/G53,1)</f>
        <v>0</v>
      </c>
      <c r="H65" s="1149">
        <f>IFERROR(VLOOKUP(F65,BasePrix[],3,FALSE),0)*G65</f>
        <v>0</v>
      </c>
      <c r="I65" s="1146"/>
      <c r="J65" s="1150"/>
    </row>
    <row r="66" spans="1:10" hidden="1">
      <c r="A66" s="1188"/>
      <c r="B66" s="1146"/>
      <c r="C66" s="1150"/>
      <c r="D66" s="1146"/>
      <c r="F66" s="1147" t="s">
        <v>833</v>
      </c>
      <c r="G66" s="1148">
        <f>CEILING(G58*G40/G53,1)</f>
        <v>79</v>
      </c>
      <c r="H66" s="1149">
        <f>IFERROR(VLOOKUP(F66,BasePrix[],3,FALSE),0)*G66</f>
        <v>136.66999999999999</v>
      </c>
      <c r="I66" s="1146"/>
      <c r="J66" s="1150"/>
    </row>
    <row r="67" spans="1:10" ht="13.5" hidden="1" thickBot="1">
      <c r="A67" s="1189"/>
      <c r="B67" s="1154"/>
      <c r="C67" s="1159"/>
      <c r="D67" s="1154"/>
      <c r="E67" s="1171"/>
      <c r="F67" s="1156" t="s">
        <v>839</v>
      </c>
      <c r="G67" s="1190">
        <f>CEILING(G59*G40/G53,5)</f>
        <v>10</v>
      </c>
      <c r="H67" s="1158">
        <f>IFERROR(VLOOKUP(F67,BasePrix[],3,FALSE),0)*G67</f>
        <v>484.6</v>
      </c>
      <c r="I67" s="1154"/>
      <c r="J67" s="1159"/>
    </row>
    <row r="68" spans="1:10" hidden="1"/>
    <row r="69" spans="1:10" hidden="1">
      <c r="A69" s="1191" t="s">
        <v>841</v>
      </c>
      <c r="B69" s="1192" t="s">
        <v>842</v>
      </c>
      <c r="C69" s="1193">
        <f>SUBTOTAL(9,H13:H30,H60:H63)</f>
        <v>8261.7883999999995</v>
      </c>
    </row>
    <row r="70" spans="1:10" hidden="1">
      <c r="A70" s="1191"/>
      <c r="B70" s="1192" t="s">
        <v>843</v>
      </c>
      <c r="C70" s="1193">
        <f>SUBTOTAL(9,H31:H50,H64:H67)</f>
        <v>1655.1256800000001</v>
      </c>
    </row>
    <row r="71" spans="1:10" hidden="1">
      <c r="A71" s="1191"/>
      <c r="B71" s="1192" t="s">
        <v>341</v>
      </c>
      <c r="C71" s="1193">
        <f>SUBTOTAL(9,H51:H52)</f>
        <v>0</v>
      </c>
    </row>
    <row r="72" spans="1:10" hidden="1">
      <c r="A72" s="1191"/>
      <c r="B72" s="1192" t="s">
        <v>844</v>
      </c>
      <c r="C72" s="1193">
        <f>SUM(H13:H67)</f>
        <v>9916.9140800000005</v>
      </c>
    </row>
    <row r="73" spans="1:10" hidden="1"/>
    <row r="74" spans="1:10" hidden="1">
      <c r="A74" s="1194" t="s">
        <v>845</v>
      </c>
      <c r="B74" s="1194"/>
      <c r="C74" s="1195">
        <v>0.3</v>
      </c>
    </row>
    <row r="75" spans="1:10" ht="13.5" thickBot="1"/>
    <row r="76" spans="1:10">
      <c r="A76" s="1196" t="s">
        <v>846</v>
      </c>
      <c r="B76" s="1197" t="s">
        <v>842</v>
      </c>
      <c r="C76" s="1198" t="str">
        <f>IF(COUNTBLANK(C13:C57)=24,_xlfn.CONCAT(_xlfn.CEILING.MATH(C69/(1-$C$74),250),"€ - ",_xlfn.CEILING.MATH(C69/(1-$C$74)*1.1,250),"€"),"Valeur(s) manquante(s)")</f>
        <v>12000€ - 13000€</v>
      </c>
    </row>
    <row r="77" spans="1:10">
      <c r="A77" s="1199"/>
      <c r="B77" s="1200" t="s">
        <v>843</v>
      </c>
      <c r="C77" s="1201" t="str">
        <f>IF(COUNTBLANK(C13:C57)=24,_xlfn.CONCAT(_xlfn.CEILING.MATH(C70/(1-$C$74),250),"€ - ",_xlfn.CEILING.MATH(C70/(1-$C$74)*1.1,250),"€"),"Valeur(s) manquante(s)")</f>
        <v>2500€ - 2750€</v>
      </c>
    </row>
    <row r="78" spans="1:10">
      <c r="A78" s="1199"/>
      <c r="B78" s="1200" t="s">
        <v>341</v>
      </c>
      <c r="C78" s="1201" t="str">
        <f>IF(COUNTBLANK(C13:C57)=24,_xlfn.CONCAT(_xlfn.CEILING.MATH(C71/(1-$C$74),250),"€ - ",_xlfn.CEILING.MATH(C71/(1-$C$74)*1.1,250),"€"),"Valeur(s) manquante(s)")</f>
        <v>0€ - 0€</v>
      </c>
    </row>
    <row r="79" spans="1:10" ht="13.5" thickBot="1">
      <c r="A79" s="1202"/>
      <c r="B79" s="1203" t="s">
        <v>844</v>
      </c>
      <c r="C79" s="1204" t="str">
        <f>IF(COUNTBLANK(C13:C57)=24,_xlfn.CONCAT(_xlfn.CEILING.MATH(C69/(1-$C$74),250)+_xlfn.CEILING.MATH(C70/(1-$C$74),250)+_xlfn.CEILING.MATH(C71/(1-$C$74),250),"€ - ",(_xlfn.CEILING.MATH(C69/(1-$C$74),250)+_xlfn.CEILING.MATH(C70/(1-$C$74),250)+_xlfn.CEILING.MATH(C71/(1-$C$74),250))*1.1,"€"),"Valeur(s) manquante(s)")</f>
        <v>14500€ - 15950€</v>
      </c>
    </row>
    <row r="81" spans="1:3">
      <c r="A81" s="1061" t="s">
        <v>847</v>
      </c>
    </row>
    <row r="82" spans="1:3">
      <c r="B82" s="1205" t="s">
        <v>848</v>
      </c>
    </row>
    <row r="83" spans="1:3" ht="23.25" customHeight="1">
      <c r="B83" s="1206" t="s">
        <v>849</v>
      </c>
      <c r="C83" s="1206"/>
    </row>
    <row r="84" spans="1:3">
      <c r="B84" s="1205" t="s">
        <v>850</v>
      </c>
    </row>
    <row r="85" spans="1:3">
      <c r="B85" s="1205" t="s">
        <v>851</v>
      </c>
    </row>
    <row r="86" spans="1:3">
      <c r="B86" s="1205"/>
    </row>
    <row r="87" spans="1:3">
      <c r="A87" s="1061" t="s">
        <v>852</v>
      </c>
    </row>
    <row r="88" spans="1:3">
      <c r="A88" s="1207" t="s">
        <v>853</v>
      </c>
      <c r="B88" s="1207"/>
      <c r="C88" s="1207"/>
    </row>
    <row r="89" spans="1:3">
      <c r="A89" s="1207"/>
      <c r="B89" s="1207"/>
      <c r="C89" s="1207"/>
    </row>
  </sheetData>
  <sheetProtection algorithmName="SHA-512" hashValue="DRgTJgzlngWyHu28pCsfWiVBuBXoLvP2GchGWUVP9kj8Xxp6rZdy87if++9AvsVjqPVlxuNQjXvdjVSDFbqLPQ==" saltValue="uKk2Mwjc7xnKyVYCXnBnfg==" spinCount="100000" sheet="1" objects="1" scenarios="1"/>
  <mergeCells count="13">
    <mergeCell ref="A88:C89"/>
    <mergeCell ref="A54:A57"/>
    <mergeCell ref="A60:A63"/>
    <mergeCell ref="A64:A67"/>
    <mergeCell ref="A69:A72"/>
    <mergeCell ref="A76:A79"/>
    <mergeCell ref="B83:C83"/>
    <mergeCell ref="A1:J3"/>
    <mergeCell ref="A5:A11"/>
    <mergeCell ref="A13:A21"/>
    <mergeCell ref="A22:A30"/>
    <mergeCell ref="A31:A40"/>
    <mergeCell ref="A41:A50"/>
  </mergeCells>
  <dataValidations disablePrompts="1" count="2">
    <dataValidation type="list" allowBlank="1" showInputMessage="1" showErrorMessage="1" sqref="C14" xr:uid="{3FEEEDC1-0C85-4AAD-992A-2E94677EA0F8}">
      <formula1>L_Hauteur</formula1>
    </dataValidation>
    <dataValidation type="list" allowBlank="1" showInputMessage="1" showErrorMessage="1" sqref="C51 C56:C57" xr:uid="{86CB5D1D-7A10-4AEA-9258-D2DD4E02C762}">
      <formula1>L_Vrai_Faux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C3BA555-D02A-4ACC-A070-6F79323307C0}">
          <x14:formula1>
            <xm:f>Information!$AE$2:$AE$12</xm:f>
          </x14:formula1>
          <xm:sqref>C15 C32 C42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20263-A922-43CA-96C1-733475D2F94C}">
  <sheetPr codeName="Feuil2">
    <tabColor theme="4" tint="0.59999389629810485"/>
    <pageSetUpPr fitToPage="1"/>
  </sheetPr>
  <dimension ref="A1:AO48"/>
  <sheetViews>
    <sheetView view="pageBreakPreview" zoomScale="130" zoomScaleNormal="100" zoomScaleSheetLayoutView="130" workbookViewId="0">
      <selection activeCell="Z8" sqref="Z8:AI8"/>
    </sheetView>
  </sheetViews>
  <sheetFormatPr baseColWidth="10" defaultColWidth="11.42578125" defaultRowHeight="15"/>
  <cols>
    <col min="1" max="47" width="3.28515625" customWidth="1"/>
  </cols>
  <sheetData>
    <row r="1" spans="6:35" ht="14.1" customHeight="1">
      <c r="U1" s="357" t="s">
        <v>221</v>
      </c>
      <c r="V1" s="357"/>
      <c r="W1" s="357"/>
      <c r="X1" s="357"/>
      <c r="Y1" s="357"/>
      <c r="Z1" s="357"/>
      <c r="AA1" s="357"/>
      <c r="AB1" s="357"/>
      <c r="AC1" s="357"/>
      <c r="AD1" s="357"/>
      <c r="AE1" s="357"/>
      <c r="AF1" s="357"/>
      <c r="AG1" s="357"/>
      <c r="AH1" s="357"/>
      <c r="AI1" s="357"/>
    </row>
    <row r="2" spans="6:35" ht="14.1" customHeight="1">
      <c r="U2" s="358"/>
      <c r="V2" s="358"/>
      <c r="W2" s="358"/>
      <c r="X2" s="358"/>
      <c r="Y2" s="358"/>
      <c r="Z2" s="358"/>
      <c r="AA2" s="358"/>
      <c r="AB2" s="358"/>
      <c r="AC2" s="358"/>
      <c r="AD2" s="358"/>
      <c r="AE2" s="358"/>
      <c r="AF2" s="358"/>
      <c r="AG2" s="358"/>
      <c r="AH2" s="358"/>
      <c r="AI2" s="358"/>
    </row>
    <row r="3" spans="6:35" ht="14.1" customHeight="1">
      <c r="U3" s="358"/>
      <c r="V3" s="358"/>
      <c r="W3" s="358"/>
      <c r="X3" s="358"/>
      <c r="Y3" s="358"/>
      <c r="Z3" s="358"/>
      <c r="AA3" s="358"/>
      <c r="AB3" s="358"/>
      <c r="AC3" s="358"/>
      <c r="AD3" s="358"/>
      <c r="AE3" s="358"/>
      <c r="AF3" s="358"/>
      <c r="AG3" s="358"/>
      <c r="AH3" s="358"/>
      <c r="AI3" s="358"/>
    </row>
    <row r="4" spans="6:35" ht="14.1" customHeight="1" thickBot="1">
      <c r="U4" s="359"/>
      <c r="V4" s="359"/>
      <c r="W4" s="359"/>
      <c r="X4" s="359"/>
      <c r="Y4" s="359"/>
      <c r="Z4" s="359"/>
      <c r="AA4" s="359"/>
      <c r="AB4" s="359"/>
      <c r="AC4" s="359"/>
      <c r="AD4" s="359"/>
      <c r="AE4" s="359"/>
      <c r="AF4" s="359"/>
      <c r="AG4" s="359"/>
      <c r="AH4" s="359"/>
      <c r="AI4" s="359"/>
    </row>
    <row r="5" spans="6:35" ht="14.1" customHeight="1">
      <c r="F5" s="360" t="s">
        <v>1</v>
      </c>
      <c r="G5" s="361"/>
      <c r="H5" s="361"/>
      <c r="I5" s="361"/>
      <c r="J5" s="361"/>
      <c r="K5" s="361"/>
      <c r="L5" s="361"/>
      <c r="M5" s="361"/>
      <c r="N5" s="361"/>
      <c r="O5" s="361"/>
      <c r="P5" s="361"/>
      <c r="Q5" s="361"/>
      <c r="R5" s="361"/>
      <c r="S5" s="361"/>
      <c r="T5" s="362"/>
      <c r="U5" s="275" t="s">
        <v>2</v>
      </c>
      <c r="V5" s="276"/>
      <c r="W5" s="276"/>
      <c r="X5" s="276"/>
      <c r="Y5" s="277"/>
      <c r="Z5" s="345">
        <f>Client</f>
        <v>0</v>
      </c>
      <c r="AA5" s="346"/>
      <c r="AB5" s="346"/>
      <c r="AC5" s="346"/>
      <c r="AD5" s="346"/>
      <c r="AE5" s="346"/>
      <c r="AF5" s="346"/>
      <c r="AG5" s="346"/>
      <c r="AH5" s="346"/>
      <c r="AI5" s="347"/>
    </row>
    <row r="6" spans="6:35" ht="14.1" customHeight="1" thickBot="1">
      <c r="F6" s="363"/>
      <c r="G6" s="364"/>
      <c r="H6" s="364"/>
      <c r="I6" s="364"/>
      <c r="J6" s="364"/>
      <c r="K6" s="364"/>
      <c r="L6" s="364"/>
      <c r="M6" s="364"/>
      <c r="N6" s="364"/>
      <c r="O6" s="364"/>
      <c r="P6" s="364"/>
      <c r="Q6" s="364"/>
      <c r="R6" s="364"/>
      <c r="S6" s="364"/>
      <c r="T6" s="365"/>
      <c r="U6" s="151" t="s">
        <v>3</v>
      </c>
      <c r="V6" s="152"/>
      <c r="W6" s="152"/>
      <c r="X6" s="152"/>
      <c r="Y6" s="153"/>
      <c r="Z6" s="348">
        <f>Num_Devis</f>
        <v>0</v>
      </c>
      <c r="AA6" s="349"/>
      <c r="AB6" s="349"/>
      <c r="AC6" s="349"/>
      <c r="AD6" s="349"/>
      <c r="AE6" s="349"/>
      <c r="AF6" s="349"/>
      <c r="AG6" s="349"/>
      <c r="AH6" s="349"/>
      <c r="AI6" s="350"/>
    </row>
    <row r="7" spans="6:35" ht="14.1" customHeight="1">
      <c r="F7" s="203" t="s">
        <v>4</v>
      </c>
      <c r="G7" s="204"/>
      <c r="H7" s="204"/>
      <c r="I7" s="204"/>
      <c r="J7" s="204"/>
      <c r="K7" s="204"/>
      <c r="L7" s="509">
        <f>Commercial</f>
        <v>0</v>
      </c>
      <c r="M7" s="509"/>
      <c r="N7" s="509"/>
      <c r="O7" s="509"/>
      <c r="P7" s="509"/>
      <c r="Q7" s="509"/>
      <c r="R7" s="509"/>
      <c r="S7" s="509"/>
      <c r="T7" s="510"/>
      <c r="U7" s="149" t="s">
        <v>5</v>
      </c>
      <c r="V7" s="150"/>
      <c r="W7" s="150"/>
      <c r="X7" s="150"/>
      <c r="Y7" s="207"/>
      <c r="Z7" s="348">
        <f>Code_Client_Divalto</f>
        <v>0</v>
      </c>
      <c r="AA7" s="349"/>
      <c r="AB7" s="349"/>
      <c r="AC7" s="349"/>
      <c r="AD7" s="349"/>
      <c r="AE7" s="349"/>
      <c r="AF7" s="349"/>
      <c r="AG7" s="349"/>
      <c r="AH7" s="349"/>
      <c r="AI7" s="350"/>
    </row>
    <row r="8" spans="6:35" ht="14.1" customHeight="1">
      <c r="F8" s="203" t="s">
        <v>6</v>
      </c>
      <c r="G8" s="204"/>
      <c r="H8" s="204"/>
      <c r="I8" s="204"/>
      <c r="J8" s="204"/>
      <c r="K8" s="204"/>
      <c r="L8" s="348">
        <f>ICA</f>
        <v>0</v>
      </c>
      <c r="M8" s="349"/>
      <c r="N8" s="349"/>
      <c r="O8" s="349"/>
      <c r="P8" s="349"/>
      <c r="Q8" s="349"/>
      <c r="R8" s="349"/>
      <c r="S8" s="349"/>
      <c r="T8" s="350"/>
      <c r="U8" s="151" t="s">
        <v>7</v>
      </c>
      <c r="V8" s="152"/>
      <c r="W8" s="152"/>
      <c r="X8" s="152"/>
      <c r="Y8" s="153"/>
      <c r="Z8" s="511">
        <f>Affaire_Div</f>
        <v>0</v>
      </c>
      <c r="AA8" s="511"/>
      <c r="AB8" s="511"/>
      <c r="AC8" s="511"/>
      <c r="AD8" s="511"/>
      <c r="AE8" s="511"/>
      <c r="AF8" s="511"/>
      <c r="AG8" s="511"/>
      <c r="AH8" s="511"/>
      <c r="AI8" s="512"/>
    </row>
    <row r="9" spans="6:35" ht="14.1" customHeight="1" thickBot="1">
      <c r="F9" s="274" t="s">
        <v>8</v>
      </c>
      <c r="G9" s="262"/>
      <c r="H9" s="262"/>
      <c r="I9" s="262"/>
      <c r="J9" s="262"/>
      <c r="K9" s="262"/>
      <c r="L9" s="513">
        <f>ChargéAF</f>
        <v>0</v>
      </c>
      <c r="M9" s="513"/>
      <c r="N9" s="513"/>
      <c r="O9" s="513"/>
      <c r="P9" s="513"/>
      <c r="Q9" s="513"/>
      <c r="R9" s="513"/>
      <c r="S9" s="513"/>
      <c r="T9" s="514"/>
      <c r="U9" s="515" t="s">
        <v>9</v>
      </c>
      <c r="V9" s="516"/>
      <c r="W9" s="516"/>
      <c r="X9" s="516"/>
      <c r="Y9" s="517"/>
      <c r="Z9" s="513">
        <f>Projet_SF</f>
        <v>0</v>
      </c>
      <c r="AA9" s="513"/>
      <c r="AB9" s="513"/>
      <c r="AC9" s="513"/>
      <c r="AD9" s="513"/>
      <c r="AE9" s="513"/>
      <c r="AF9" s="513"/>
      <c r="AG9" s="513"/>
      <c r="AH9" s="513"/>
      <c r="AI9" s="514"/>
    </row>
    <row r="10" spans="6:35" ht="15.75" thickBot="1"/>
    <row r="11" spans="6:35" ht="20.100000000000001" customHeight="1">
      <c r="F11" s="495" t="s">
        <v>222</v>
      </c>
      <c r="G11" s="496"/>
      <c r="H11" s="496"/>
      <c r="I11" s="496"/>
      <c r="J11" s="496"/>
      <c r="K11" s="496"/>
      <c r="L11" s="496"/>
      <c r="M11" s="496"/>
      <c r="N11" s="496"/>
      <c r="O11" s="496"/>
      <c r="P11" s="496"/>
      <c r="Q11" s="496"/>
      <c r="R11" s="496"/>
      <c r="S11" s="496"/>
      <c r="T11" s="496"/>
      <c r="U11" s="496"/>
      <c r="V11" s="496"/>
      <c r="W11" s="496"/>
      <c r="X11" s="496"/>
      <c r="Y11" s="496"/>
      <c r="Z11" s="496"/>
      <c r="AA11" s="496"/>
      <c r="AB11" s="496"/>
      <c r="AC11" s="496"/>
      <c r="AD11" s="496"/>
      <c r="AE11" s="496"/>
      <c r="AF11" s="496"/>
      <c r="AG11" s="496"/>
      <c r="AH11" s="496"/>
      <c r="AI11" s="497"/>
    </row>
    <row r="12" spans="6:35" ht="20.100000000000001" customHeight="1" thickBot="1">
      <c r="F12" s="498"/>
      <c r="G12" s="499"/>
      <c r="H12" s="499"/>
      <c r="I12" s="499"/>
      <c r="J12" s="499"/>
      <c r="K12" s="499"/>
      <c r="L12" s="499"/>
      <c r="M12" s="499"/>
      <c r="N12" s="499"/>
      <c r="O12" s="499"/>
      <c r="P12" s="499"/>
      <c r="Q12" s="499"/>
      <c r="R12" s="499"/>
      <c r="S12" s="499"/>
      <c r="T12" s="499"/>
      <c r="U12" s="499"/>
      <c r="V12" s="499"/>
      <c r="W12" s="499"/>
      <c r="X12" s="499"/>
      <c r="Y12" s="499"/>
      <c r="Z12" s="499"/>
      <c r="AA12" s="499"/>
      <c r="AB12" s="499"/>
      <c r="AC12" s="499"/>
      <c r="AD12" s="499"/>
      <c r="AE12" s="499"/>
      <c r="AF12" s="499"/>
      <c r="AG12" s="499"/>
      <c r="AH12" s="499"/>
      <c r="AI12" s="500"/>
    </row>
    <row r="13" spans="6:35" ht="30" customHeight="1">
      <c r="F13" s="501" t="s">
        <v>223</v>
      </c>
      <c r="G13" s="502"/>
      <c r="H13" s="502"/>
      <c r="I13" s="502"/>
      <c r="J13" s="502"/>
      <c r="K13" s="502"/>
      <c r="L13" s="502"/>
      <c r="M13" s="503"/>
      <c r="N13" s="503"/>
      <c r="O13" s="503"/>
      <c r="P13" s="503"/>
      <c r="Q13" s="503"/>
      <c r="R13" s="504" t="s">
        <v>224</v>
      </c>
      <c r="S13" s="504"/>
      <c r="T13" s="504"/>
      <c r="U13" s="502" t="s">
        <v>225</v>
      </c>
      <c r="V13" s="502"/>
      <c r="W13" s="502"/>
      <c r="X13" s="502"/>
      <c r="Y13" s="502"/>
      <c r="Z13" s="502"/>
      <c r="AA13" s="502"/>
      <c r="AB13" s="503"/>
      <c r="AC13" s="503"/>
      <c r="AD13" s="503"/>
      <c r="AE13" s="503"/>
      <c r="AF13" s="503"/>
      <c r="AG13" s="504" t="s">
        <v>226</v>
      </c>
      <c r="AH13" s="504" t="s">
        <v>226</v>
      </c>
      <c r="AI13" s="505"/>
    </row>
    <row r="14" spans="6:35" ht="30" customHeight="1">
      <c r="F14" s="485" t="s">
        <v>227</v>
      </c>
      <c r="G14" s="486"/>
      <c r="H14" s="486"/>
      <c r="I14" s="486"/>
      <c r="J14" s="486"/>
      <c r="K14" s="486"/>
      <c r="L14" s="486"/>
      <c r="M14" s="506"/>
      <c r="N14" s="507"/>
      <c r="O14" s="507"/>
      <c r="P14" s="507"/>
      <c r="Q14" s="507"/>
      <c r="R14" s="507"/>
      <c r="S14" s="507"/>
      <c r="T14" s="508"/>
      <c r="U14" s="486" t="s">
        <v>228</v>
      </c>
      <c r="V14" s="486"/>
      <c r="W14" s="486"/>
      <c r="X14" s="486"/>
      <c r="Y14" s="486"/>
      <c r="Z14" s="486"/>
      <c r="AA14" s="486"/>
      <c r="AB14" s="490"/>
      <c r="AC14" s="490"/>
      <c r="AD14" s="490"/>
      <c r="AE14" s="490"/>
      <c r="AF14" s="490"/>
      <c r="AG14" s="483" t="s">
        <v>226</v>
      </c>
      <c r="AH14" s="483"/>
      <c r="AI14" s="484"/>
    </row>
    <row r="15" spans="6:35" ht="30" customHeight="1">
      <c r="F15" s="485" t="s">
        <v>229</v>
      </c>
      <c r="G15" s="486"/>
      <c r="H15" s="486"/>
      <c r="I15" s="486"/>
      <c r="J15" s="486"/>
      <c r="K15" s="486"/>
      <c r="L15" s="486"/>
      <c r="M15" s="490"/>
      <c r="N15" s="490"/>
      <c r="O15" s="490"/>
      <c r="P15" s="490"/>
      <c r="Q15" s="490"/>
      <c r="R15" s="483" t="s">
        <v>110</v>
      </c>
      <c r="S15" s="483"/>
      <c r="T15" s="483"/>
      <c r="U15" s="486" t="s">
        <v>230</v>
      </c>
      <c r="V15" s="486"/>
      <c r="W15" s="486"/>
      <c r="X15" s="486"/>
      <c r="Y15" s="486"/>
      <c r="Z15" s="486"/>
      <c r="AA15" s="486"/>
      <c r="AB15" s="490"/>
      <c r="AC15" s="490"/>
      <c r="AD15" s="490"/>
      <c r="AE15" s="490"/>
      <c r="AF15" s="490"/>
      <c r="AG15" s="483" t="s">
        <v>226</v>
      </c>
      <c r="AH15" s="483"/>
      <c r="AI15" s="484"/>
    </row>
    <row r="16" spans="6:35" ht="30" customHeight="1">
      <c r="F16" s="485" t="s">
        <v>231</v>
      </c>
      <c r="G16" s="486"/>
      <c r="H16" s="486"/>
      <c r="I16" s="486"/>
      <c r="J16" s="486"/>
      <c r="K16" s="486"/>
      <c r="L16" s="486"/>
      <c r="M16" s="490"/>
      <c r="N16" s="490"/>
      <c r="O16" s="490"/>
      <c r="P16" s="490"/>
      <c r="Q16" s="490"/>
      <c r="R16" s="483" t="s">
        <v>232</v>
      </c>
      <c r="S16" s="483"/>
      <c r="T16" s="483"/>
      <c r="U16" s="486" t="s">
        <v>233</v>
      </c>
      <c r="V16" s="486"/>
      <c r="W16" s="486"/>
      <c r="X16" s="486"/>
      <c r="Y16" s="486"/>
      <c r="Z16" s="486"/>
      <c r="AA16" s="486"/>
      <c r="AB16" s="490"/>
      <c r="AC16" s="490"/>
      <c r="AD16" s="490"/>
      <c r="AE16" s="490"/>
      <c r="AF16" s="490"/>
      <c r="AG16" s="483" t="s">
        <v>234</v>
      </c>
      <c r="AH16" s="483"/>
      <c r="AI16" s="484"/>
    </row>
    <row r="17" spans="1:41" ht="30" customHeight="1">
      <c r="F17" s="485" t="s">
        <v>235</v>
      </c>
      <c r="G17" s="486"/>
      <c r="H17" s="486"/>
      <c r="I17" s="486"/>
      <c r="J17" s="486"/>
      <c r="K17" s="486"/>
      <c r="L17" s="486"/>
      <c r="M17" s="490"/>
      <c r="N17" s="490"/>
      <c r="O17" s="490"/>
      <c r="P17" s="490"/>
      <c r="Q17" s="490"/>
      <c r="R17" s="483" t="s">
        <v>232</v>
      </c>
      <c r="S17" s="483"/>
      <c r="T17" s="483"/>
      <c r="U17" s="486" t="s">
        <v>236</v>
      </c>
      <c r="V17" s="486"/>
      <c r="W17" s="486"/>
      <c r="X17" s="486"/>
      <c r="Y17" s="486"/>
      <c r="Z17" s="486"/>
      <c r="AA17" s="486"/>
      <c r="AB17" s="490"/>
      <c r="AC17" s="490"/>
      <c r="AD17" s="490"/>
      <c r="AE17" s="490"/>
      <c r="AF17" s="490"/>
      <c r="AG17" s="483" t="s">
        <v>226</v>
      </c>
      <c r="AH17" s="483"/>
      <c r="AI17" s="484"/>
    </row>
    <row r="18" spans="1:41" ht="30" customHeight="1">
      <c r="F18" s="485" t="s">
        <v>237</v>
      </c>
      <c r="G18" s="486"/>
      <c r="H18" s="486"/>
      <c r="I18" s="486"/>
      <c r="J18" s="486"/>
      <c r="K18" s="486"/>
      <c r="L18" s="486"/>
      <c r="M18" s="490"/>
      <c r="N18" s="490"/>
      <c r="O18" s="490"/>
      <c r="P18" s="490"/>
      <c r="Q18" s="490"/>
      <c r="R18" s="483" t="s">
        <v>226</v>
      </c>
      <c r="S18" s="483"/>
      <c r="T18" s="483"/>
      <c r="U18" s="486" t="s">
        <v>238</v>
      </c>
      <c r="V18" s="486"/>
      <c r="W18" s="486"/>
      <c r="X18" s="486"/>
      <c r="Y18" s="486"/>
      <c r="Z18" s="486"/>
      <c r="AA18" s="486"/>
      <c r="AB18" s="490"/>
      <c r="AC18" s="490"/>
      <c r="AD18" s="490"/>
      <c r="AE18" s="490"/>
      <c r="AF18" s="490"/>
      <c r="AG18" s="483" t="s">
        <v>226</v>
      </c>
      <c r="AH18" s="483"/>
      <c r="AI18" s="484"/>
    </row>
    <row r="19" spans="1:41" ht="30" customHeight="1">
      <c r="F19" s="485" t="s">
        <v>239</v>
      </c>
      <c r="G19" s="486"/>
      <c r="H19" s="486"/>
      <c r="I19" s="486"/>
      <c r="J19" s="486"/>
      <c r="K19" s="486"/>
      <c r="L19" s="486"/>
      <c r="M19" s="490"/>
      <c r="N19" s="490"/>
      <c r="O19" s="490"/>
      <c r="P19" s="490"/>
      <c r="Q19" s="490"/>
      <c r="R19" s="483" t="s">
        <v>232</v>
      </c>
      <c r="S19" s="483"/>
      <c r="T19" s="483"/>
      <c r="U19" s="486" t="s">
        <v>240</v>
      </c>
      <c r="V19" s="486"/>
      <c r="W19" s="486"/>
      <c r="X19" s="486"/>
      <c r="Y19" s="486"/>
      <c r="Z19" s="486"/>
      <c r="AA19" s="486"/>
      <c r="AB19" s="490"/>
      <c r="AC19" s="490"/>
      <c r="AD19" s="490"/>
      <c r="AE19" s="490"/>
      <c r="AF19" s="490"/>
      <c r="AG19" s="486" t="s">
        <v>241</v>
      </c>
      <c r="AH19" s="486"/>
      <c r="AI19" s="494"/>
    </row>
    <row r="20" spans="1:41" ht="30" customHeight="1">
      <c r="F20" s="485" t="s">
        <v>242</v>
      </c>
      <c r="G20" s="486"/>
      <c r="H20" s="486"/>
      <c r="I20" s="486"/>
      <c r="J20" s="486"/>
      <c r="K20" s="486"/>
      <c r="L20" s="486"/>
      <c r="M20" s="490"/>
      <c r="N20" s="490"/>
      <c r="O20" s="490"/>
      <c r="P20" s="490"/>
      <c r="Q20" s="490"/>
      <c r="R20" s="483" t="s">
        <v>232</v>
      </c>
      <c r="S20" s="483"/>
      <c r="T20" s="483"/>
      <c r="U20" s="486" t="s">
        <v>243</v>
      </c>
      <c r="V20" s="486"/>
      <c r="W20" s="486"/>
      <c r="X20" s="486"/>
      <c r="Y20" s="486"/>
      <c r="Z20" s="486"/>
      <c r="AA20" s="486"/>
      <c r="AB20" s="490"/>
      <c r="AC20" s="490"/>
      <c r="AD20" s="490"/>
      <c r="AE20" s="490"/>
      <c r="AF20" s="490"/>
      <c r="AG20" s="483" t="s">
        <v>244</v>
      </c>
      <c r="AH20" s="483"/>
      <c r="AI20" s="484"/>
    </row>
    <row r="21" spans="1:41" ht="30" customHeight="1">
      <c r="F21" s="485" t="s">
        <v>245</v>
      </c>
      <c r="G21" s="486"/>
      <c r="H21" s="486"/>
      <c r="I21" s="486"/>
      <c r="J21" s="486"/>
      <c r="K21" s="486"/>
      <c r="L21" s="486"/>
      <c r="M21" s="490"/>
      <c r="N21" s="490"/>
      <c r="O21" s="490"/>
      <c r="P21" s="490"/>
      <c r="Q21" s="490"/>
      <c r="R21" s="483" t="s">
        <v>226</v>
      </c>
      <c r="S21" s="483"/>
      <c r="T21" s="483"/>
      <c r="U21" s="486" t="s">
        <v>246</v>
      </c>
      <c r="V21" s="486"/>
      <c r="W21" s="486"/>
      <c r="X21" s="486"/>
      <c r="Y21" s="486"/>
      <c r="Z21" s="486"/>
      <c r="AA21" s="486"/>
      <c r="AB21" s="490"/>
      <c r="AC21" s="490"/>
      <c r="AD21" s="490"/>
      <c r="AE21" s="490"/>
      <c r="AF21" s="490"/>
      <c r="AG21" s="483" t="s">
        <v>247</v>
      </c>
      <c r="AH21" s="483"/>
      <c r="AI21" s="484"/>
    </row>
    <row r="22" spans="1:41" ht="30" customHeight="1">
      <c r="F22" s="485" t="s">
        <v>248</v>
      </c>
      <c r="G22" s="486"/>
      <c r="H22" s="486"/>
      <c r="I22" s="486"/>
      <c r="J22" s="486"/>
      <c r="K22" s="486"/>
      <c r="L22" s="486"/>
      <c r="M22" s="487"/>
      <c r="N22" s="488"/>
      <c r="O22" s="488"/>
      <c r="P22" s="488"/>
      <c r="Q22" s="488"/>
      <c r="R22" s="488"/>
      <c r="S22" s="488"/>
      <c r="T22" s="489"/>
      <c r="U22" s="486" t="s">
        <v>249</v>
      </c>
      <c r="V22" s="486"/>
      <c r="W22" s="486"/>
      <c r="X22" s="486"/>
      <c r="Y22" s="486"/>
      <c r="Z22" s="486"/>
      <c r="AA22" s="486"/>
      <c r="AB22" s="491"/>
      <c r="AC22" s="492"/>
      <c r="AD22" s="492"/>
      <c r="AE22" s="492"/>
      <c r="AF22" s="492"/>
      <c r="AG22" s="492"/>
      <c r="AH22" s="492"/>
      <c r="AI22" s="493"/>
    </row>
    <row r="23" spans="1:41" ht="30" customHeight="1" thickBot="1">
      <c r="F23" s="469" t="s">
        <v>250</v>
      </c>
      <c r="G23" s="470"/>
      <c r="H23" s="470"/>
      <c r="I23" s="470"/>
      <c r="J23" s="470"/>
      <c r="K23" s="470"/>
      <c r="L23" s="470"/>
      <c r="M23" s="471"/>
      <c r="N23" s="471"/>
      <c r="O23" s="471"/>
      <c r="P23" s="471"/>
      <c r="Q23" s="471"/>
      <c r="R23" s="467" t="s">
        <v>251</v>
      </c>
      <c r="S23" s="467"/>
      <c r="T23" s="467"/>
      <c r="U23" s="470" t="s">
        <v>252</v>
      </c>
      <c r="V23" s="470"/>
      <c r="W23" s="470"/>
      <c r="X23" s="470"/>
      <c r="Y23" s="470"/>
      <c r="Z23" s="470"/>
      <c r="AA23" s="470"/>
      <c r="AB23" s="471"/>
      <c r="AC23" s="471"/>
      <c r="AD23" s="471"/>
      <c r="AE23" s="471"/>
      <c r="AF23" s="471"/>
      <c r="AG23" s="467" t="s">
        <v>226</v>
      </c>
      <c r="AH23" s="467"/>
      <c r="AI23" s="468"/>
    </row>
    <row r="24" spans="1:41" ht="21" customHeight="1">
      <c r="F24" s="40" t="s">
        <v>253</v>
      </c>
      <c r="G24" s="41"/>
      <c r="H24" s="41"/>
      <c r="I24" s="41"/>
      <c r="J24" s="41"/>
      <c r="K24" s="41"/>
      <c r="L24" s="41"/>
      <c r="M24" s="41"/>
      <c r="N24" s="41"/>
      <c r="O24" s="41"/>
      <c r="P24" s="41"/>
      <c r="Q24" s="41"/>
      <c r="R24" s="41"/>
      <c r="S24" s="41"/>
      <c r="T24" s="41"/>
      <c r="U24" s="41"/>
      <c r="V24" s="41"/>
      <c r="W24" s="41"/>
      <c r="X24" s="41"/>
      <c r="Y24" s="41"/>
      <c r="Z24" s="41"/>
      <c r="AA24" s="41"/>
      <c r="AB24" s="41"/>
      <c r="AC24" s="41"/>
      <c r="AD24" s="41"/>
      <c r="AE24" s="41"/>
      <c r="AF24" s="41"/>
      <c r="AG24" s="41"/>
      <c r="AH24" s="41"/>
      <c r="AI24" s="42"/>
    </row>
    <row r="25" spans="1:41" ht="45" customHeight="1" thickBot="1">
      <c r="F25" s="472"/>
      <c r="G25" s="473"/>
      <c r="H25" s="473"/>
      <c r="I25" s="473"/>
      <c r="J25" s="473"/>
      <c r="K25" s="473"/>
      <c r="L25" s="473"/>
      <c r="M25" s="473"/>
      <c r="N25" s="473"/>
      <c r="O25" s="473"/>
      <c r="P25" s="473"/>
      <c r="Q25" s="473"/>
      <c r="R25" s="473"/>
      <c r="S25" s="473"/>
      <c r="T25" s="473"/>
      <c r="U25" s="473"/>
      <c r="V25" s="473"/>
      <c r="W25" s="473"/>
      <c r="X25" s="473"/>
      <c r="Y25" s="473"/>
      <c r="Z25" s="473"/>
      <c r="AA25" s="473"/>
      <c r="AB25" s="473"/>
      <c r="AC25" s="473"/>
      <c r="AD25" s="473"/>
      <c r="AE25" s="473"/>
      <c r="AF25" s="473"/>
      <c r="AG25" s="473"/>
      <c r="AH25" s="473"/>
      <c r="AI25" s="474"/>
    </row>
    <row r="27" spans="1:41" ht="15.75" thickBot="1"/>
    <row r="28" spans="1:41">
      <c r="A28" s="47"/>
      <c r="B28" s="518" t="s">
        <v>254</v>
      </c>
      <c r="C28" s="520" t="s">
        <v>255</v>
      </c>
      <c r="D28" s="521"/>
      <c r="E28" s="521"/>
      <c r="F28" s="520" t="s">
        <v>256</v>
      </c>
      <c r="G28" s="524"/>
      <c r="H28" s="526" t="s">
        <v>257</v>
      </c>
      <c r="I28" s="527"/>
      <c r="J28" s="527"/>
      <c r="K28" s="527"/>
      <c r="L28" s="527"/>
      <c r="M28" s="527"/>
      <c r="N28" s="527"/>
      <c r="O28" s="527"/>
      <c r="P28" s="527"/>
      <c r="Q28" s="527"/>
      <c r="R28" s="527"/>
      <c r="S28" s="527"/>
      <c r="T28" s="527"/>
      <c r="U28" s="527"/>
      <c r="V28" s="527"/>
      <c r="W28" s="527"/>
      <c r="X28" s="527"/>
      <c r="Y28" s="527"/>
      <c r="Z28" s="527"/>
      <c r="AA28" s="527"/>
      <c r="AB28" s="527"/>
      <c r="AC28" s="527"/>
      <c r="AD28" s="527"/>
      <c r="AE28" s="527"/>
      <c r="AF28" s="527"/>
      <c r="AG28" s="527"/>
      <c r="AH28" s="527"/>
      <c r="AI28" s="527"/>
      <c r="AJ28" s="48"/>
      <c r="AK28" s="48"/>
      <c r="AL28" s="48"/>
      <c r="AM28" s="48"/>
      <c r="AN28" s="48"/>
      <c r="AO28" s="49"/>
    </row>
    <row r="29" spans="1:41" ht="15.75" thickBot="1">
      <c r="A29" s="50"/>
      <c r="B29" s="519"/>
      <c r="C29" s="522"/>
      <c r="D29" s="523"/>
      <c r="E29" s="523"/>
      <c r="F29" s="522"/>
      <c r="G29" s="525"/>
      <c r="H29" s="528"/>
      <c r="I29" s="529"/>
      <c r="J29" s="529"/>
      <c r="K29" s="529"/>
      <c r="L29" s="529"/>
      <c r="M29" s="529"/>
      <c r="N29" s="529"/>
      <c r="O29" s="529"/>
      <c r="P29" s="529"/>
      <c r="Q29" s="529"/>
      <c r="R29" s="529"/>
      <c r="S29" s="529"/>
      <c r="T29" s="529"/>
      <c r="U29" s="529"/>
      <c r="V29" s="529"/>
      <c r="W29" s="529"/>
      <c r="X29" s="529"/>
      <c r="Y29" s="529"/>
      <c r="Z29" s="529"/>
      <c r="AA29" s="529"/>
      <c r="AB29" s="529"/>
      <c r="AC29" s="529"/>
      <c r="AD29" s="529"/>
      <c r="AE29" s="529"/>
      <c r="AF29" s="529"/>
      <c r="AG29" s="529"/>
      <c r="AH29" s="529"/>
      <c r="AI29" s="529"/>
      <c r="AJ29" s="51"/>
      <c r="AK29" s="51"/>
      <c r="AL29" s="51"/>
      <c r="AM29" s="51"/>
      <c r="AN29" s="51"/>
      <c r="AO29" s="52"/>
    </row>
    <row r="30" spans="1:41" ht="15" customHeight="1">
      <c r="A30" s="423" t="s">
        <v>258</v>
      </c>
      <c r="B30" s="53">
        <v>1</v>
      </c>
      <c r="C30" s="427"/>
      <c r="D30" s="418"/>
      <c r="E30" s="413"/>
      <c r="F30" s="427"/>
      <c r="G30" s="419"/>
      <c r="H30" s="452" t="s">
        <v>259</v>
      </c>
      <c r="I30" s="453"/>
      <c r="J30" s="453"/>
      <c r="K30" s="413"/>
      <c r="L30" s="414"/>
      <c r="M30" s="430"/>
      <c r="N30" s="454" t="s">
        <v>260</v>
      </c>
      <c r="O30" s="455"/>
      <c r="P30" s="456"/>
      <c r="Q30" s="413"/>
      <c r="R30" s="414"/>
      <c r="S30" s="414"/>
      <c r="T30" s="430"/>
      <c r="U30" s="454" t="s">
        <v>261</v>
      </c>
      <c r="V30" s="455"/>
      <c r="W30" s="456"/>
      <c r="X30" s="530"/>
      <c r="Y30" s="531"/>
      <c r="Z30" s="7" t="s">
        <v>262</v>
      </c>
      <c r="AA30" s="62" t="s">
        <v>263</v>
      </c>
      <c r="AB30" s="461"/>
      <c r="AC30" s="462"/>
      <c r="AD30" s="16" t="s">
        <v>264</v>
      </c>
      <c r="AE30" s="417" t="s">
        <v>265</v>
      </c>
      <c r="AF30" s="417"/>
      <c r="AG30" s="417"/>
      <c r="AH30" s="413"/>
      <c r="AI30" s="414"/>
      <c r="AJ30" s="430"/>
      <c r="AK30" s="454" t="s">
        <v>266</v>
      </c>
      <c r="AL30" s="456"/>
      <c r="AM30" s="418"/>
      <c r="AN30" s="418"/>
      <c r="AO30" s="419"/>
    </row>
    <row r="31" spans="1:41">
      <c r="A31" s="424"/>
      <c r="B31" s="54">
        <v>2</v>
      </c>
      <c r="C31" s="428"/>
      <c r="D31" s="298"/>
      <c r="E31" s="311"/>
      <c r="F31" s="428"/>
      <c r="G31" s="299"/>
      <c r="H31" s="532" t="s">
        <v>259</v>
      </c>
      <c r="I31" s="533"/>
      <c r="J31" s="533"/>
      <c r="K31" s="445"/>
      <c r="L31" s="534"/>
      <c r="M31" s="535"/>
      <c r="N31" s="536" t="s">
        <v>260</v>
      </c>
      <c r="O31" s="537"/>
      <c r="P31" s="538"/>
      <c r="Q31" s="445"/>
      <c r="R31" s="534"/>
      <c r="S31" s="534"/>
      <c r="T31" s="535"/>
      <c r="U31" s="457" t="s">
        <v>261</v>
      </c>
      <c r="V31" s="458"/>
      <c r="W31" s="459"/>
      <c r="X31" s="539"/>
      <c r="Y31" s="540"/>
      <c r="Z31" s="10" t="s">
        <v>262</v>
      </c>
      <c r="AA31" s="63" t="s">
        <v>263</v>
      </c>
      <c r="AB31" s="541"/>
      <c r="AC31" s="542"/>
      <c r="AD31" s="19" t="s">
        <v>264</v>
      </c>
      <c r="AE31" s="301" t="s">
        <v>265</v>
      </c>
      <c r="AF31" s="301"/>
      <c r="AG31" s="301"/>
      <c r="AH31" s="311"/>
      <c r="AI31" s="317"/>
      <c r="AJ31" s="312"/>
      <c r="AK31" s="457" t="s">
        <v>266</v>
      </c>
      <c r="AL31" s="459"/>
      <c r="AM31" s="298"/>
      <c r="AN31" s="298"/>
      <c r="AO31" s="299"/>
    </row>
    <row r="32" spans="1:41">
      <c r="A32" s="424"/>
      <c r="B32" s="54">
        <v>3</v>
      </c>
      <c r="C32" s="428"/>
      <c r="D32" s="298"/>
      <c r="E32" s="311"/>
      <c r="F32" s="428"/>
      <c r="G32" s="299"/>
      <c r="H32" s="431" t="s">
        <v>259</v>
      </c>
      <c r="I32" s="432"/>
      <c r="J32" s="432"/>
      <c r="K32" s="311"/>
      <c r="L32" s="317"/>
      <c r="M32" s="312"/>
      <c r="N32" s="457" t="s">
        <v>260</v>
      </c>
      <c r="O32" s="458"/>
      <c r="P32" s="459"/>
      <c r="Q32" s="311"/>
      <c r="R32" s="317"/>
      <c r="S32" s="317"/>
      <c r="T32" s="312"/>
      <c r="U32" s="457" t="s">
        <v>261</v>
      </c>
      <c r="V32" s="458"/>
      <c r="W32" s="459"/>
      <c r="X32" s="543"/>
      <c r="Y32" s="544"/>
      <c r="Z32" s="8" t="s">
        <v>262</v>
      </c>
      <c r="AA32" s="64" t="s">
        <v>263</v>
      </c>
      <c r="AB32" s="463"/>
      <c r="AC32" s="464"/>
      <c r="AD32" s="17" t="s">
        <v>264</v>
      </c>
      <c r="AE32" s="301" t="s">
        <v>265</v>
      </c>
      <c r="AF32" s="301"/>
      <c r="AG32" s="301"/>
      <c r="AH32" s="311"/>
      <c r="AI32" s="317"/>
      <c r="AJ32" s="312"/>
      <c r="AK32" s="457" t="s">
        <v>266</v>
      </c>
      <c r="AL32" s="459"/>
      <c r="AM32" s="298"/>
      <c r="AN32" s="298"/>
      <c r="AO32" s="299"/>
    </row>
    <row r="33" spans="1:41">
      <c r="A33" s="424"/>
      <c r="B33" s="55">
        <v>4</v>
      </c>
      <c r="C33" s="428"/>
      <c r="D33" s="298"/>
      <c r="E33" s="311"/>
      <c r="F33" s="428"/>
      <c r="G33" s="299"/>
      <c r="H33" s="431" t="s">
        <v>259</v>
      </c>
      <c r="I33" s="432"/>
      <c r="J33" s="432"/>
      <c r="K33" s="311"/>
      <c r="L33" s="317"/>
      <c r="M33" s="312"/>
      <c r="N33" s="457" t="s">
        <v>260</v>
      </c>
      <c r="O33" s="458"/>
      <c r="P33" s="459"/>
      <c r="Q33" s="311"/>
      <c r="R33" s="317"/>
      <c r="S33" s="317"/>
      <c r="T33" s="312"/>
      <c r="U33" s="457" t="s">
        <v>261</v>
      </c>
      <c r="V33" s="458"/>
      <c r="W33" s="459"/>
      <c r="X33" s="543"/>
      <c r="Y33" s="544"/>
      <c r="Z33" s="8" t="s">
        <v>262</v>
      </c>
      <c r="AA33" s="64" t="s">
        <v>263</v>
      </c>
      <c r="AB33" s="463"/>
      <c r="AC33" s="464"/>
      <c r="AD33" s="17" t="s">
        <v>264</v>
      </c>
      <c r="AE33" s="301" t="s">
        <v>265</v>
      </c>
      <c r="AF33" s="301"/>
      <c r="AG33" s="301"/>
      <c r="AH33" s="311"/>
      <c r="AI33" s="317"/>
      <c r="AJ33" s="312"/>
      <c r="AK33" s="457" t="s">
        <v>266</v>
      </c>
      <c r="AL33" s="459"/>
      <c r="AM33" s="298"/>
      <c r="AN33" s="298"/>
      <c r="AO33" s="299"/>
    </row>
    <row r="34" spans="1:41" ht="15" customHeight="1">
      <c r="A34" s="424"/>
      <c r="B34" s="55">
        <v>5</v>
      </c>
      <c r="C34" s="428"/>
      <c r="D34" s="298"/>
      <c r="E34" s="311"/>
      <c r="F34" s="428"/>
      <c r="G34" s="299"/>
      <c r="H34" s="431" t="s">
        <v>259</v>
      </c>
      <c r="I34" s="432"/>
      <c r="J34" s="432"/>
      <c r="K34" s="311"/>
      <c r="L34" s="317"/>
      <c r="M34" s="312"/>
      <c r="N34" s="457" t="s">
        <v>260</v>
      </c>
      <c r="O34" s="458"/>
      <c r="P34" s="459"/>
      <c r="Q34" s="311"/>
      <c r="R34" s="317"/>
      <c r="S34" s="317"/>
      <c r="T34" s="312"/>
      <c r="U34" s="457" t="s">
        <v>261</v>
      </c>
      <c r="V34" s="458"/>
      <c r="W34" s="459"/>
      <c r="X34" s="543"/>
      <c r="Y34" s="544"/>
      <c r="Z34" s="8" t="s">
        <v>262</v>
      </c>
      <c r="AA34" s="64" t="s">
        <v>263</v>
      </c>
      <c r="AB34" s="463"/>
      <c r="AC34" s="464"/>
      <c r="AD34" s="17" t="s">
        <v>264</v>
      </c>
      <c r="AE34" s="301" t="s">
        <v>265</v>
      </c>
      <c r="AF34" s="301"/>
      <c r="AG34" s="301"/>
      <c r="AH34" s="311"/>
      <c r="AI34" s="317"/>
      <c r="AJ34" s="312"/>
      <c r="AK34" s="457" t="s">
        <v>266</v>
      </c>
      <c r="AL34" s="459"/>
      <c r="AM34" s="298"/>
      <c r="AN34" s="298"/>
      <c r="AO34" s="299"/>
    </row>
    <row r="35" spans="1:41">
      <c r="A35" s="424"/>
      <c r="B35" s="55">
        <v>6</v>
      </c>
      <c r="C35" s="428"/>
      <c r="D35" s="298"/>
      <c r="E35" s="311"/>
      <c r="F35" s="428"/>
      <c r="G35" s="299"/>
      <c r="H35" s="431" t="s">
        <v>259</v>
      </c>
      <c r="I35" s="432"/>
      <c r="J35" s="432"/>
      <c r="K35" s="311"/>
      <c r="L35" s="317"/>
      <c r="M35" s="312"/>
      <c r="N35" s="457" t="s">
        <v>260</v>
      </c>
      <c r="O35" s="458"/>
      <c r="P35" s="459"/>
      <c r="Q35" s="311"/>
      <c r="R35" s="317"/>
      <c r="S35" s="317"/>
      <c r="T35" s="312"/>
      <c r="U35" s="457" t="s">
        <v>261</v>
      </c>
      <c r="V35" s="458"/>
      <c r="W35" s="459"/>
      <c r="X35" s="543"/>
      <c r="Y35" s="544"/>
      <c r="Z35" s="8" t="s">
        <v>262</v>
      </c>
      <c r="AA35" s="64" t="s">
        <v>263</v>
      </c>
      <c r="AB35" s="463"/>
      <c r="AC35" s="464"/>
      <c r="AD35" s="17" t="s">
        <v>264</v>
      </c>
      <c r="AE35" s="301" t="s">
        <v>265</v>
      </c>
      <c r="AF35" s="301"/>
      <c r="AG35" s="301"/>
      <c r="AH35" s="311"/>
      <c r="AI35" s="317"/>
      <c r="AJ35" s="312"/>
      <c r="AK35" s="457" t="s">
        <v>266</v>
      </c>
      <c r="AL35" s="459"/>
      <c r="AM35" s="298"/>
      <c r="AN35" s="298"/>
      <c r="AO35" s="299"/>
    </row>
    <row r="36" spans="1:41" ht="15.75" customHeight="1" thickBot="1">
      <c r="A36" s="460"/>
      <c r="B36" s="56">
        <v>7</v>
      </c>
      <c r="C36" s="451"/>
      <c r="D36" s="293"/>
      <c r="E36" s="441"/>
      <c r="F36" s="451"/>
      <c r="G36" s="294"/>
      <c r="H36" s="545" t="s">
        <v>259</v>
      </c>
      <c r="I36" s="546"/>
      <c r="J36" s="546"/>
      <c r="K36" s="401"/>
      <c r="L36" s="402"/>
      <c r="M36" s="403"/>
      <c r="N36" s="547" t="s">
        <v>260</v>
      </c>
      <c r="O36" s="548"/>
      <c r="P36" s="549"/>
      <c r="Q36" s="401"/>
      <c r="R36" s="402"/>
      <c r="S36" s="402"/>
      <c r="T36" s="403"/>
      <c r="U36" s="457" t="s">
        <v>261</v>
      </c>
      <c r="V36" s="458"/>
      <c r="W36" s="459"/>
      <c r="X36" s="550"/>
      <c r="Y36" s="551"/>
      <c r="Z36" s="20" t="s">
        <v>262</v>
      </c>
      <c r="AA36" s="65" t="s">
        <v>263</v>
      </c>
      <c r="AB36" s="552"/>
      <c r="AC36" s="553"/>
      <c r="AD36" s="21" t="s">
        <v>264</v>
      </c>
      <c r="AE36" s="420" t="s">
        <v>265</v>
      </c>
      <c r="AF36" s="420"/>
      <c r="AG36" s="420"/>
      <c r="AH36" s="401"/>
      <c r="AI36" s="402"/>
      <c r="AJ36" s="403"/>
      <c r="AK36" s="547" t="s">
        <v>266</v>
      </c>
      <c r="AL36" s="549"/>
      <c r="AM36" s="421"/>
      <c r="AN36" s="421"/>
      <c r="AO36" s="422"/>
    </row>
    <row r="37" spans="1:41">
      <c r="A37" s="475" t="s">
        <v>267</v>
      </c>
      <c r="B37" s="57">
        <v>1</v>
      </c>
      <c r="C37" s="427"/>
      <c r="D37" s="418"/>
      <c r="E37" s="413"/>
      <c r="F37" s="427"/>
      <c r="G37" s="413"/>
      <c r="H37" s="452" t="s">
        <v>268</v>
      </c>
      <c r="I37" s="453"/>
      <c r="J37" s="453"/>
      <c r="K37" s="480"/>
      <c r="L37" s="480"/>
      <c r="M37" s="480"/>
      <c r="N37" s="480"/>
      <c r="O37" s="480"/>
      <c r="P37" s="480"/>
      <c r="Q37" s="480"/>
      <c r="R37" s="480"/>
      <c r="S37" s="480"/>
      <c r="T37" s="480"/>
      <c r="U37" s="417" t="s">
        <v>269</v>
      </c>
      <c r="V37" s="417"/>
      <c r="W37" s="417"/>
      <c r="X37" s="418"/>
      <c r="Y37" s="418"/>
      <c r="Z37" s="418"/>
      <c r="AA37" s="418"/>
      <c r="AB37" s="418"/>
      <c r="AC37" s="418"/>
      <c r="AD37" s="418"/>
      <c r="AE37" s="418"/>
      <c r="AF37" s="418"/>
      <c r="AG37" s="418"/>
      <c r="AH37" s="418"/>
      <c r="AI37" s="418"/>
      <c r="AJ37" s="418"/>
      <c r="AK37" s="417" t="s">
        <v>266</v>
      </c>
      <c r="AL37" s="417"/>
      <c r="AM37" s="418"/>
      <c r="AN37" s="418"/>
      <c r="AO37" s="419"/>
    </row>
    <row r="38" spans="1:41">
      <c r="A38" s="476"/>
      <c r="B38" s="58">
        <v>2</v>
      </c>
      <c r="C38" s="428"/>
      <c r="D38" s="298"/>
      <c r="E38" s="311"/>
      <c r="F38" s="428"/>
      <c r="G38" s="311"/>
      <c r="H38" s="431" t="s">
        <v>268</v>
      </c>
      <c r="I38" s="432"/>
      <c r="J38" s="432"/>
      <c r="K38" s="481"/>
      <c r="L38" s="481"/>
      <c r="M38" s="481"/>
      <c r="N38" s="481"/>
      <c r="O38" s="481"/>
      <c r="P38" s="481"/>
      <c r="Q38" s="481"/>
      <c r="R38" s="481"/>
      <c r="S38" s="481"/>
      <c r="T38" s="481"/>
      <c r="U38" s="301" t="s">
        <v>269</v>
      </c>
      <c r="V38" s="301"/>
      <c r="W38" s="301"/>
      <c r="X38" s="298"/>
      <c r="Y38" s="298"/>
      <c r="Z38" s="298"/>
      <c r="AA38" s="298"/>
      <c r="AB38" s="298"/>
      <c r="AC38" s="298"/>
      <c r="AD38" s="298"/>
      <c r="AE38" s="298"/>
      <c r="AF38" s="298"/>
      <c r="AG38" s="298"/>
      <c r="AH38" s="298"/>
      <c r="AI38" s="298"/>
      <c r="AJ38" s="298"/>
      <c r="AK38" s="301" t="s">
        <v>266</v>
      </c>
      <c r="AL38" s="301"/>
      <c r="AM38" s="298"/>
      <c r="AN38" s="298"/>
      <c r="AO38" s="299"/>
    </row>
    <row r="39" spans="1:41" ht="15.75" thickBot="1">
      <c r="A39" s="477"/>
      <c r="B39" s="59">
        <v>3</v>
      </c>
      <c r="C39" s="451"/>
      <c r="D39" s="293"/>
      <c r="E39" s="441"/>
      <c r="F39" s="451"/>
      <c r="G39" s="441"/>
      <c r="H39" s="478" t="s">
        <v>268</v>
      </c>
      <c r="I39" s="479"/>
      <c r="J39" s="479"/>
      <c r="K39" s="482"/>
      <c r="L39" s="482"/>
      <c r="M39" s="482"/>
      <c r="N39" s="482"/>
      <c r="O39" s="482"/>
      <c r="P39" s="482"/>
      <c r="Q39" s="482"/>
      <c r="R39" s="482"/>
      <c r="S39" s="482"/>
      <c r="T39" s="482"/>
      <c r="U39" s="420" t="s">
        <v>269</v>
      </c>
      <c r="V39" s="420"/>
      <c r="W39" s="420"/>
      <c r="X39" s="421"/>
      <c r="Y39" s="421"/>
      <c r="Z39" s="421"/>
      <c r="AA39" s="421"/>
      <c r="AB39" s="421"/>
      <c r="AC39" s="421"/>
      <c r="AD39" s="421"/>
      <c r="AE39" s="421"/>
      <c r="AF39" s="421"/>
      <c r="AG39" s="421"/>
      <c r="AH39" s="421"/>
      <c r="AI39" s="421"/>
      <c r="AJ39" s="421"/>
      <c r="AK39" s="420" t="s">
        <v>266</v>
      </c>
      <c r="AL39" s="420"/>
      <c r="AM39" s="421"/>
      <c r="AN39" s="421"/>
      <c r="AO39" s="422"/>
    </row>
    <row r="40" spans="1:41" ht="15" customHeight="1">
      <c r="A40" s="423" t="s">
        <v>270</v>
      </c>
      <c r="B40" s="53">
        <v>1</v>
      </c>
      <c r="C40" s="427"/>
      <c r="D40" s="418"/>
      <c r="E40" s="413"/>
      <c r="F40" s="427"/>
      <c r="G40" s="413"/>
      <c r="H40" s="452" t="s">
        <v>271</v>
      </c>
      <c r="I40" s="453"/>
      <c r="J40" s="453"/>
      <c r="K40" s="418"/>
      <c r="L40" s="413"/>
      <c r="M40" s="435" t="s">
        <v>110</v>
      </c>
      <c r="N40" s="436"/>
      <c r="O40" s="453" t="s">
        <v>272</v>
      </c>
      <c r="P40" s="453"/>
      <c r="Q40" s="453"/>
      <c r="R40" s="418"/>
      <c r="S40" s="413"/>
      <c r="T40" s="435" t="s">
        <v>273</v>
      </c>
      <c r="U40" s="554"/>
      <c r="V40" s="390"/>
      <c r="W40" s="391"/>
      <c r="X40" s="392"/>
      <c r="Y40" s="417" t="s">
        <v>261</v>
      </c>
      <c r="Z40" s="417"/>
      <c r="AA40" s="417"/>
      <c r="AB40" s="461"/>
      <c r="AC40" s="462"/>
      <c r="AD40" s="7" t="s">
        <v>262</v>
      </c>
      <c r="AE40" s="417" t="s">
        <v>113</v>
      </c>
      <c r="AF40" s="417"/>
      <c r="AG40" s="417"/>
      <c r="AH40" s="418"/>
      <c r="AI40" s="413"/>
      <c r="AJ40" s="11" t="s">
        <v>114</v>
      </c>
      <c r="AK40" s="417" t="s">
        <v>266</v>
      </c>
      <c r="AL40" s="417"/>
      <c r="AM40" s="418"/>
      <c r="AN40" s="418"/>
      <c r="AO40" s="419"/>
    </row>
    <row r="41" spans="1:41">
      <c r="A41" s="424"/>
      <c r="B41" s="54">
        <v>2</v>
      </c>
      <c r="C41" s="428"/>
      <c r="D41" s="298"/>
      <c r="E41" s="311"/>
      <c r="F41" s="428"/>
      <c r="G41" s="311"/>
      <c r="H41" s="431" t="s">
        <v>271</v>
      </c>
      <c r="I41" s="432"/>
      <c r="J41" s="432"/>
      <c r="K41" s="298"/>
      <c r="L41" s="311"/>
      <c r="M41" s="437" t="s">
        <v>110</v>
      </c>
      <c r="N41" s="438"/>
      <c r="O41" s="432" t="s">
        <v>272</v>
      </c>
      <c r="P41" s="432"/>
      <c r="Q41" s="432"/>
      <c r="R41" s="298"/>
      <c r="S41" s="311"/>
      <c r="T41" s="437" t="s">
        <v>273</v>
      </c>
      <c r="U41" s="442"/>
      <c r="V41" s="393"/>
      <c r="W41" s="394"/>
      <c r="X41" s="395"/>
      <c r="Y41" s="301" t="s">
        <v>261</v>
      </c>
      <c r="Z41" s="301"/>
      <c r="AA41" s="301"/>
      <c r="AB41" s="463"/>
      <c r="AC41" s="464"/>
      <c r="AD41" s="8" t="s">
        <v>262</v>
      </c>
      <c r="AE41" s="301" t="s">
        <v>113</v>
      </c>
      <c r="AF41" s="301"/>
      <c r="AG41" s="301"/>
      <c r="AH41" s="298"/>
      <c r="AI41" s="311"/>
      <c r="AJ41" s="12" t="s">
        <v>114</v>
      </c>
      <c r="AK41" s="301" t="s">
        <v>266</v>
      </c>
      <c r="AL41" s="301"/>
      <c r="AM41" s="298"/>
      <c r="AN41" s="298"/>
      <c r="AO41" s="299"/>
    </row>
    <row r="42" spans="1:41">
      <c r="A42" s="424"/>
      <c r="B42" s="54">
        <v>3</v>
      </c>
      <c r="C42" s="428"/>
      <c r="D42" s="298"/>
      <c r="E42" s="311"/>
      <c r="F42" s="428"/>
      <c r="G42" s="311"/>
      <c r="H42" s="431" t="s">
        <v>271</v>
      </c>
      <c r="I42" s="432"/>
      <c r="J42" s="432"/>
      <c r="K42" s="298"/>
      <c r="L42" s="311"/>
      <c r="M42" s="437" t="s">
        <v>110</v>
      </c>
      <c r="N42" s="438"/>
      <c r="O42" s="432" t="s">
        <v>272</v>
      </c>
      <c r="P42" s="432"/>
      <c r="Q42" s="432"/>
      <c r="R42" s="298"/>
      <c r="S42" s="311"/>
      <c r="T42" s="437" t="s">
        <v>273</v>
      </c>
      <c r="U42" s="442"/>
      <c r="V42" s="393"/>
      <c r="W42" s="394"/>
      <c r="X42" s="395"/>
      <c r="Y42" s="301" t="s">
        <v>261</v>
      </c>
      <c r="Z42" s="301"/>
      <c r="AA42" s="301"/>
      <c r="AB42" s="463"/>
      <c r="AC42" s="464"/>
      <c r="AD42" s="8" t="s">
        <v>262</v>
      </c>
      <c r="AE42" s="301" t="s">
        <v>113</v>
      </c>
      <c r="AF42" s="301"/>
      <c r="AG42" s="301"/>
      <c r="AH42" s="298"/>
      <c r="AI42" s="311"/>
      <c r="AJ42" s="12" t="s">
        <v>114</v>
      </c>
      <c r="AK42" s="301" t="s">
        <v>266</v>
      </c>
      <c r="AL42" s="301"/>
      <c r="AM42" s="298"/>
      <c r="AN42" s="298"/>
      <c r="AO42" s="299"/>
    </row>
    <row r="43" spans="1:41" ht="15.75" thickBot="1">
      <c r="A43" s="460"/>
      <c r="B43" s="56">
        <v>4</v>
      </c>
      <c r="C43" s="451"/>
      <c r="D43" s="293"/>
      <c r="E43" s="441"/>
      <c r="F43" s="451"/>
      <c r="G43" s="441"/>
      <c r="H43" s="433" t="s">
        <v>271</v>
      </c>
      <c r="I43" s="434"/>
      <c r="J43" s="434"/>
      <c r="K43" s="293"/>
      <c r="L43" s="441"/>
      <c r="M43" s="439" t="s">
        <v>110</v>
      </c>
      <c r="N43" s="440"/>
      <c r="O43" s="443" t="s">
        <v>272</v>
      </c>
      <c r="P43" s="443"/>
      <c r="Q43" s="443"/>
      <c r="R43" s="444"/>
      <c r="S43" s="445"/>
      <c r="T43" s="446" t="s">
        <v>273</v>
      </c>
      <c r="U43" s="447"/>
      <c r="V43" s="448"/>
      <c r="W43" s="449"/>
      <c r="X43" s="450"/>
      <c r="Y43" s="292" t="s">
        <v>261</v>
      </c>
      <c r="Z43" s="292"/>
      <c r="AA43" s="292"/>
      <c r="AB43" s="465"/>
      <c r="AC43" s="466"/>
      <c r="AD43" s="9" t="s">
        <v>262</v>
      </c>
      <c r="AE43" s="292" t="s">
        <v>113</v>
      </c>
      <c r="AF43" s="292"/>
      <c r="AG43" s="292"/>
      <c r="AH43" s="293"/>
      <c r="AI43" s="441"/>
      <c r="AJ43" s="13" t="s">
        <v>114</v>
      </c>
      <c r="AK43" s="292" t="s">
        <v>266</v>
      </c>
      <c r="AL43" s="292"/>
      <c r="AM43" s="293"/>
      <c r="AN43" s="293"/>
      <c r="AO43" s="294"/>
    </row>
    <row r="44" spans="1:41" ht="15" customHeight="1">
      <c r="A44" s="423" t="s">
        <v>274</v>
      </c>
      <c r="B44" s="58">
        <v>1</v>
      </c>
      <c r="C44" s="427"/>
      <c r="D44" s="418"/>
      <c r="E44" s="413"/>
      <c r="F44" s="427"/>
      <c r="G44" s="413"/>
      <c r="H44" s="425" t="s">
        <v>275</v>
      </c>
      <c r="I44" s="417"/>
      <c r="J44" s="417"/>
      <c r="K44" s="413"/>
      <c r="L44" s="414"/>
      <c r="M44" s="414"/>
      <c r="N44" s="430"/>
      <c r="O44" s="404" t="s">
        <v>276</v>
      </c>
      <c r="P44" s="405"/>
      <c r="Q44" s="406"/>
      <c r="R44" s="413"/>
      <c r="S44" s="414"/>
      <c r="T44" s="414"/>
      <c r="U44" s="404" t="s">
        <v>277</v>
      </c>
      <c r="V44" s="405"/>
      <c r="W44" s="406"/>
      <c r="X44" s="413"/>
      <c r="Y44" s="414"/>
      <c r="Z44" s="414"/>
      <c r="AA44" s="16" t="s">
        <v>278</v>
      </c>
      <c r="AB44" s="390"/>
      <c r="AC44" s="391"/>
      <c r="AD44" s="391"/>
      <c r="AE44" s="391"/>
      <c r="AF44" s="391"/>
      <c r="AG44" s="391"/>
      <c r="AH44" s="391"/>
      <c r="AI44" s="391"/>
      <c r="AJ44" s="392"/>
      <c r="AK44" s="417" t="s">
        <v>266</v>
      </c>
      <c r="AL44" s="417"/>
      <c r="AM44" s="418"/>
      <c r="AN44" s="418"/>
      <c r="AO44" s="419"/>
    </row>
    <row r="45" spans="1:41" ht="15" customHeight="1">
      <c r="A45" s="424"/>
      <c r="B45" s="55">
        <v>2</v>
      </c>
      <c r="C45" s="428"/>
      <c r="D45" s="298"/>
      <c r="E45" s="311"/>
      <c r="F45" s="428"/>
      <c r="G45" s="311"/>
      <c r="H45" s="300" t="s">
        <v>275</v>
      </c>
      <c r="I45" s="301"/>
      <c r="J45" s="301"/>
      <c r="K45" s="311"/>
      <c r="L45" s="317"/>
      <c r="M45" s="317"/>
      <c r="N45" s="312"/>
      <c r="O45" s="407" t="s">
        <v>276</v>
      </c>
      <c r="P45" s="408"/>
      <c r="Q45" s="409"/>
      <c r="R45" s="311"/>
      <c r="S45" s="317"/>
      <c r="T45" s="317"/>
      <c r="U45" s="407" t="s">
        <v>277</v>
      </c>
      <c r="V45" s="408"/>
      <c r="W45" s="409"/>
      <c r="X45" s="311"/>
      <c r="Y45" s="317"/>
      <c r="Z45" s="317"/>
      <c r="AA45" s="17" t="s">
        <v>278</v>
      </c>
      <c r="AB45" s="393"/>
      <c r="AC45" s="394"/>
      <c r="AD45" s="394"/>
      <c r="AE45" s="394"/>
      <c r="AF45" s="394"/>
      <c r="AG45" s="394"/>
      <c r="AH45" s="394"/>
      <c r="AI45" s="394"/>
      <c r="AJ45" s="395"/>
      <c r="AK45" s="301" t="s">
        <v>266</v>
      </c>
      <c r="AL45" s="301"/>
      <c r="AM45" s="298"/>
      <c r="AN45" s="298"/>
      <c r="AO45" s="299"/>
    </row>
    <row r="46" spans="1:41" ht="15.75" customHeight="1" thickBot="1">
      <c r="A46" s="424"/>
      <c r="B46" s="55">
        <v>3</v>
      </c>
      <c r="C46" s="429"/>
      <c r="D46" s="421"/>
      <c r="E46" s="401"/>
      <c r="F46" s="429"/>
      <c r="G46" s="401"/>
      <c r="H46" s="426" t="s">
        <v>275</v>
      </c>
      <c r="I46" s="420"/>
      <c r="J46" s="420"/>
      <c r="K46" s="401"/>
      <c r="L46" s="402"/>
      <c r="M46" s="402"/>
      <c r="N46" s="403"/>
      <c r="O46" s="410" t="s">
        <v>276</v>
      </c>
      <c r="P46" s="411"/>
      <c r="Q46" s="412"/>
      <c r="R46" s="415"/>
      <c r="S46" s="416"/>
      <c r="T46" s="416"/>
      <c r="U46" s="410" t="s">
        <v>277</v>
      </c>
      <c r="V46" s="411"/>
      <c r="W46" s="412"/>
      <c r="X46" s="415"/>
      <c r="Y46" s="416"/>
      <c r="Z46" s="416"/>
      <c r="AA46" s="21" t="s">
        <v>278</v>
      </c>
      <c r="AB46" s="396"/>
      <c r="AC46" s="397"/>
      <c r="AD46" s="397"/>
      <c r="AE46" s="397"/>
      <c r="AF46" s="397"/>
      <c r="AG46" s="397"/>
      <c r="AH46" s="397"/>
      <c r="AI46" s="397"/>
      <c r="AJ46" s="398"/>
      <c r="AK46" s="420" t="s">
        <v>266</v>
      </c>
      <c r="AL46" s="420"/>
      <c r="AM46" s="421"/>
      <c r="AN46" s="421"/>
      <c r="AO46" s="422"/>
    </row>
    <row r="47" spans="1:41">
      <c r="A47" s="60"/>
      <c r="B47" s="399" t="s">
        <v>279</v>
      </c>
      <c r="C47" s="400"/>
      <c r="D47" s="400"/>
      <c r="E47" s="400"/>
      <c r="F47" s="400"/>
      <c r="G47" s="382"/>
      <c r="H47" s="382"/>
      <c r="I47" s="382"/>
      <c r="J47" s="382"/>
      <c r="K47" s="382"/>
      <c r="L47" s="400" t="s">
        <v>280</v>
      </c>
      <c r="M47" s="400"/>
      <c r="N47" s="400"/>
      <c r="O47" s="400"/>
      <c r="P47" s="400"/>
      <c r="Q47" s="382"/>
      <c r="R47" s="382"/>
      <c r="S47" s="382"/>
      <c r="T47" s="382"/>
      <c r="U47" s="382"/>
      <c r="V47" s="400" t="s">
        <v>281</v>
      </c>
      <c r="W47" s="400"/>
      <c r="X47" s="400"/>
      <c r="Y47" s="400"/>
      <c r="Z47" s="400"/>
      <c r="AA47" s="382"/>
      <c r="AB47" s="382"/>
      <c r="AC47" s="382"/>
      <c r="AD47" s="382"/>
      <c r="AE47" s="382"/>
      <c r="AF47" s="400" t="s">
        <v>282</v>
      </c>
      <c r="AG47" s="400"/>
      <c r="AH47" s="400"/>
      <c r="AI47" s="400"/>
      <c r="AJ47" s="400"/>
      <c r="AK47" s="382"/>
      <c r="AL47" s="382"/>
      <c r="AM47" s="382"/>
      <c r="AN47" s="382"/>
      <c r="AO47" s="383"/>
    </row>
    <row r="48" spans="1:41" ht="15.75" thickBot="1">
      <c r="A48" s="61"/>
      <c r="B48" s="384" t="s">
        <v>283</v>
      </c>
      <c r="C48" s="385"/>
      <c r="D48" s="385"/>
      <c r="E48" s="385"/>
      <c r="F48" s="385"/>
      <c r="G48" s="386"/>
      <c r="H48" s="386"/>
      <c r="I48" s="386"/>
      <c r="J48" s="386"/>
      <c r="K48" s="386"/>
      <c r="L48" s="385" t="s">
        <v>284</v>
      </c>
      <c r="M48" s="385"/>
      <c r="N48" s="385"/>
      <c r="O48" s="385"/>
      <c r="P48" s="385"/>
      <c r="Q48" s="386"/>
      <c r="R48" s="386"/>
      <c r="S48" s="386"/>
      <c r="T48" s="386"/>
      <c r="U48" s="386"/>
      <c r="V48" s="387"/>
      <c r="W48" s="388"/>
      <c r="X48" s="388"/>
      <c r="Y48" s="388"/>
      <c r="Z48" s="388"/>
      <c r="AA48" s="388"/>
      <c r="AB48" s="388"/>
      <c r="AC48" s="388"/>
      <c r="AD48" s="388"/>
      <c r="AE48" s="388"/>
      <c r="AF48" s="388"/>
      <c r="AG48" s="388"/>
      <c r="AH48" s="388"/>
      <c r="AI48" s="388"/>
      <c r="AJ48" s="388"/>
      <c r="AK48" s="388"/>
      <c r="AL48" s="388"/>
      <c r="AM48" s="388"/>
      <c r="AN48" s="388"/>
      <c r="AO48" s="389"/>
    </row>
  </sheetData>
  <sheetProtection algorithmName="SHA-512" hashValue="ib22C3XbyQi1vccDmIMsQoe6a12TkL3pH0avjjExDCXBKGJv6nEvxZCK0Bu7qbHWpS8wQbTqrzKpFBijW40Yhw==" saltValue="eZVLV5QCw9kgehPGzAcRgA==" spinCount="100000" sheet="1" objects="1" scenarios="1"/>
  <mergeCells count="312">
    <mergeCell ref="AK36:AL36"/>
    <mergeCell ref="AM36:AO36"/>
    <mergeCell ref="Q36:T36"/>
    <mergeCell ref="X36:Y36"/>
    <mergeCell ref="AB36:AC36"/>
    <mergeCell ref="AE36:AG36"/>
    <mergeCell ref="AH36:AJ36"/>
    <mergeCell ref="O40:Q40"/>
    <mergeCell ref="R40:S40"/>
    <mergeCell ref="T40:U40"/>
    <mergeCell ref="V40:X40"/>
    <mergeCell ref="AK37:AL37"/>
    <mergeCell ref="AK38:AL38"/>
    <mergeCell ref="AM37:AO37"/>
    <mergeCell ref="AM38:AO38"/>
    <mergeCell ref="AK39:AL39"/>
    <mergeCell ref="AM39:AO39"/>
    <mergeCell ref="X38:AJ38"/>
    <mergeCell ref="X39:AJ39"/>
    <mergeCell ref="F32:G32"/>
    <mergeCell ref="C36:E36"/>
    <mergeCell ref="F36:G36"/>
    <mergeCell ref="H36:J36"/>
    <mergeCell ref="K36:M36"/>
    <mergeCell ref="N36:P36"/>
    <mergeCell ref="AK34:AL34"/>
    <mergeCell ref="AM34:AO34"/>
    <mergeCell ref="C35:E35"/>
    <mergeCell ref="F35:G35"/>
    <mergeCell ref="H35:J35"/>
    <mergeCell ref="K35:M35"/>
    <mergeCell ref="N35:P35"/>
    <mergeCell ref="Q35:T35"/>
    <mergeCell ref="X35:Y35"/>
    <mergeCell ref="AB35:AC35"/>
    <mergeCell ref="AE35:AG35"/>
    <mergeCell ref="AK35:AL35"/>
    <mergeCell ref="AM35:AO35"/>
    <mergeCell ref="AH34:AJ34"/>
    <mergeCell ref="AH35:AJ35"/>
    <mergeCell ref="Q34:T34"/>
    <mergeCell ref="X34:Y34"/>
    <mergeCell ref="AB34:AC34"/>
    <mergeCell ref="Q33:T33"/>
    <mergeCell ref="X33:Y33"/>
    <mergeCell ref="AB33:AC33"/>
    <mergeCell ref="AE33:AG33"/>
    <mergeCell ref="AK33:AL33"/>
    <mergeCell ref="AM33:AO33"/>
    <mergeCell ref="AH32:AJ32"/>
    <mergeCell ref="AH33:AJ33"/>
    <mergeCell ref="X32:Y32"/>
    <mergeCell ref="AB32:AC32"/>
    <mergeCell ref="AE32:AG32"/>
    <mergeCell ref="AK32:AL32"/>
    <mergeCell ref="H34:J34"/>
    <mergeCell ref="K34:M34"/>
    <mergeCell ref="N34:P34"/>
    <mergeCell ref="AK30:AL30"/>
    <mergeCell ref="AM30:AO30"/>
    <mergeCell ref="C31:E31"/>
    <mergeCell ref="F31:G31"/>
    <mergeCell ref="H31:J31"/>
    <mergeCell ref="K31:M31"/>
    <mergeCell ref="N31:P31"/>
    <mergeCell ref="Q31:T31"/>
    <mergeCell ref="X31:Y31"/>
    <mergeCell ref="AB31:AC31"/>
    <mergeCell ref="AE31:AG31"/>
    <mergeCell ref="AK31:AL31"/>
    <mergeCell ref="AM31:AO31"/>
    <mergeCell ref="AH30:AJ30"/>
    <mergeCell ref="AH31:AJ31"/>
    <mergeCell ref="AM32:AO32"/>
    <mergeCell ref="C33:E33"/>
    <mergeCell ref="F33:G33"/>
    <mergeCell ref="H33:J33"/>
    <mergeCell ref="K33:M33"/>
    <mergeCell ref="N33:P33"/>
    <mergeCell ref="U1:AI4"/>
    <mergeCell ref="U7:Y7"/>
    <mergeCell ref="Z7:AI7"/>
    <mergeCell ref="B28:B29"/>
    <mergeCell ref="C28:E29"/>
    <mergeCell ref="F28:G29"/>
    <mergeCell ref="H28:AI29"/>
    <mergeCell ref="A30:A36"/>
    <mergeCell ref="C30:E30"/>
    <mergeCell ref="F30:G30"/>
    <mergeCell ref="H30:J30"/>
    <mergeCell ref="K30:M30"/>
    <mergeCell ref="N30:P30"/>
    <mergeCell ref="Q30:T30"/>
    <mergeCell ref="X30:Y30"/>
    <mergeCell ref="AB30:AC30"/>
    <mergeCell ref="AE30:AG30"/>
    <mergeCell ref="C32:E32"/>
    <mergeCell ref="H32:J32"/>
    <mergeCell ref="K32:M32"/>
    <mergeCell ref="N32:P32"/>
    <mergeCell ref="Q32:T32"/>
    <mergeCell ref="C34:E34"/>
    <mergeCell ref="F34:G34"/>
    <mergeCell ref="F7:K7"/>
    <mergeCell ref="L7:T7"/>
    <mergeCell ref="U8:Y8"/>
    <mergeCell ref="Z8:AI8"/>
    <mergeCell ref="F9:K9"/>
    <mergeCell ref="L9:T9"/>
    <mergeCell ref="U9:Y9"/>
    <mergeCell ref="Z9:AI9"/>
    <mergeCell ref="F5:T6"/>
    <mergeCell ref="F8:K8"/>
    <mergeCell ref="L8:T8"/>
    <mergeCell ref="U5:Y5"/>
    <mergeCell ref="Z5:AI5"/>
    <mergeCell ref="U6:Y6"/>
    <mergeCell ref="Z6:AI6"/>
    <mergeCell ref="F11:AI12"/>
    <mergeCell ref="F13:L13"/>
    <mergeCell ref="M13:Q13"/>
    <mergeCell ref="R13:T13"/>
    <mergeCell ref="U13:AA13"/>
    <mergeCell ref="AB13:AF13"/>
    <mergeCell ref="AG13:AI13"/>
    <mergeCell ref="AG14:AI14"/>
    <mergeCell ref="F15:L15"/>
    <mergeCell ref="M15:Q15"/>
    <mergeCell ref="R15:T15"/>
    <mergeCell ref="U15:AA15"/>
    <mergeCell ref="AB15:AF15"/>
    <mergeCell ref="AG15:AI15"/>
    <mergeCell ref="F14:L14"/>
    <mergeCell ref="U14:AA14"/>
    <mergeCell ref="AB14:AF14"/>
    <mergeCell ref="M14:T14"/>
    <mergeCell ref="AG16:AI16"/>
    <mergeCell ref="F17:L17"/>
    <mergeCell ref="M17:Q17"/>
    <mergeCell ref="R17:T17"/>
    <mergeCell ref="U17:AA17"/>
    <mergeCell ref="AB17:AF17"/>
    <mergeCell ref="AG17:AI17"/>
    <mergeCell ref="F16:L16"/>
    <mergeCell ref="M16:Q16"/>
    <mergeCell ref="R16:T16"/>
    <mergeCell ref="U16:AA16"/>
    <mergeCell ref="AB16:AF16"/>
    <mergeCell ref="AG18:AI18"/>
    <mergeCell ref="F19:L19"/>
    <mergeCell ref="M19:Q19"/>
    <mergeCell ref="R19:T19"/>
    <mergeCell ref="U19:AA19"/>
    <mergeCell ref="AB19:AF19"/>
    <mergeCell ref="AG19:AI19"/>
    <mergeCell ref="F18:L18"/>
    <mergeCell ref="M18:Q18"/>
    <mergeCell ref="R18:T18"/>
    <mergeCell ref="U18:AA18"/>
    <mergeCell ref="AB18:AF18"/>
    <mergeCell ref="AG20:AI20"/>
    <mergeCell ref="F22:L22"/>
    <mergeCell ref="M22:T22"/>
    <mergeCell ref="U21:AA21"/>
    <mergeCell ref="AB21:AF21"/>
    <mergeCell ref="AG21:AI21"/>
    <mergeCell ref="F20:L20"/>
    <mergeCell ref="M20:Q20"/>
    <mergeCell ref="R20:T20"/>
    <mergeCell ref="U20:AA20"/>
    <mergeCell ref="AB20:AF20"/>
    <mergeCell ref="F21:L21"/>
    <mergeCell ref="M21:Q21"/>
    <mergeCell ref="R21:T21"/>
    <mergeCell ref="U22:AA22"/>
    <mergeCell ref="AB22:AI22"/>
    <mergeCell ref="AG23:AI23"/>
    <mergeCell ref="F23:L23"/>
    <mergeCell ref="M23:Q23"/>
    <mergeCell ref="R23:T23"/>
    <mergeCell ref="U23:AA23"/>
    <mergeCell ref="AB23:AF23"/>
    <mergeCell ref="F25:AI25"/>
    <mergeCell ref="A37:A39"/>
    <mergeCell ref="H37:J37"/>
    <mergeCell ref="H38:J38"/>
    <mergeCell ref="H39:J39"/>
    <mergeCell ref="U37:W37"/>
    <mergeCell ref="U39:W39"/>
    <mergeCell ref="U38:W38"/>
    <mergeCell ref="C37:E37"/>
    <mergeCell ref="F37:G37"/>
    <mergeCell ref="C38:E38"/>
    <mergeCell ref="F38:G38"/>
    <mergeCell ref="C39:E39"/>
    <mergeCell ref="F39:G39"/>
    <mergeCell ref="K37:T37"/>
    <mergeCell ref="K38:T38"/>
    <mergeCell ref="K39:T39"/>
    <mergeCell ref="X37:AJ37"/>
    <mergeCell ref="A40:A43"/>
    <mergeCell ref="AK40:AL40"/>
    <mergeCell ref="AM40:AO40"/>
    <mergeCell ref="AK41:AL41"/>
    <mergeCell ref="AM41:AO41"/>
    <mergeCell ref="AK42:AL42"/>
    <mergeCell ref="AM42:AO42"/>
    <mergeCell ref="AK43:AL43"/>
    <mergeCell ref="AM43:AO43"/>
    <mergeCell ref="AB40:AC40"/>
    <mergeCell ref="AE40:AG40"/>
    <mergeCell ref="AH40:AI40"/>
    <mergeCell ref="AB41:AC41"/>
    <mergeCell ref="AE41:AG41"/>
    <mergeCell ref="AH41:AI41"/>
    <mergeCell ref="AB42:AC42"/>
    <mergeCell ref="AE42:AG42"/>
    <mergeCell ref="AH42:AI42"/>
    <mergeCell ref="AB43:AC43"/>
    <mergeCell ref="O41:Q41"/>
    <mergeCell ref="R41:S41"/>
    <mergeCell ref="T41:U41"/>
    <mergeCell ref="V41:X41"/>
    <mergeCell ref="O42:Q42"/>
    <mergeCell ref="AE43:AG43"/>
    <mergeCell ref="AH43:AI43"/>
    <mergeCell ref="U30:W30"/>
    <mergeCell ref="U31:W31"/>
    <mergeCell ref="U32:W32"/>
    <mergeCell ref="U33:W33"/>
    <mergeCell ref="U34:W34"/>
    <mergeCell ref="U35:W35"/>
    <mergeCell ref="U36:W36"/>
    <mergeCell ref="Y40:AA40"/>
    <mergeCell ref="Y41:AA41"/>
    <mergeCell ref="Y42:AA42"/>
    <mergeCell ref="Y43:AA43"/>
    <mergeCell ref="AE34:AG34"/>
    <mergeCell ref="R42:S42"/>
    <mergeCell ref="T42:U42"/>
    <mergeCell ref="V42:X42"/>
    <mergeCell ref="O43:Q43"/>
    <mergeCell ref="R43:S43"/>
    <mergeCell ref="T43:U43"/>
    <mergeCell ref="V43:X43"/>
    <mergeCell ref="C40:E40"/>
    <mergeCell ref="F40:G40"/>
    <mergeCell ref="C41:E41"/>
    <mergeCell ref="F41:G41"/>
    <mergeCell ref="C42:E42"/>
    <mergeCell ref="F42:G42"/>
    <mergeCell ref="C43:E43"/>
    <mergeCell ref="F43:G43"/>
    <mergeCell ref="H40:J40"/>
    <mergeCell ref="K44:N44"/>
    <mergeCell ref="K45:N45"/>
    <mergeCell ref="H41:J41"/>
    <mergeCell ref="H42:J42"/>
    <mergeCell ref="H43:J43"/>
    <mergeCell ref="M40:N40"/>
    <mergeCell ref="M41:N41"/>
    <mergeCell ref="M42:N42"/>
    <mergeCell ref="M43:N43"/>
    <mergeCell ref="K40:L40"/>
    <mergeCell ref="K41:L41"/>
    <mergeCell ref="K42:L42"/>
    <mergeCell ref="K43:L43"/>
    <mergeCell ref="A44:A46"/>
    <mergeCell ref="H44:J44"/>
    <mergeCell ref="H45:J45"/>
    <mergeCell ref="H46:J46"/>
    <mergeCell ref="C44:E44"/>
    <mergeCell ref="F44:G44"/>
    <mergeCell ref="C45:E45"/>
    <mergeCell ref="F45:G45"/>
    <mergeCell ref="C46:E46"/>
    <mergeCell ref="F46:G46"/>
    <mergeCell ref="U46:W46"/>
    <mergeCell ref="X46:Z46"/>
    <mergeCell ref="R44:T44"/>
    <mergeCell ref="R45:T45"/>
    <mergeCell ref="R46:T46"/>
    <mergeCell ref="AK44:AL44"/>
    <mergeCell ref="AM44:AO44"/>
    <mergeCell ref="AK45:AL45"/>
    <mergeCell ref="AM45:AO45"/>
    <mergeCell ref="AK46:AL46"/>
    <mergeCell ref="AM46:AO46"/>
    <mergeCell ref="AK47:AO47"/>
    <mergeCell ref="B48:F48"/>
    <mergeCell ref="G48:K48"/>
    <mergeCell ref="L48:P48"/>
    <mergeCell ref="Q48:U48"/>
    <mergeCell ref="V48:AO48"/>
    <mergeCell ref="AB44:AJ44"/>
    <mergeCell ref="AB45:AJ45"/>
    <mergeCell ref="AB46:AJ46"/>
    <mergeCell ref="B47:F47"/>
    <mergeCell ref="G47:K47"/>
    <mergeCell ref="L47:P47"/>
    <mergeCell ref="Q47:U47"/>
    <mergeCell ref="V47:Z47"/>
    <mergeCell ref="AA47:AE47"/>
    <mergeCell ref="AF47:AJ47"/>
    <mergeCell ref="K46:N46"/>
    <mergeCell ref="O44:Q44"/>
    <mergeCell ref="O45:Q45"/>
    <mergeCell ref="O46:Q46"/>
    <mergeCell ref="U44:W44"/>
    <mergeCell ref="X44:Z44"/>
    <mergeCell ref="U45:W45"/>
    <mergeCell ref="X45:Z45"/>
  </mergeCells>
  <dataValidations count="6">
    <dataValidation type="list" allowBlank="1" showInputMessage="1" sqref="F30:G46" xr:uid="{07E18626-51CC-4C74-91DE-94A41EFE9A99}">
      <formula1>L_Responsabilité</formula1>
    </dataValidation>
    <dataValidation type="list" allowBlank="1" showInputMessage="1" sqref="C30:E46" xr:uid="{C16D0086-601A-45E3-9BAB-9507D4E326D2}">
      <formula1>L_Status</formula1>
    </dataValidation>
    <dataValidation type="list" allowBlank="1" showInputMessage="1" sqref="K44:N46" xr:uid="{A7D6CE3D-277E-4E83-9B52-E997E43450EE}">
      <formula1>L_Matière_Cuve</formula1>
    </dataValidation>
    <dataValidation type="list" allowBlank="1" showInputMessage="1" sqref="R44:T46 G48:K48" xr:uid="{468E502E-65FA-4D75-8E0A-9CC992F398BE}">
      <formula1>L_Oui_Non</formula1>
    </dataValidation>
    <dataValidation type="list" allowBlank="1" showInputMessage="1" sqref="Q48:U48" xr:uid="{3B27C0A4-8737-48F3-802C-6E9283D46400}">
      <formula1>L_Repris</formula1>
    </dataValidation>
    <dataValidation type="list" allowBlank="1" showInputMessage="1" sqref="AK47:AO47 AA47:AE47 Q47:U47" xr:uid="{A826EB07-51C6-464B-97FD-0135A7BBE57A}">
      <formula1>L_Travaux</formula1>
    </dataValidation>
  </dataValidations>
  <printOptions horizontalCentered="1" verticalCentered="1"/>
  <pageMargins left="0.23622047244094491" right="0.23622047244094491" top="0.23622047244094491" bottom="0.23622047244094491" header="0.31496062992125984" footer="0.31496062992125984"/>
  <pageSetup paperSize="9" fitToHeight="0" orientation="landscape" r:id="rId1"/>
  <rowBreaks count="1" manualBreakCount="1">
    <brk id="25" max="40" man="1"/>
  </rowBreaks>
  <colBreaks count="1" manualBreakCount="1">
    <brk id="40" max="47" man="1"/>
  </col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59E9-9AA1-4801-A9DD-B8D2259B8493}">
  <sheetPr codeName="Feuil3">
    <tabColor theme="4" tint="0.59999389629810485"/>
  </sheetPr>
  <dimension ref="A1:BJ57"/>
  <sheetViews>
    <sheetView view="pageBreakPreview" zoomScale="130" zoomScaleNormal="100" zoomScaleSheetLayoutView="130" workbookViewId="0">
      <selection activeCell="BE23" sqref="BE23:BF23"/>
    </sheetView>
  </sheetViews>
  <sheetFormatPr baseColWidth="10" defaultColWidth="11.42578125" defaultRowHeight="15"/>
  <cols>
    <col min="1" max="55" width="3.28515625" customWidth="1"/>
  </cols>
  <sheetData>
    <row r="1" spans="6:35" ht="14.1" customHeight="1">
      <c r="U1" s="357" t="s">
        <v>285</v>
      </c>
      <c r="V1" s="357"/>
      <c r="W1" s="357"/>
      <c r="X1" s="357"/>
      <c r="Y1" s="357"/>
      <c r="Z1" s="357"/>
      <c r="AA1" s="357"/>
      <c r="AB1" s="357"/>
      <c r="AC1" s="357"/>
      <c r="AD1" s="357"/>
      <c r="AE1" s="357"/>
      <c r="AF1" s="357"/>
      <c r="AG1" s="357"/>
      <c r="AH1" s="357"/>
      <c r="AI1" s="357"/>
    </row>
    <row r="2" spans="6:35" ht="14.1" customHeight="1">
      <c r="U2" s="358"/>
      <c r="V2" s="358"/>
      <c r="W2" s="358"/>
      <c r="X2" s="358"/>
      <c r="Y2" s="358"/>
      <c r="Z2" s="358"/>
      <c r="AA2" s="358"/>
      <c r="AB2" s="358"/>
      <c r="AC2" s="358"/>
      <c r="AD2" s="358"/>
      <c r="AE2" s="358"/>
      <c r="AF2" s="358"/>
      <c r="AG2" s="358"/>
      <c r="AH2" s="358"/>
      <c r="AI2" s="358"/>
    </row>
    <row r="3" spans="6:35" ht="14.1" customHeight="1">
      <c r="U3" s="358"/>
      <c r="V3" s="358"/>
      <c r="W3" s="358"/>
      <c r="X3" s="358"/>
      <c r="Y3" s="358"/>
      <c r="Z3" s="358"/>
      <c r="AA3" s="358"/>
      <c r="AB3" s="358"/>
      <c r="AC3" s="358"/>
      <c r="AD3" s="358"/>
      <c r="AE3" s="358"/>
      <c r="AF3" s="358"/>
      <c r="AG3" s="358"/>
      <c r="AH3" s="358"/>
      <c r="AI3" s="358"/>
    </row>
    <row r="4" spans="6:35" ht="14.1" customHeight="1" thickBot="1">
      <c r="U4" s="359"/>
      <c r="V4" s="359"/>
      <c r="W4" s="359"/>
      <c r="X4" s="359"/>
      <c r="Y4" s="359"/>
      <c r="Z4" s="359"/>
      <c r="AA4" s="359"/>
      <c r="AB4" s="359"/>
      <c r="AC4" s="359"/>
      <c r="AD4" s="359"/>
      <c r="AE4" s="359"/>
      <c r="AF4" s="359"/>
      <c r="AG4" s="359"/>
      <c r="AH4" s="359"/>
      <c r="AI4" s="359"/>
    </row>
    <row r="5" spans="6:35" ht="14.1" customHeight="1">
      <c r="F5" s="360" t="s">
        <v>1</v>
      </c>
      <c r="G5" s="361"/>
      <c r="H5" s="361"/>
      <c r="I5" s="361"/>
      <c r="J5" s="361"/>
      <c r="K5" s="361"/>
      <c r="L5" s="361"/>
      <c r="M5" s="361"/>
      <c r="N5" s="361"/>
      <c r="O5" s="361"/>
      <c r="P5" s="361"/>
      <c r="Q5" s="361"/>
      <c r="R5" s="361"/>
      <c r="S5" s="361"/>
      <c r="T5" s="362"/>
      <c r="U5" s="275" t="s">
        <v>2</v>
      </c>
      <c r="V5" s="276"/>
      <c r="W5" s="276"/>
      <c r="X5" s="276"/>
      <c r="Y5" s="277"/>
      <c r="Z5" s="634">
        <f>Client</f>
        <v>0</v>
      </c>
      <c r="AA5" s="635"/>
      <c r="AB5" s="635"/>
      <c r="AC5" s="635"/>
      <c r="AD5" s="635"/>
      <c r="AE5" s="635"/>
      <c r="AF5" s="635"/>
      <c r="AG5" s="635"/>
      <c r="AH5" s="635"/>
      <c r="AI5" s="636"/>
    </row>
    <row r="6" spans="6:35" ht="14.1" customHeight="1" thickBot="1">
      <c r="F6" s="363"/>
      <c r="G6" s="364"/>
      <c r="H6" s="364"/>
      <c r="I6" s="364"/>
      <c r="J6" s="364"/>
      <c r="K6" s="364"/>
      <c r="L6" s="364"/>
      <c r="M6" s="364"/>
      <c r="N6" s="364"/>
      <c r="O6" s="364"/>
      <c r="P6" s="364"/>
      <c r="Q6" s="364"/>
      <c r="R6" s="364"/>
      <c r="S6" s="364"/>
      <c r="T6" s="365"/>
      <c r="U6" s="151" t="s">
        <v>3</v>
      </c>
      <c r="V6" s="152"/>
      <c r="W6" s="152"/>
      <c r="X6" s="152"/>
      <c r="Y6" s="153"/>
      <c r="Z6" s="287">
        <f>Num_Devis</f>
        <v>0</v>
      </c>
      <c r="AA6" s="632"/>
      <c r="AB6" s="632"/>
      <c r="AC6" s="632"/>
      <c r="AD6" s="632"/>
      <c r="AE6" s="632"/>
      <c r="AF6" s="632"/>
      <c r="AG6" s="632"/>
      <c r="AH6" s="632"/>
      <c r="AI6" s="633"/>
    </row>
    <row r="7" spans="6:35" ht="15.95" customHeight="1">
      <c r="F7" s="203" t="s">
        <v>4</v>
      </c>
      <c r="G7" s="204"/>
      <c r="H7" s="204"/>
      <c r="I7" s="204"/>
      <c r="J7" s="204"/>
      <c r="K7" s="204"/>
      <c r="L7" s="509">
        <f>Commercial</f>
        <v>0</v>
      </c>
      <c r="M7" s="509"/>
      <c r="N7" s="509"/>
      <c r="O7" s="509"/>
      <c r="P7" s="509"/>
      <c r="Q7" s="509"/>
      <c r="R7" s="509"/>
      <c r="S7" s="509"/>
      <c r="T7" s="510"/>
      <c r="U7" s="149" t="s">
        <v>5</v>
      </c>
      <c r="V7" s="150"/>
      <c r="W7" s="150"/>
      <c r="X7" s="150"/>
      <c r="Y7" s="207"/>
      <c r="Z7" s="287">
        <f>Code_Client_Divalto</f>
        <v>0</v>
      </c>
      <c r="AA7" s="632"/>
      <c r="AB7" s="632"/>
      <c r="AC7" s="632"/>
      <c r="AD7" s="632"/>
      <c r="AE7" s="632"/>
      <c r="AF7" s="632"/>
      <c r="AG7" s="632"/>
      <c r="AH7" s="632"/>
      <c r="AI7" s="633"/>
    </row>
    <row r="8" spans="6:35" ht="15.95" customHeight="1">
      <c r="F8" s="203" t="s">
        <v>6</v>
      </c>
      <c r="G8" s="204"/>
      <c r="H8" s="204"/>
      <c r="I8" s="204"/>
      <c r="J8" s="204"/>
      <c r="K8" s="204"/>
      <c r="L8" s="348">
        <f>ICA</f>
        <v>0</v>
      </c>
      <c r="M8" s="349"/>
      <c r="N8" s="349"/>
      <c r="O8" s="349"/>
      <c r="P8" s="349"/>
      <c r="Q8" s="349"/>
      <c r="R8" s="349"/>
      <c r="S8" s="349"/>
      <c r="T8" s="350"/>
      <c r="U8" s="151" t="s">
        <v>7</v>
      </c>
      <c r="V8" s="152"/>
      <c r="W8" s="152"/>
      <c r="X8" s="152"/>
      <c r="Y8" s="153"/>
      <c r="Z8" s="511">
        <f>Affaire_Div</f>
        <v>0</v>
      </c>
      <c r="AA8" s="511"/>
      <c r="AB8" s="511"/>
      <c r="AC8" s="511"/>
      <c r="AD8" s="511"/>
      <c r="AE8" s="511"/>
      <c r="AF8" s="511"/>
      <c r="AG8" s="511"/>
      <c r="AH8" s="511"/>
      <c r="AI8" s="512"/>
    </row>
    <row r="9" spans="6:35" ht="15.95" customHeight="1" thickBot="1">
      <c r="F9" s="274" t="s">
        <v>8</v>
      </c>
      <c r="G9" s="262"/>
      <c r="H9" s="262"/>
      <c r="I9" s="262"/>
      <c r="J9" s="262"/>
      <c r="K9" s="262"/>
      <c r="L9" s="513">
        <f>ChargéAF</f>
        <v>0</v>
      </c>
      <c r="M9" s="513"/>
      <c r="N9" s="513"/>
      <c r="O9" s="513"/>
      <c r="P9" s="513"/>
      <c r="Q9" s="513"/>
      <c r="R9" s="513"/>
      <c r="S9" s="513"/>
      <c r="T9" s="514"/>
      <c r="U9" s="515" t="s">
        <v>9</v>
      </c>
      <c r="V9" s="516"/>
      <c r="W9" s="516"/>
      <c r="X9" s="516"/>
      <c r="Y9" s="517"/>
      <c r="Z9" s="513">
        <f>Projet_SF</f>
        <v>0</v>
      </c>
      <c r="AA9" s="513"/>
      <c r="AB9" s="513"/>
      <c r="AC9" s="513"/>
      <c r="AD9" s="513"/>
      <c r="AE9" s="513"/>
      <c r="AF9" s="513"/>
      <c r="AG9" s="513"/>
      <c r="AH9" s="513"/>
      <c r="AI9" s="514"/>
    </row>
    <row r="10" spans="6:35" ht="15.75" thickBot="1">
      <c r="F10" s="84"/>
      <c r="G10" s="84"/>
      <c r="H10" s="84"/>
      <c r="I10" s="84"/>
      <c r="J10" s="84"/>
      <c r="K10" s="84"/>
      <c r="L10" s="24"/>
      <c r="M10" s="24"/>
      <c r="N10" s="24"/>
      <c r="O10" s="24"/>
      <c r="P10" s="24"/>
      <c r="Q10" s="24"/>
      <c r="R10" s="24"/>
      <c r="S10" s="24"/>
      <c r="T10" s="24"/>
      <c r="U10" s="84"/>
      <c r="V10" s="84"/>
      <c r="W10" s="84"/>
      <c r="X10" s="84"/>
      <c r="Y10" s="84"/>
      <c r="Z10" s="24"/>
      <c r="AA10" s="24"/>
      <c r="AB10" s="24"/>
      <c r="AC10" s="24"/>
      <c r="AD10" s="24"/>
      <c r="AE10" s="24"/>
      <c r="AF10" s="24"/>
      <c r="AG10" s="24"/>
      <c r="AH10" s="24"/>
      <c r="AI10" s="24"/>
    </row>
    <row r="11" spans="6:35" ht="15" customHeight="1">
      <c r="F11" s="628" t="s">
        <v>286</v>
      </c>
      <c r="G11" s="357"/>
      <c r="H11" s="357"/>
      <c r="I11" s="357"/>
      <c r="J11" s="357"/>
      <c r="K11" s="357"/>
      <c r="L11" s="357"/>
      <c r="M11" s="357"/>
      <c r="N11" s="357"/>
      <c r="O11" s="357"/>
      <c r="P11" s="357"/>
      <c r="Q11" s="357"/>
      <c r="R11" s="357"/>
      <c r="S11" s="357"/>
      <c r="T11" s="357"/>
      <c r="U11" s="357"/>
      <c r="V11" s="357"/>
      <c r="W11" s="357"/>
      <c r="X11" s="357"/>
      <c r="Y11" s="357"/>
      <c r="Z11" s="357"/>
      <c r="AA11" s="357"/>
      <c r="AB11" s="357"/>
      <c r="AC11" s="357"/>
      <c r="AD11" s="357"/>
      <c r="AE11" s="357"/>
      <c r="AF11" s="357"/>
      <c r="AG11" s="357"/>
      <c r="AH11" s="357"/>
      <c r="AI11" s="629"/>
    </row>
    <row r="12" spans="6:35" ht="15.75" customHeight="1" thickBot="1">
      <c r="F12" s="630"/>
      <c r="G12" s="359"/>
      <c r="H12" s="359"/>
      <c r="I12" s="359"/>
      <c r="J12" s="359"/>
      <c r="K12" s="359"/>
      <c r="L12" s="359"/>
      <c r="M12" s="359"/>
      <c r="N12" s="359"/>
      <c r="O12" s="359"/>
      <c r="P12" s="359"/>
      <c r="Q12" s="359"/>
      <c r="R12" s="359"/>
      <c r="S12" s="359"/>
      <c r="T12" s="359"/>
      <c r="U12" s="359"/>
      <c r="V12" s="359"/>
      <c r="W12" s="359"/>
      <c r="X12" s="359"/>
      <c r="Y12" s="359"/>
      <c r="Z12" s="359"/>
      <c r="AA12" s="359"/>
      <c r="AB12" s="359"/>
      <c r="AC12" s="359"/>
      <c r="AD12" s="359"/>
      <c r="AE12" s="359"/>
      <c r="AF12" s="359"/>
      <c r="AG12" s="359"/>
      <c r="AH12" s="359"/>
      <c r="AI12" s="631"/>
    </row>
    <row r="13" spans="6:35" ht="23.25" customHeight="1">
      <c r="F13" s="624" t="s">
        <v>287</v>
      </c>
      <c r="G13" s="618"/>
      <c r="H13" s="618"/>
      <c r="I13" s="618"/>
      <c r="J13" s="618"/>
      <c r="K13" s="618"/>
      <c r="L13" s="619"/>
      <c r="M13" s="611"/>
      <c r="N13" s="612"/>
      <c r="O13" s="612"/>
      <c r="P13" s="612"/>
      <c r="Q13" s="613"/>
      <c r="R13" s="614" t="s">
        <v>224</v>
      </c>
      <c r="S13" s="615"/>
      <c r="T13" s="616"/>
      <c r="U13" s="617" t="s">
        <v>288</v>
      </c>
      <c r="V13" s="618"/>
      <c r="W13" s="618"/>
      <c r="X13" s="618"/>
      <c r="Y13" s="618"/>
      <c r="Z13" s="618"/>
      <c r="AA13" s="619"/>
      <c r="AB13" s="611"/>
      <c r="AC13" s="612"/>
      <c r="AD13" s="612"/>
      <c r="AE13" s="612"/>
      <c r="AF13" s="613"/>
      <c r="AG13" s="614" t="s">
        <v>110</v>
      </c>
      <c r="AH13" s="615"/>
      <c r="AI13" s="620"/>
    </row>
    <row r="14" spans="6:35" ht="24" customHeight="1" thickBot="1">
      <c r="F14" s="625" t="s">
        <v>289</v>
      </c>
      <c r="G14" s="626"/>
      <c r="H14" s="626"/>
      <c r="I14" s="626"/>
      <c r="J14" s="626"/>
      <c r="K14" s="626"/>
      <c r="L14" s="627"/>
      <c r="M14" s="655"/>
      <c r="N14" s="656"/>
      <c r="O14" s="656"/>
      <c r="P14" s="656"/>
      <c r="Q14" s="656"/>
      <c r="R14" s="656"/>
      <c r="S14" s="656"/>
      <c r="T14" s="657"/>
      <c r="U14" s="646" t="s">
        <v>290</v>
      </c>
      <c r="V14" s="647"/>
      <c r="W14" s="647"/>
      <c r="X14" s="647"/>
      <c r="Y14" s="647"/>
      <c r="Z14" s="647"/>
      <c r="AA14" s="648"/>
      <c r="AB14" s="649"/>
      <c r="AC14" s="650"/>
      <c r="AD14" s="650"/>
      <c r="AE14" s="650"/>
      <c r="AF14" s="651"/>
      <c r="AG14" s="652" t="s">
        <v>291</v>
      </c>
      <c r="AH14" s="653"/>
      <c r="AI14" s="654"/>
    </row>
    <row r="15" spans="6:35" ht="23.25" customHeight="1">
      <c r="F15" s="624" t="s">
        <v>292</v>
      </c>
      <c r="G15" s="618"/>
      <c r="H15" s="618"/>
      <c r="I15" s="618"/>
      <c r="J15" s="618"/>
      <c r="K15" s="618"/>
      <c r="L15" s="619"/>
      <c r="M15" s="611"/>
      <c r="N15" s="612"/>
      <c r="O15" s="612"/>
      <c r="P15" s="612"/>
      <c r="Q15" s="613"/>
      <c r="R15" s="614" t="s">
        <v>224</v>
      </c>
      <c r="S15" s="615"/>
      <c r="T15" s="616"/>
      <c r="U15" s="617" t="s">
        <v>288</v>
      </c>
      <c r="V15" s="618"/>
      <c r="W15" s="618"/>
      <c r="X15" s="618"/>
      <c r="Y15" s="618"/>
      <c r="Z15" s="618"/>
      <c r="AA15" s="619"/>
      <c r="AB15" s="611"/>
      <c r="AC15" s="612"/>
      <c r="AD15" s="612"/>
      <c r="AE15" s="612"/>
      <c r="AF15" s="613"/>
      <c r="AG15" s="614" t="s">
        <v>110</v>
      </c>
      <c r="AH15" s="615"/>
      <c r="AI15" s="620"/>
    </row>
    <row r="16" spans="6:35" ht="24" customHeight="1" thickBot="1">
      <c r="F16" s="625" t="s">
        <v>293</v>
      </c>
      <c r="G16" s="626"/>
      <c r="H16" s="626"/>
      <c r="I16" s="626"/>
      <c r="J16" s="626"/>
      <c r="K16" s="626"/>
      <c r="L16" s="627"/>
      <c r="M16" s="655"/>
      <c r="N16" s="656"/>
      <c r="O16" s="656"/>
      <c r="P16" s="656"/>
      <c r="Q16" s="656"/>
      <c r="R16" s="656"/>
      <c r="S16" s="656"/>
      <c r="T16" s="657"/>
      <c r="U16" s="646" t="s">
        <v>290</v>
      </c>
      <c r="V16" s="647"/>
      <c r="W16" s="647"/>
      <c r="X16" s="647"/>
      <c r="Y16" s="647"/>
      <c r="Z16" s="647"/>
      <c r="AA16" s="648"/>
      <c r="AB16" s="649"/>
      <c r="AC16" s="650"/>
      <c r="AD16" s="650"/>
      <c r="AE16" s="650"/>
      <c r="AF16" s="651"/>
      <c r="AG16" s="652" t="s">
        <v>291</v>
      </c>
      <c r="AH16" s="653"/>
      <c r="AI16" s="654"/>
    </row>
    <row r="17" spans="1:62" ht="24" customHeight="1" thickBot="1">
      <c r="F17" s="658" t="s">
        <v>294</v>
      </c>
      <c r="G17" s="659"/>
      <c r="H17" s="659"/>
      <c r="I17" s="659"/>
      <c r="J17" s="659"/>
      <c r="K17" s="659"/>
      <c r="L17" s="660"/>
      <c r="M17" s="661"/>
      <c r="N17" s="662"/>
      <c r="O17" s="662"/>
      <c r="P17" s="662"/>
      <c r="Q17" s="663"/>
      <c r="R17" s="621" t="s">
        <v>262</v>
      </c>
      <c r="S17" s="622"/>
      <c r="T17" s="623"/>
      <c r="U17" s="664"/>
      <c r="V17" s="665"/>
      <c r="W17" s="665"/>
      <c r="X17" s="665"/>
      <c r="Y17" s="665"/>
      <c r="Z17" s="665"/>
      <c r="AA17" s="665"/>
      <c r="AB17" s="665"/>
      <c r="AC17" s="665"/>
      <c r="AD17" s="665"/>
      <c r="AE17" s="665"/>
      <c r="AF17" s="665"/>
      <c r="AG17" s="665"/>
      <c r="AH17" s="665"/>
      <c r="AI17" s="666"/>
    </row>
    <row r="18" spans="1:62" ht="24" customHeight="1">
      <c r="F18" s="40" t="s">
        <v>253</v>
      </c>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2"/>
    </row>
    <row r="19" spans="1:62" ht="68.25" customHeight="1" thickBot="1">
      <c r="F19" s="472"/>
      <c r="G19" s="473"/>
      <c r="H19" s="473"/>
      <c r="I19" s="473"/>
      <c r="J19" s="473"/>
      <c r="K19" s="473"/>
      <c r="L19" s="473"/>
      <c r="M19" s="473"/>
      <c r="N19" s="473"/>
      <c r="O19" s="473"/>
      <c r="P19" s="473"/>
      <c r="Q19" s="473"/>
      <c r="R19" s="473"/>
      <c r="S19" s="473"/>
      <c r="T19" s="473"/>
      <c r="U19" s="473"/>
      <c r="V19" s="473"/>
      <c r="W19" s="473"/>
      <c r="X19" s="473"/>
      <c r="Y19" s="473"/>
      <c r="Z19" s="473"/>
      <c r="AA19" s="473"/>
      <c r="AB19" s="473"/>
      <c r="AC19" s="473"/>
      <c r="AD19" s="473"/>
      <c r="AE19" s="473"/>
      <c r="AF19" s="473"/>
      <c r="AG19" s="473"/>
      <c r="AH19" s="473"/>
      <c r="AI19" s="474"/>
      <c r="AJ19" s="6"/>
      <c r="AK19" s="6"/>
      <c r="AL19" s="6"/>
      <c r="AM19" s="6"/>
      <c r="AN19" s="6"/>
      <c r="AO19" s="6"/>
      <c r="AP19" s="6"/>
      <c r="AQ19" s="6"/>
      <c r="AR19" s="6"/>
    </row>
    <row r="20" spans="1:62" ht="24" thickBot="1">
      <c r="AP20" s="6"/>
      <c r="AQ20" s="6"/>
      <c r="AR20" s="6"/>
    </row>
    <row r="21" spans="1:62" ht="20.100000000000001" customHeight="1">
      <c r="A21" s="47"/>
      <c r="B21" s="518" t="s">
        <v>254</v>
      </c>
      <c r="C21" s="520" t="s">
        <v>255</v>
      </c>
      <c r="D21" s="521"/>
      <c r="E21" s="521"/>
      <c r="F21" s="520" t="s">
        <v>256</v>
      </c>
      <c r="G21" s="524"/>
      <c r="H21" s="526" t="s">
        <v>295</v>
      </c>
      <c r="I21" s="527"/>
      <c r="J21" s="527"/>
      <c r="K21" s="527"/>
      <c r="L21" s="527"/>
      <c r="M21" s="527"/>
      <c r="N21" s="527"/>
      <c r="O21" s="527"/>
      <c r="P21" s="527"/>
      <c r="Q21" s="527"/>
      <c r="R21" s="527"/>
      <c r="S21" s="527"/>
      <c r="T21" s="527"/>
      <c r="U21" s="527"/>
      <c r="V21" s="527"/>
      <c r="W21" s="527"/>
      <c r="X21" s="527"/>
      <c r="Y21" s="527"/>
      <c r="Z21" s="527"/>
      <c r="AA21" s="527"/>
      <c r="AB21" s="527"/>
      <c r="AC21" s="527"/>
      <c r="AD21" s="527"/>
      <c r="AE21" s="527"/>
      <c r="AF21" s="527"/>
      <c r="AG21" s="527"/>
      <c r="AH21" s="527"/>
      <c r="AI21" s="527"/>
      <c r="AJ21" s="43"/>
      <c r="AK21" s="43"/>
      <c r="AL21" s="43"/>
      <c r="AM21" s="43"/>
      <c r="AN21" s="43"/>
      <c r="AO21" s="44"/>
    </row>
    <row r="22" spans="1:62" ht="20.100000000000001" customHeight="1" thickBot="1">
      <c r="A22" s="50"/>
      <c r="B22" s="519"/>
      <c r="C22" s="522"/>
      <c r="D22" s="523"/>
      <c r="E22" s="523"/>
      <c r="F22" s="522"/>
      <c r="G22" s="525"/>
      <c r="H22" s="528"/>
      <c r="I22" s="529"/>
      <c r="J22" s="529"/>
      <c r="K22" s="529"/>
      <c r="L22" s="529"/>
      <c r="M22" s="529"/>
      <c r="N22" s="529"/>
      <c r="O22" s="529"/>
      <c r="P22" s="529"/>
      <c r="Q22" s="529"/>
      <c r="R22" s="529"/>
      <c r="S22" s="529"/>
      <c r="T22" s="529"/>
      <c r="U22" s="529"/>
      <c r="V22" s="529"/>
      <c r="W22" s="529"/>
      <c r="X22" s="529"/>
      <c r="Y22" s="529"/>
      <c r="Z22" s="529"/>
      <c r="AA22" s="529"/>
      <c r="AB22" s="529"/>
      <c r="AC22" s="529"/>
      <c r="AD22" s="529"/>
      <c r="AE22" s="529"/>
      <c r="AF22" s="529"/>
      <c r="AG22" s="529"/>
      <c r="AH22" s="529"/>
      <c r="AI22" s="529"/>
      <c r="AJ22" s="45"/>
      <c r="AK22" s="45"/>
      <c r="AL22" s="45"/>
      <c r="AM22" s="45"/>
      <c r="AN22" s="45"/>
      <c r="AO22" s="46"/>
      <c r="AQ22" s="82"/>
      <c r="AR22" s="82"/>
      <c r="AS22" s="82"/>
      <c r="AT22" s="82"/>
      <c r="BG22" s="106"/>
      <c r="BH22" s="106"/>
      <c r="BI22" s="106"/>
      <c r="BJ22" s="106"/>
    </row>
    <row r="23" spans="1:62" ht="15" customHeight="1">
      <c r="A23" s="423" t="s">
        <v>296</v>
      </c>
      <c r="B23" s="53">
        <v>1</v>
      </c>
      <c r="C23" s="427"/>
      <c r="D23" s="418"/>
      <c r="E23" s="413"/>
      <c r="F23" s="427"/>
      <c r="G23" s="419"/>
      <c r="H23" s="452" t="s">
        <v>259</v>
      </c>
      <c r="I23" s="453"/>
      <c r="J23" s="453"/>
      <c r="K23" s="413"/>
      <c r="L23" s="414"/>
      <c r="M23" s="430"/>
      <c r="N23" s="454" t="s">
        <v>260</v>
      </c>
      <c r="O23" s="455"/>
      <c r="P23" s="456"/>
      <c r="Q23" s="413"/>
      <c r="R23" s="414"/>
      <c r="S23" s="414"/>
      <c r="T23" s="430"/>
      <c r="U23" s="667" t="s">
        <v>300</v>
      </c>
      <c r="V23" s="668"/>
      <c r="W23" s="530"/>
      <c r="X23" s="531"/>
      <c r="Y23" s="23" t="s">
        <v>262</v>
      </c>
      <c r="Z23" s="667" t="s">
        <v>301</v>
      </c>
      <c r="AA23" s="668"/>
      <c r="AB23" s="461"/>
      <c r="AC23" s="462"/>
      <c r="AD23" s="16" t="s">
        <v>264</v>
      </c>
      <c r="AE23" s="417" t="s">
        <v>302</v>
      </c>
      <c r="AF23" s="417"/>
      <c r="AG23" s="417"/>
      <c r="AH23" s="418"/>
      <c r="AI23" s="413"/>
      <c r="AJ23" s="11" t="s">
        <v>303</v>
      </c>
      <c r="AK23" s="454" t="s">
        <v>266</v>
      </c>
      <c r="AL23" s="456"/>
      <c r="AM23" s="418"/>
      <c r="AN23" s="418"/>
      <c r="AO23" s="419"/>
      <c r="AQ23" s="558" t="s">
        <v>133</v>
      </c>
      <c r="AR23" s="559"/>
      <c r="AS23" s="559"/>
      <c r="AT23" s="560"/>
      <c r="AU23" s="543"/>
      <c r="AV23" s="544"/>
      <c r="AW23" s="544"/>
      <c r="AX23" s="544"/>
      <c r="AY23" s="544"/>
      <c r="AZ23" s="544"/>
      <c r="BA23" s="544"/>
      <c r="BB23" s="544"/>
      <c r="BC23" s="557"/>
      <c r="BD23" s="64" t="s">
        <v>304</v>
      </c>
      <c r="BE23" s="543"/>
      <c r="BF23" s="557"/>
      <c r="BG23" s="106"/>
      <c r="BH23" s="106"/>
      <c r="BI23" s="106"/>
      <c r="BJ23" s="106"/>
    </row>
    <row r="24" spans="1:62">
      <c r="A24" s="424"/>
      <c r="B24" s="54">
        <v>2</v>
      </c>
      <c r="C24" s="428"/>
      <c r="D24" s="298"/>
      <c r="E24" s="311"/>
      <c r="F24" s="428"/>
      <c r="G24" s="299"/>
      <c r="H24" s="532" t="s">
        <v>259</v>
      </c>
      <c r="I24" s="533"/>
      <c r="J24" s="533"/>
      <c r="K24" s="311"/>
      <c r="L24" s="317"/>
      <c r="M24" s="312"/>
      <c r="N24" s="536" t="s">
        <v>260</v>
      </c>
      <c r="O24" s="537"/>
      <c r="P24" s="538"/>
      <c r="Q24" s="445"/>
      <c r="R24" s="534"/>
      <c r="S24" s="534"/>
      <c r="T24" s="535"/>
      <c r="U24" s="596" t="s">
        <v>300</v>
      </c>
      <c r="V24" s="598"/>
      <c r="W24" s="671"/>
      <c r="X24" s="672"/>
      <c r="Y24" s="8" t="s">
        <v>262</v>
      </c>
      <c r="Z24" s="596" t="s">
        <v>301</v>
      </c>
      <c r="AA24" s="598"/>
      <c r="AB24" s="669"/>
      <c r="AC24" s="670"/>
      <c r="AD24" s="19" t="s">
        <v>264</v>
      </c>
      <c r="AE24" s="301" t="s">
        <v>302</v>
      </c>
      <c r="AF24" s="301"/>
      <c r="AG24" s="301"/>
      <c r="AH24" s="298"/>
      <c r="AI24" s="311"/>
      <c r="AJ24" s="12" t="s">
        <v>303</v>
      </c>
      <c r="AK24" s="457" t="s">
        <v>266</v>
      </c>
      <c r="AL24" s="459"/>
      <c r="AM24" s="298"/>
      <c r="AN24" s="298"/>
      <c r="AO24" s="299"/>
      <c r="AQ24" s="558" t="s">
        <v>133</v>
      </c>
      <c r="AR24" s="559"/>
      <c r="AS24" s="559"/>
      <c r="AT24" s="560"/>
      <c r="AU24" s="543"/>
      <c r="AV24" s="544"/>
      <c r="AW24" s="544"/>
      <c r="AX24" s="544"/>
      <c r="AY24" s="544"/>
      <c r="AZ24" s="544"/>
      <c r="BA24" s="544"/>
      <c r="BB24" s="544"/>
      <c r="BC24" s="557"/>
      <c r="BD24" s="64" t="s">
        <v>304</v>
      </c>
      <c r="BE24" s="543"/>
      <c r="BF24" s="557"/>
      <c r="BG24" s="106"/>
      <c r="BH24" s="106"/>
      <c r="BI24" s="106"/>
      <c r="BJ24" s="106"/>
    </row>
    <row r="25" spans="1:62" ht="15" customHeight="1">
      <c r="A25" s="424"/>
      <c r="B25" s="54">
        <v>3</v>
      </c>
      <c r="C25" s="428"/>
      <c r="D25" s="298"/>
      <c r="E25" s="311"/>
      <c r="F25" s="428"/>
      <c r="G25" s="299"/>
      <c r="H25" s="431" t="s">
        <v>259</v>
      </c>
      <c r="I25" s="432"/>
      <c r="J25" s="432"/>
      <c r="K25" s="311"/>
      <c r="L25" s="317"/>
      <c r="M25" s="312"/>
      <c r="N25" s="457" t="s">
        <v>260</v>
      </c>
      <c r="O25" s="458"/>
      <c r="P25" s="459"/>
      <c r="Q25" s="311"/>
      <c r="R25" s="317"/>
      <c r="S25" s="317"/>
      <c r="T25" s="312"/>
      <c r="U25" s="596" t="s">
        <v>300</v>
      </c>
      <c r="V25" s="598"/>
      <c r="W25" s="543"/>
      <c r="X25" s="544"/>
      <c r="Y25" s="8" t="s">
        <v>262</v>
      </c>
      <c r="Z25" s="596" t="s">
        <v>301</v>
      </c>
      <c r="AA25" s="598"/>
      <c r="AB25" s="463"/>
      <c r="AC25" s="464"/>
      <c r="AD25" s="17" t="s">
        <v>264</v>
      </c>
      <c r="AE25" s="301" t="s">
        <v>302</v>
      </c>
      <c r="AF25" s="301"/>
      <c r="AG25" s="301"/>
      <c r="AH25" s="298"/>
      <c r="AI25" s="311"/>
      <c r="AJ25" s="12" t="s">
        <v>303</v>
      </c>
      <c r="AK25" s="457" t="s">
        <v>266</v>
      </c>
      <c r="AL25" s="459"/>
      <c r="AM25" s="298"/>
      <c r="AN25" s="298"/>
      <c r="AO25" s="299"/>
      <c r="AQ25" s="558" t="s">
        <v>133</v>
      </c>
      <c r="AR25" s="559"/>
      <c r="AS25" s="559"/>
      <c r="AT25" s="560"/>
      <c r="AU25" s="543"/>
      <c r="AV25" s="544"/>
      <c r="AW25" s="544"/>
      <c r="AX25" s="544"/>
      <c r="AY25" s="544"/>
      <c r="AZ25" s="544"/>
      <c r="BA25" s="544"/>
      <c r="BB25" s="544"/>
      <c r="BC25" s="557"/>
      <c r="BD25" s="64" t="s">
        <v>304</v>
      </c>
      <c r="BE25" s="543"/>
      <c r="BF25" s="557"/>
      <c r="BG25" s="106"/>
      <c r="BH25" s="106"/>
      <c r="BI25" s="106"/>
      <c r="BJ25" s="106"/>
    </row>
    <row r="26" spans="1:62" ht="15" customHeight="1">
      <c r="A26" s="424"/>
      <c r="B26" s="55">
        <v>4</v>
      </c>
      <c r="C26" s="428"/>
      <c r="D26" s="298"/>
      <c r="E26" s="311"/>
      <c r="F26" s="428"/>
      <c r="G26" s="299"/>
      <c r="H26" s="431" t="s">
        <v>259</v>
      </c>
      <c r="I26" s="432"/>
      <c r="J26" s="432"/>
      <c r="K26" s="311"/>
      <c r="L26" s="317"/>
      <c r="M26" s="312"/>
      <c r="N26" s="457" t="s">
        <v>260</v>
      </c>
      <c r="O26" s="458"/>
      <c r="P26" s="459"/>
      <c r="Q26" s="311"/>
      <c r="R26" s="317"/>
      <c r="S26" s="317"/>
      <c r="T26" s="312"/>
      <c r="U26" s="596" t="s">
        <v>300</v>
      </c>
      <c r="V26" s="598"/>
      <c r="W26" s="543"/>
      <c r="X26" s="544"/>
      <c r="Y26" s="8" t="s">
        <v>262</v>
      </c>
      <c r="Z26" s="596" t="s">
        <v>301</v>
      </c>
      <c r="AA26" s="598"/>
      <c r="AB26" s="463"/>
      <c r="AC26" s="464"/>
      <c r="AD26" s="17" t="s">
        <v>264</v>
      </c>
      <c r="AE26" s="301" t="s">
        <v>302</v>
      </c>
      <c r="AF26" s="301"/>
      <c r="AG26" s="301"/>
      <c r="AH26" s="298"/>
      <c r="AI26" s="311"/>
      <c r="AJ26" s="12" t="s">
        <v>303</v>
      </c>
      <c r="AK26" s="457" t="s">
        <v>266</v>
      </c>
      <c r="AL26" s="459"/>
      <c r="AM26" s="298"/>
      <c r="AN26" s="298"/>
      <c r="AO26" s="299"/>
      <c r="AQ26" s="558" t="s">
        <v>133</v>
      </c>
      <c r="AR26" s="559"/>
      <c r="AS26" s="559"/>
      <c r="AT26" s="560"/>
      <c r="AU26" s="543"/>
      <c r="AV26" s="544"/>
      <c r="AW26" s="544"/>
      <c r="AX26" s="544"/>
      <c r="AY26" s="544"/>
      <c r="AZ26" s="544"/>
      <c r="BA26" s="544"/>
      <c r="BB26" s="544"/>
      <c r="BC26" s="557"/>
      <c r="BD26" s="64" t="s">
        <v>304</v>
      </c>
      <c r="BE26" s="543"/>
      <c r="BF26" s="557"/>
      <c r="BG26" s="106"/>
      <c r="BH26" s="106"/>
      <c r="BI26" s="106"/>
      <c r="BJ26" s="106"/>
    </row>
    <row r="27" spans="1:62" ht="15" customHeight="1">
      <c r="A27" s="424"/>
      <c r="B27" s="55">
        <v>5</v>
      </c>
      <c r="C27" s="428"/>
      <c r="D27" s="298"/>
      <c r="E27" s="311"/>
      <c r="F27" s="428"/>
      <c r="G27" s="299"/>
      <c r="H27" s="431" t="s">
        <v>259</v>
      </c>
      <c r="I27" s="432"/>
      <c r="J27" s="432"/>
      <c r="K27" s="311"/>
      <c r="L27" s="317"/>
      <c r="M27" s="312"/>
      <c r="N27" s="457" t="s">
        <v>260</v>
      </c>
      <c r="O27" s="458"/>
      <c r="P27" s="459"/>
      <c r="Q27" s="311"/>
      <c r="R27" s="317"/>
      <c r="S27" s="317"/>
      <c r="T27" s="312"/>
      <c r="U27" s="596" t="s">
        <v>300</v>
      </c>
      <c r="V27" s="598"/>
      <c r="W27" s="543"/>
      <c r="X27" s="544"/>
      <c r="Y27" s="8" t="s">
        <v>262</v>
      </c>
      <c r="Z27" s="596" t="s">
        <v>301</v>
      </c>
      <c r="AA27" s="598"/>
      <c r="AB27" s="463"/>
      <c r="AC27" s="464"/>
      <c r="AD27" s="17" t="s">
        <v>264</v>
      </c>
      <c r="AE27" s="301" t="s">
        <v>302</v>
      </c>
      <c r="AF27" s="301"/>
      <c r="AG27" s="301"/>
      <c r="AH27" s="298"/>
      <c r="AI27" s="311"/>
      <c r="AJ27" s="12" t="s">
        <v>303</v>
      </c>
      <c r="AK27" s="457" t="s">
        <v>266</v>
      </c>
      <c r="AL27" s="459"/>
      <c r="AM27" s="298"/>
      <c r="AN27" s="298"/>
      <c r="AO27" s="299"/>
      <c r="AQ27" s="558" t="s">
        <v>133</v>
      </c>
      <c r="AR27" s="559"/>
      <c r="AS27" s="559"/>
      <c r="AT27" s="560"/>
      <c r="AU27" s="543"/>
      <c r="AV27" s="544"/>
      <c r="AW27" s="544"/>
      <c r="AX27" s="544"/>
      <c r="AY27" s="544"/>
      <c r="AZ27" s="544"/>
      <c r="BA27" s="544"/>
      <c r="BB27" s="544"/>
      <c r="BC27" s="557"/>
      <c r="BD27" s="64" t="s">
        <v>304</v>
      </c>
      <c r="BE27" s="543"/>
      <c r="BF27" s="557"/>
      <c r="BG27" s="106"/>
      <c r="BH27" s="106"/>
      <c r="BI27" s="106"/>
      <c r="BJ27" s="106"/>
    </row>
    <row r="28" spans="1:62" ht="15" customHeight="1">
      <c r="A28" s="424"/>
      <c r="B28" s="55">
        <v>6</v>
      </c>
      <c r="C28" s="428"/>
      <c r="D28" s="298"/>
      <c r="E28" s="311"/>
      <c r="F28" s="428"/>
      <c r="G28" s="299"/>
      <c r="H28" s="431" t="s">
        <v>259</v>
      </c>
      <c r="I28" s="432"/>
      <c r="J28" s="432"/>
      <c r="K28" s="311"/>
      <c r="L28" s="317"/>
      <c r="M28" s="312"/>
      <c r="N28" s="457" t="s">
        <v>260</v>
      </c>
      <c r="O28" s="458"/>
      <c r="P28" s="459"/>
      <c r="Q28" s="311"/>
      <c r="R28" s="317"/>
      <c r="S28" s="317"/>
      <c r="T28" s="312"/>
      <c r="U28" s="596" t="s">
        <v>300</v>
      </c>
      <c r="V28" s="598"/>
      <c r="W28" s="543"/>
      <c r="X28" s="544"/>
      <c r="Y28" s="8" t="s">
        <v>262</v>
      </c>
      <c r="Z28" s="596" t="s">
        <v>301</v>
      </c>
      <c r="AA28" s="598"/>
      <c r="AB28" s="463"/>
      <c r="AC28" s="464"/>
      <c r="AD28" s="17" t="s">
        <v>264</v>
      </c>
      <c r="AE28" s="301" t="s">
        <v>302</v>
      </c>
      <c r="AF28" s="301"/>
      <c r="AG28" s="301"/>
      <c r="AH28" s="298"/>
      <c r="AI28" s="311"/>
      <c r="AJ28" s="12" t="s">
        <v>303</v>
      </c>
      <c r="AK28" s="457" t="s">
        <v>266</v>
      </c>
      <c r="AL28" s="459"/>
      <c r="AM28" s="298"/>
      <c r="AN28" s="298"/>
      <c r="AO28" s="299"/>
      <c r="AQ28" s="558" t="s">
        <v>133</v>
      </c>
      <c r="AR28" s="559"/>
      <c r="AS28" s="559"/>
      <c r="AT28" s="560"/>
      <c r="AU28" s="543"/>
      <c r="AV28" s="544"/>
      <c r="AW28" s="544"/>
      <c r="AX28" s="544"/>
      <c r="AY28" s="544"/>
      <c r="AZ28" s="544"/>
      <c r="BA28" s="544"/>
      <c r="BB28" s="544"/>
      <c r="BC28" s="557"/>
      <c r="BD28" s="64" t="s">
        <v>304</v>
      </c>
      <c r="BE28" s="543"/>
      <c r="BF28" s="557"/>
      <c r="BG28" s="106"/>
      <c r="BH28" s="106"/>
      <c r="BI28" s="106"/>
      <c r="BJ28" s="106"/>
    </row>
    <row r="29" spans="1:62" ht="15" customHeight="1" thickBot="1">
      <c r="A29" s="460"/>
      <c r="B29" s="56">
        <v>7</v>
      </c>
      <c r="C29" s="451"/>
      <c r="D29" s="293"/>
      <c r="E29" s="441"/>
      <c r="F29" s="451"/>
      <c r="G29" s="294"/>
      <c r="H29" s="433" t="s">
        <v>259</v>
      </c>
      <c r="I29" s="434"/>
      <c r="J29" s="434"/>
      <c r="K29" s="441"/>
      <c r="L29" s="594"/>
      <c r="M29" s="595"/>
      <c r="N29" s="561" t="s">
        <v>260</v>
      </c>
      <c r="O29" s="562"/>
      <c r="P29" s="593"/>
      <c r="Q29" s="441"/>
      <c r="R29" s="594"/>
      <c r="S29" s="594"/>
      <c r="T29" s="595"/>
      <c r="U29" s="563" t="s">
        <v>300</v>
      </c>
      <c r="V29" s="565"/>
      <c r="W29" s="724"/>
      <c r="X29" s="725"/>
      <c r="Y29" s="9" t="s">
        <v>262</v>
      </c>
      <c r="Z29" s="563" t="s">
        <v>301</v>
      </c>
      <c r="AA29" s="565"/>
      <c r="AB29" s="465"/>
      <c r="AC29" s="466"/>
      <c r="AD29" s="18" t="s">
        <v>264</v>
      </c>
      <c r="AE29" s="292" t="s">
        <v>302</v>
      </c>
      <c r="AF29" s="292"/>
      <c r="AG29" s="292"/>
      <c r="AH29" s="293"/>
      <c r="AI29" s="441"/>
      <c r="AJ29" s="13" t="s">
        <v>303</v>
      </c>
      <c r="AK29" s="561" t="s">
        <v>266</v>
      </c>
      <c r="AL29" s="593"/>
      <c r="AM29" s="293"/>
      <c r="AN29" s="293"/>
      <c r="AO29" s="294"/>
      <c r="AQ29" s="558" t="s">
        <v>133</v>
      </c>
      <c r="AR29" s="559"/>
      <c r="AS29" s="559"/>
      <c r="AT29" s="560"/>
      <c r="AU29" s="543"/>
      <c r="AV29" s="544"/>
      <c r="AW29" s="544"/>
      <c r="AX29" s="544"/>
      <c r="AY29" s="544"/>
      <c r="AZ29" s="544"/>
      <c r="BA29" s="544"/>
      <c r="BB29" s="544"/>
      <c r="BC29" s="557"/>
      <c r="BD29" s="64" t="s">
        <v>304</v>
      </c>
      <c r="BE29" s="543"/>
      <c r="BF29" s="557"/>
      <c r="BG29" s="106"/>
      <c r="BH29" s="106"/>
      <c r="BI29" s="106"/>
      <c r="BJ29" s="106"/>
    </row>
    <row r="30" spans="1:62" ht="15" customHeight="1">
      <c r="A30" s="674" t="s">
        <v>274</v>
      </c>
      <c r="B30" s="66">
        <v>1</v>
      </c>
      <c r="C30" s="609"/>
      <c r="D30" s="444"/>
      <c r="E30" s="445"/>
      <c r="F30" s="609"/>
      <c r="G30" s="610"/>
      <c r="H30" s="645" t="s">
        <v>259</v>
      </c>
      <c r="I30" s="453"/>
      <c r="J30" s="453"/>
      <c r="K30" s="418"/>
      <c r="L30" s="418"/>
      <c r="M30" s="418"/>
      <c r="N30" s="418"/>
      <c r="O30" s="417" t="s">
        <v>277</v>
      </c>
      <c r="P30" s="417"/>
      <c r="Q30" s="417"/>
      <c r="R30" s="418"/>
      <c r="S30" s="413"/>
      <c r="T30" s="7" t="s">
        <v>278</v>
      </c>
      <c r="U30" s="417" t="s">
        <v>275</v>
      </c>
      <c r="V30" s="417"/>
      <c r="W30" s="417"/>
      <c r="X30" s="418"/>
      <c r="Y30" s="418"/>
      <c r="Z30" s="418"/>
      <c r="AA30" s="417" t="s">
        <v>307</v>
      </c>
      <c r="AB30" s="417"/>
      <c r="AC30" s="417"/>
      <c r="AD30" s="99"/>
      <c r="AE30" s="417" t="s">
        <v>302</v>
      </c>
      <c r="AF30" s="417"/>
      <c r="AG30" s="417"/>
      <c r="AH30" s="418"/>
      <c r="AI30" s="413"/>
      <c r="AJ30" s="11" t="s">
        <v>303</v>
      </c>
      <c r="AK30" s="417" t="s">
        <v>266</v>
      </c>
      <c r="AL30" s="417"/>
      <c r="AM30" s="418"/>
      <c r="AN30" s="418"/>
      <c r="AO30" s="419"/>
      <c r="AQ30" s="558" t="s">
        <v>133</v>
      </c>
      <c r="AR30" s="559"/>
      <c r="AS30" s="559"/>
      <c r="AT30" s="560"/>
      <c r="AU30" s="543"/>
      <c r="AV30" s="544"/>
      <c r="AW30" s="544"/>
      <c r="AX30" s="544"/>
      <c r="AY30" s="544"/>
      <c r="AZ30" s="544"/>
      <c r="BA30" s="544"/>
      <c r="BB30" s="544"/>
      <c r="BC30" s="557"/>
      <c r="BD30" s="64" t="s">
        <v>308</v>
      </c>
      <c r="BE30" s="104"/>
      <c r="BF30" s="64" t="s">
        <v>309</v>
      </c>
      <c r="BG30" s="104"/>
      <c r="BH30" s="106"/>
      <c r="BI30" s="106"/>
      <c r="BJ30" s="106"/>
    </row>
    <row r="31" spans="1:62" ht="15" customHeight="1">
      <c r="A31" s="675"/>
      <c r="B31" s="67">
        <v>2</v>
      </c>
      <c r="C31" s="428"/>
      <c r="D31" s="298"/>
      <c r="E31" s="311"/>
      <c r="F31" s="428"/>
      <c r="G31" s="299"/>
      <c r="H31" s="577" t="s">
        <v>259</v>
      </c>
      <c r="I31" s="432"/>
      <c r="J31" s="432"/>
      <c r="K31" s="298"/>
      <c r="L31" s="298"/>
      <c r="M31" s="298"/>
      <c r="N31" s="298"/>
      <c r="O31" s="301" t="s">
        <v>277</v>
      </c>
      <c r="P31" s="301"/>
      <c r="Q31" s="301"/>
      <c r="R31" s="298"/>
      <c r="S31" s="311"/>
      <c r="T31" s="8" t="s">
        <v>278</v>
      </c>
      <c r="U31" s="301" t="s">
        <v>275</v>
      </c>
      <c r="V31" s="301"/>
      <c r="W31" s="301"/>
      <c r="X31" s="298"/>
      <c r="Y31" s="298"/>
      <c r="Z31" s="298"/>
      <c r="AA31" s="301" t="s">
        <v>307</v>
      </c>
      <c r="AB31" s="301"/>
      <c r="AC31" s="301"/>
      <c r="AD31" s="100"/>
      <c r="AE31" s="301" t="s">
        <v>302</v>
      </c>
      <c r="AF31" s="301"/>
      <c r="AG31" s="301"/>
      <c r="AH31" s="298"/>
      <c r="AI31" s="311"/>
      <c r="AJ31" s="12" t="s">
        <v>303</v>
      </c>
      <c r="AK31" s="301" t="s">
        <v>266</v>
      </c>
      <c r="AL31" s="301"/>
      <c r="AM31" s="298"/>
      <c r="AN31" s="298"/>
      <c r="AO31" s="299"/>
      <c r="AQ31" s="558" t="s">
        <v>133</v>
      </c>
      <c r="AR31" s="559"/>
      <c r="AS31" s="559"/>
      <c r="AT31" s="560"/>
      <c r="AU31" s="543"/>
      <c r="AV31" s="544"/>
      <c r="AW31" s="544"/>
      <c r="AX31" s="544"/>
      <c r="AY31" s="544"/>
      <c r="AZ31" s="544"/>
      <c r="BA31" s="544"/>
      <c r="BB31" s="544"/>
      <c r="BC31" s="557"/>
      <c r="BD31" s="64" t="s">
        <v>308</v>
      </c>
      <c r="BE31" s="104"/>
      <c r="BF31" s="64" t="s">
        <v>309</v>
      </c>
      <c r="BG31" s="104"/>
      <c r="BH31" s="106"/>
      <c r="BI31" s="106"/>
      <c r="BJ31" s="106"/>
    </row>
    <row r="32" spans="1:62" ht="15" customHeight="1">
      <c r="A32" s="675"/>
      <c r="B32" s="67">
        <v>3</v>
      </c>
      <c r="C32" s="428"/>
      <c r="D32" s="298"/>
      <c r="E32" s="311"/>
      <c r="F32" s="428"/>
      <c r="G32" s="299"/>
      <c r="H32" s="577" t="s">
        <v>259</v>
      </c>
      <c r="I32" s="432"/>
      <c r="J32" s="432"/>
      <c r="K32" s="298"/>
      <c r="L32" s="298"/>
      <c r="M32" s="298"/>
      <c r="N32" s="298"/>
      <c r="O32" s="301" t="s">
        <v>277</v>
      </c>
      <c r="P32" s="301"/>
      <c r="Q32" s="301"/>
      <c r="R32" s="298"/>
      <c r="S32" s="311"/>
      <c r="T32" s="8" t="s">
        <v>278</v>
      </c>
      <c r="U32" s="301" t="s">
        <v>275</v>
      </c>
      <c r="V32" s="301"/>
      <c r="W32" s="301"/>
      <c r="X32" s="298"/>
      <c r="Y32" s="298"/>
      <c r="Z32" s="298"/>
      <c r="AA32" s="301" t="s">
        <v>307</v>
      </c>
      <c r="AB32" s="301"/>
      <c r="AC32" s="301"/>
      <c r="AD32" s="100"/>
      <c r="AE32" s="301" t="s">
        <v>302</v>
      </c>
      <c r="AF32" s="301"/>
      <c r="AG32" s="301"/>
      <c r="AH32" s="298"/>
      <c r="AI32" s="311"/>
      <c r="AJ32" s="12" t="s">
        <v>303</v>
      </c>
      <c r="AK32" s="301" t="s">
        <v>266</v>
      </c>
      <c r="AL32" s="301"/>
      <c r="AM32" s="298"/>
      <c r="AN32" s="298"/>
      <c r="AO32" s="299"/>
      <c r="AQ32" s="558" t="s">
        <v>133</v>
      </c>
      <c r="AR32" s="559"/>
      <c r="AS32" s="559"/>
      <c r="AT32" s="560"/>
      <c r="AU32" s="543"/>
      <c r="AV32" s="544"/>
      <c r="AW32" s="544"/>
      <c r="AX32" s="544"/>
      <c r="AY32" s="544"/>
      <c r="AZ32" s="544"/>
      <c r="BA32" s="544"/>
      <c r="BB32" s="544"/>
      <c r="BC32" s="557"/>
      <c r="BD32" s="64" t="s">
        <v>308</v>
      </c>
      <c r="BE32" s="104"/>
      <c r="BF32" s="64" t="s">
        <v>309</v>
      </c>
      <c r="BG32" s="104"/>
      <c r="BH32" s="106"/>
      <c r="BI32" s="106"/>
      <c r="BJ32" s="106"/>
    </row>
    <row r="33" spans="1:62" ht="15" customHeight="1" thickBot="1">
      <c r="A33" s="676"/>
      <c r="B33" s="68">
        <v>4</v>
      </c>
      <c r="C33" s="429"/>
      <c r="D33" s="421"/>
      <c r="E33" s="401"/>
      <c r="F33" s="429"/>
      <c r="G33" s="422"/>
      <c r="H33" s="673" t="s">
        <v>259</v>
      </c>
      <c r="I33" s="434"/>
      <c r="J33" s="434"/>
      <c r="K33" s="293"/>
      <c r="L33" s="293"/>
      <c r="M33" s="293"/>
      <c r="N33" s="293"/>
      <c r="O33" s="292" t="s">
        <v>277</v>
      </c>
      <c r="P33" s="292"/>
      <c r="Q33" s="292"/>
      <c r="R33" s="293"/>
      <c r="S33" s="441"/>
      <c r="T33" s="9" t="s">
        <v>278</v>
      </c>
      <c r="U33" s="292" t="s">
        <v>275</v>
      </c>
      <c r="V33" s="292"/>
      <c r="W33" s="292"/>
      <c r="X33" s="293"/>
      <c r="Y33" s="293"/>
      <c r="Z33" s="293"/>
      <c r="AA33" s="292" t="s">
        <v>307</v>
      </c>
      <c r="AB33" s="292"/>
      <c r="AC33" s="292"/>
      <c r="AD33" s="101"/>
      <c r="AE33" s="292" t="s">
        <v>302</v>
      </c>
      <c r="AF33" s="292"/>
      <c r="AG33" s="292"/>
      <c r="AH33" s="293"/>
      <c r="AI33" s="441"/>
      <c r="AJ33" s="13" t="s">
        <v>303</v>
      </c>
      <c r="AK33" s="292" t="s">
        <v>266</v>
      </c>
      <c r="AL33" s="292"/>
      <c r="AM33" s="293"/>
      <c r="AN33" s="293"/>
      <c r="AO33" s="294"/>
      <c r="AQ33" s="558" t="s">
        <v>133</v>
      </c>
      <c r="AR33" s="559"/>
      <c r="AS33" s="559"/>
      <c r="AT33" s="560"/>
      <c r="AU33" s="543"/>
      <c r="AV33" s="544"/>
      <c r="AW33" s="544"/>
      <c r="AX33" s="544"/>
      <c r="AY33" s="544"/>
      <c r="AZ33" s="544"/>
      <c r="BA33" s="544"/>
      <c r="BB33" s="544"/>
      <c r="BC33" s="557"/>
      <c r="BD33" s="64" t="s">
        <v>308</v>
      </c>
      <c r="BE33" s="104"/>
      <c r="BF33" s="64" t="s">
        <v>309</v>
      </c>
      <c r="BG33" s="104"/>
      <c r="BH33" s="106"/>
      <c r="BI33" s="106"/>
      <c r="BJ33" s="106"/>
    </row>
    <row r="34" spans="1:62" ht="15" customHeight="1">
      <c r="A34" s="684" t="s">
        <v>310</v>
      </c>
      <c r="B34" s="66">
        <v>1</v>
      </c>
      <c r="C34" s="427"/>
      <c r="D34" s="418"/>
      <c r="E34" s="413"/>
      <c r="F34" s="427"/>
      <c r="G34" s="419"/>
      <c r="H34" s="645" t="s">
        <v>260</v>
      </c>
      <c r="I34" s="453"/>
      <c r="J34" s="453"/>
      <c r="K34" s="413"/>
      <c r="L34" s="414"/>
      <c r="M34" s="414"/>
      <c r="N34" s="414"/>
      <c r="O34" s="414"/>
      <c r="P34" s="414"/>
      <c r="Q34" s="430"/>
      <c r="R34" s="454" t="s">
        <v>269</v>
      </c>
      <c r="S34" s="455"/>
      <c r="T34" s="456"/>
      <c r="U34" s="413"/>
      <c r="V34" s="414"/>
      <c r="W34" s="430"/>
      <c r="X34" s="417" t="s">
        <v>261</v>
      </c>
      <c r="Y34" s="417"/>
      <c r="Z34" s="417"/>
      <c r="AA34" s="417"/>
      <c r="AB34" s="461"/>
      <c r="AC34" s="462"/>
      <c r="AD34" s="7" t="s">
        <v>262</v>
      </c>
      <c r="AE34" s="417" t="s">
        <v>113</v>
      </c>
      <c r="AF34" s="417"/>
      <c r="AG34" s="417"/>
      <c r="AH34" s="418"/>
      <c r="AI34" s="413"/>
      <c r="AJ34" s="11" t="s">
        <v>114</v>
      </c>
      <c r="AK34" s="417" t="s">
        <v>266</v>
      </c>
      <c r="AL34" s="417"/>
      <c r="AM34" s="418"/>
      <c r="AN34" s="418"/>
      <c r="AO34" s="419"/>
      <c r="AQ34" s="558" t="s">
        <v>133</v>
      </c>
      <c r="AR34" s="559"/>
      <c r="AS34" s="559"/>
      <c r="AT34" s="560"/>
      <c r="AU34" s="543"/>
      <c r="AV34" s="544"/>
      <c r="AW34" s="544"/>
      <c r="AX34" s="544"/>
      <c r="AY34" s="544"/>
      <c r="AZ34" s="544"/>
      <c r="BA34" s="544"/>
      <c r="BB34" s="544"/>
      <c r="BC34" s="557"/>
      <c r="BD34" s="64" t="s">
        <v>301</v>
      </c>
      <c r="BE34" s="104"/>
      <c r="BF34" s="64" t="s">
        <v>304</v>
      </c>
      <c r="BG34" s="543"/>
      <c r="BH34" s="557"/>
      <c r="BI34" s="106"/>
      <c r="BJ34" s="106"/>
    </row>
    <row r="35" spans="1:62" ht="15" customHeight="1">
      <c r="A35" s="685"/>
      <c r="B35" s="67">
        <v>2</v>
      </c>
      <c r="C35" s="428"/>
      <c r="D35" s="298"/>
      <c r="E35" s="311"/>
      <c r="F35" s="428"/>
      <c r="G35" s="299"/>
      <c r="H35" s="577" t="s">
        <v>260</v>
      </c>
      <c r="I35" s="432"/>
      <c r="J35" s="432"/>
      <c r="K35" s="445"/>
      <c r="L35" s="534"/>
      <c r="M35" s="534"/>
      <c r="N35" s="534"/>
      <c r="O35" s="534"/>
      <c r="P35" s="534"/>
      <c r="Q35" s="535"/>
      <c r="R35" s="536" t="s">
        <v>269</v>
      </c>
      <c r="S35" s="537"/>
      <c r="T35" s="538"/>
      <c r="U35" s="445"/>
      <c r="V35" s="534"/>
      <c r="W35" s="535"/>
      <c r="X35" s="301" t="s">
        <v>261</v>
      </c>
      <c r="Y35" s="301"/>
      <c r="Z35" s="301"/>
      <c r="AA35" s="301"/>
      <c r="AB35" s="463"/>
      <c r="AC35" s="464"/>
      <c r="AD35" s="8" t="s">
        <v>262</v>
      </c>
      <c r="AE35" s="301" t="s">
        <v>113</v>
      </c>
      <c r="AF35" s="301"/>
      <c r="AG35" s="301"/>
      <c r="AH35" s="298"/>
      <c r="AI35" s="311"/>
      <c r="AJ35" s="12" t="s">
        <v>114</v>
      </c>
      <c r="AK35" s="301" t="s">
        <v>266</v>
      </c>
      <c r="AL35" s="301"/>
      <c r="AM35" s="298"/>
      <c r="AN35" s="298"/>
      <c r="AO35" s="299"/>
      <c r="AQ35" s="558" t="s">
        <v>133</v>
      </c>
      <c r="AR35" s="559"/>
      <c r="AS35" s="559"/>
      <c r="AT35" s="560"/>
      <c r="AU35" s="543"/>
      <c r="AV35" s="544"/>
      <c r="AW35" s="544"/>
      <c r="AX35" s="544"/>
      <c r="AY35" s="544"/>
      <c r="AZ35" s="544"/>
      <c r="BA35" s="544"/>
      <c r="BB35" s="544"/>
      <c r="BC35" s="557"/>
      <c r="BD35" s="64" t="s">
        <v>301</v>
      </c>
      <c r="BE35" s="104"/>
      <c r="BF35" s="64" t="s">
        <v>304</v>
      </c>
      <c r="BG35" s="555"/>
      <c r="BH35" s="556"/>
      <c r="BI35" s="106"/>
      <c r="BJ35" s="106"/>
    </row>
    <row r="36" spans="1:62" ht="15" customHeight="1">
      <c r="A36" s="685"/>
      <c r="B36" s="67">
        <v>3</v>
      </c>
      <c r="C36" s="428"/>
      <c r="D36" s="298"/>
      <c r="E36" s="311"/>
      <c r="F36" s="428"/>
      <c r="G36" s="299"/>
      <c r="H36" s="577" t="s">
        <v>260</v>
      </c>
      <c r="I36" s="432"/>
      <c r="J36" s="432"/>
      <c r="K36" s="445"/>
      <c r="L36" s="534"/>
      <c r="M36" s="534"/>
      <c r="N36" s="534"/>
      <c r="O36" s="534"/>
      <c r="P36" s="534"/>
      <c r="Q36" s="535"/>
      <c r="R36" s="536" t="s">
        <v>269</v>
      </c>
      <c r="S36" s="537"/>
      <c r="T36" s="538"/>
      <c r="U36" s="445"/>
      <c r="V36" s="534"/>
      <c r="W36" s="535"/>
      <c r="X36" s="301" t="s">
        <v>261</v>
      </c>
      <c r="Y36" s="301"/>
      <c r="Z36" s="301"/>
      <c r="AA36" s="301"/>
      <c r="AB36" s="463"/>
      <c r="AC36" s="464"/>
      <c r="AD36" s="8" t="s">
        <v>262</v>
      </c>
      <c r="AE36" s="301" t="s">
        <v>113</v>
      </c>
      <c r="AF36" s="301"/>
      <c r="AG36" s="301"/>
      <c r="AH36" s="298"/>
      <c r="AI36" s="311"/>
      <c r="AJ36" s="12" t="s">
        <v>114</v>
      </c>
      <c r="AK36" s="301" t="s">
        <v>266</v>
      </c>
      <c r="AL36" s="301"/>
      <c r="AM36" s="298"/>
      <c r="AN36" s="298"/>
      <c r="AO36" s="299"/>
      <c r="AQ36" s="558" t="s">
        <v>133</v>
      </c>
      <c r="AR36" s="559"/>
      <c r="AS36" s="559"/>
      <c r="AT36" s="560"/>
      <c r="AU36" s="543"/>
      <c r="AV36" s="544"/>
      <c r="AW36" s="544"/>
      <c r="AX36" s="544"/>
      <c r="AY36" s="544"/>
      <c r="AZ36" s="544"/>
      <c r="BA36" s="544"/>
      <c r="BB36" s="544"/>
      <c r="BC36" s="557"/>
      <c r="BD36" s="64" t="s">
        <v>301</v>
      </c>
      <c r="BE36" s="104"/>
      <c r="BF36" s="64" t="s">
        <v>304</v>
      </c>
      <c r="BG36" s="555"/>
      <c r="BH36" s="556"/>
      <c r="BI36" s="106"/>
      <c r="BJ36" s="106"/>
    </row>
    <row r="37" spans="1:62" ht="15" customHeight="1" thickBot="1">
      <c r="A37" s="686"/>
      <c r="B37" s="68">
        <v>4</v>
      </c>
      <c r="C37" s="451"/>
      <c r="D37" s="293"/>
      <c r="E37" s="441"/>
      <c r="F37" s="451"/>
      <c r="G37" s="294"/>
      <c r="H37" s="673" t="s">
        <v>260</v>
      </c>
      <c r="I37" s="434"/>
      <c r="J37" s="434"/>
      <c r="K37" s="600"/>
      <c r="L37" s="575"/>
      <c r="M37" s="575"/>
      <c r="N37" s="575"/>
      <c r="O37" s="575"/>
      <c r="P37" s="575"/>
      <c r="Q37" s="601"/>
      <c r="R37" s="602" t="s">
        <v>269</v>
      </c>
      <c r="S37" s="603"/>
      <c r="T37" s="604"/>
      <c r="U37" s="600"/>
      <c r="V37" s="575"/>
      <c r="W37" s="601"/>
      <c r="X37" s="292" t="s">
        <v>261</v>
      </c>
      <c r="Y37" s="292"/>
      <c r="Z37" s="292"/>
      <c r="AA37" s="292"/>
      <c r="AB37" s="689"/>
      <c r="AC37" s="690"/>
      <c r="AD37" s="15" t="s">
        <v>262</v>
      </c>
      <c r="AE37" s="599" t="s">
        <v>113</v>
      </c>
      <c r="AF37" s="599"/>
      <c r="AG37" s="599"/>
      <c r="AH37" s="682"/>
      <c r="AI37" s="600"/>
      <c r="AJ37" s="14" t="s">
        <v>114</v>
      </c>
      <c r="AK37" s="599" t="s">
        <v>266</v>
      </c>
      <c r="AL37" s="599"/>
      <c r="AM37" s="682"/>
      <c r="AN37" s="682"/>
      <c r="AO37" s="683"/>
      <c r="AQ37" s="558" t="s">
        <v>133</v>
      </c>
      <c r="AR37" s="559"/>
      <c r="AS37" s="559"/>
      <c r="AT37" s="560"/>
      <c r="AU37" s="543"/>
      <c r="AV37" s="544"/>
      <c r="AW37" s="544"/>
      <c r="AX37" s="544"/>
      <c r="AY37" s="544"/>
      <c r="AZ37" s="544"/>
      <c r="BA37" s="544"/>
      <c r="BB37" s="544"/>
      <c r="BC37" s="557"/>
      <c r="BD37" s="64" t="s">
        <v>301</v>
      </c>
      <c r="BE37" s="104"/>
      <c r="BF37" s="64" t="s">
        <v>304</v>
      </c>
      <c r="BG37" s="555"/>
      <c r="BH37" s="556"/>
      <c r="BI37" s="106"/>
      <c r="BJ37" s="106"/>
    </row>
    <row r="38" spans="1:62" ht="15" customHeight="1">
      <c r="A38" s="684" t="s">
        <v>311</v>
      </c>
      <c r="B38" s="66">
        <v>1</v>
      </c>
      <c r="C38" s="609"/>
      <c r="D38" s="444"/>
      <c r="E38" s="445"/>
      <c r="F38" s="609"/>
      <c r="G38" s="610"/>
      <c r="H38" s="687" t="s">
        <v>260</v>
      </c>
      <c r="I38" s="533"/>
      <c r="J38" s="533"/>
      <c r="K38" s="445"/>
      <c r="L38" s="534"/>
      <c r="M38" s="534"/>
      <c r="N38" s="534"/>
      <c r="O38" s="534"/>
      <c r="P38" s="534"/>
      <c r="Q38" s="535"/>
      <c r="R38" s="536" t="s">
        <v>269</v>
      </c>
      <c r="S38" s="537"/>
      <c r="T38" s="538"/>
      <c r="U38" s="445"/>
      <c r="V38" s="534"/>
      <c r="W38" s="535"/>
      <c r="X38" s="607" t="s">
        <v>307</v>
      </c>
      <c r="Y38" s="607"/>
      <c r="Z38" s="607"/>
      <c r="AA38" s="607"/>
      <c r="AB38" s="542"/>
      <c r="AC38" s="582"/>
      <c r="AD38" s="582"/>
      <c r="AE38" s="583"/>
      <c r="AF38" s="696" t="s">
        <v>312</v>
      </c>
      <c r="AG38" s="696"/>
      <c r="AH38" s="697"/>
      <c r="AI38" s="582"/>
      <c r="AJ38" s="583"/>
      <c r="AK38" s="607" t="s">
        <v>266</v>
      </c>
      <c r="AL38" s="607"/>
      <c r="AM38" s="444"/>
      <c r="AN38" s="444"/>
      <c r="AO38" s="610"/>
      <c r="AQ38" s="105"/>
      <c r="AR38" s="105"/>
      <c r="AS38" s="105"/>
      <c r="AT38" s="105"/>
      <c r="AU38" s="106"/>
      <c r="AV38" s="106"/>
      <c r="AW38" s="106"/>
      <c r="AX38" s="106"/>
      <c r="AY38" s="106"/>
      <c r="AZ38" s="106"/>
      <c r="BA38" s="106"/>
      <c r="BB38" s="106"/>
      <c r="BC38" s="106"/>
      <c r="BD38" s="106"/>
      <c r="BE38" s="106"/>
      <c r="BF38" s="106"/>
      <c r="BG38" s="106"/>
      <c r="BH38" s="106"/>
      <c r="BI38" s="106"/>
      <c r="BJ38" s="106"/>
    </row>
    <row r="39" spans="1:62" ht="15" customHeight="1">
      <c r="A39" s="685"/>
      <c r="B39" s="67">
        <v>2</v>
      </c>
      <c r="C39" s="428"/>
      <c r="D39" s="298"/>
      <c r="E39" s="311"/>
      <c r="F39" s="428"/>
      <c r="G39" s="299"/>
      <c r="H39" s="577" t="s">
        <v>260</v>
      </c>
      <c r="I39" s="432"/>
      <c r="J39" s="432"/>
      <c r="K39" s="445"/>
      <c r="L39" s="534"/>
      <c r="M39" s="534"/>
      <c r="N39" s="534"/>
      <c r="O39" s="534"/>
      <c r="P39" s="534"/>
      <c r="Q39" s="535"/>
      <c r="R39" s="536" t="s">
        <v>269</v>
      </c>
      <c r="S39" s="537"/>
      <c r="T39" s="538"/>
      <c r="U39" s="445"/>
      <c r="V39" s="534"/>
      <c r="W39" s="535"/>
      <c r="X39" s="301" t="s">
        <v>307</v>
      </c>
      <c r="Y39" s="301"/>
      <c r="Z39" s="301"/>
      <c r="AA39" s="301"/>
      <c r="AB39" s="464"/>
      <c r="AC39" s="578"/>
      <c r="AD39" s="578"/>
      <c r="AE39" s="579"/>
      <c r="AF39" s="580" t="s">
        <v>312</v>
      </c>
      <c r="AG39" s="580"/>
      <c r="AH39" s="581"/>
      <c r="AI39" s="578"/>
      <c r="AJ39" s="579"/>
      <c r="AK39" s="301" t="s">
        <v>266</v>
      </c>
      <c r="AL39" s="301"/>
      <c r="AM39" s="298"/>
      <c r="AN39" s="298"/>
      <c r="AO39" s="299"/>
      <c r="AQ39" s="106"/>
      <c r="AR39" s="106"/>
      <c r="AS39" s="106" t="s">
        <v>313</v>
      </c>
      <c r="AT39" s="106"/>
      <c r="AU39" s="106"/>
      <c r="AV39" s="106"/>
      <c r="AW39" s="106"/>
      <c r="AX39" s="106"/>
      <c r="AY39" s="106"/>
      <c r="AZ39" s="106"/>
      <c r="BA39" s="106"/>
      <c r="BB39" s="106"/>
      <c r="BC39" s="106"/>
      <c r="BD39" s="106"/>
      <c r="BE39" s="106"/>
      <c r="BF39" s="106"/>
      <c r="BG39" s="106"/>
      <c r="BH39" s="106"/>
      <c r="BI39" s="106"/>
      <c r="BJ39" s="106"/>
    </row>
    <row r="40" spans="1:62" ht="15" customHeight="1">
      <c r="A40" s="685"/>
      <c r="B40" s="67">
        <v>3</v>
      </c>
      <c r="C40" s="428"/>
      <c r="D40" s="298"/>
      <c r="E40" s="311"/>
      <c r="F40" s="428"/>
      <c r="G40" s="299"/>
      <c r="H40" s="577" t="s">
        <v>260</v>
      </c>
      <c r="I40" s="432"/>
      <c r="J40" s="432"/>
      <c r="K40" s="445"/>
      <c r="L40" s="534"/>
      <c r="M40" s="534"/>
      <c r="N40" s="534"/>
      <c r="O40" s="534"/>
      <c r="P40" s="534"/>
      <c r="Q40" s="535"/>
      <c r="R40" s="536" t="s">
        <v>269</v>
      </c>
      <c r="S40" s="537"/>
      <c r="T40" s="538"/>
      <c r="U40" s="445"/>
      <c r="V40" s="534"/>
      <c r="W40" s="535"/>
      <c r="X40" s="301" t="s">
        <v>307</v>
      </c>
      <c r="Y40" s="301"/>
      <c r="Z40" s="301"/>
      <c r="AA40" s="301"/>
      <c r="AB40" s="464"/>
      <c r="AC40" s="578"/>
      <c r="AD40" s="578"/>
      <c r="AE40" s="579"/>
      <c r="AF40" s="580" t="s">
        <v>312</v>
      </c>
      <c r="AG40" s="580"/>
      <c r="AH40" s="581"/>
      <c r="AI40" s="582"/>
      <c r="AJ40" s="583"/>
      <c r="AK40" s="301" t="s">
        <v>266</v>
      </c>
      <c r="AL40" s="301"/>
      <c r="AM40" s="298"/>
      <c r="AN40" s="298"/>
      <c r="AO40" s="299"/>
      <c r="AQ40" s="106"/>
      <c r="AR40" s="106"/>
      <c r="AS40" s="106"/>
      <c r="AT40" s="106"/>
      <c r="AU40" s="106"/>
      <c r="AV40" s="106"/>
      <c r="AW40" s="106"/>
      <c r="AX40" s="106"/>
      <c r="AY40" s="106"/>
      <c r="AZ40" s="106"/>
      <c r="BA40" s="106"/>
      <c r="BB40" s="106"/>
      <c r="BC40" s="106"/>
      <c r="BD40" s="106"/>
      <c r="BE40" s="106"/>
      <c r="BF40" s="106"/>
      <c r="BG40" s="106"/>
      <c r="BH40" s="106"/>
      <c r="BI40" s="106"/>
      <c r="BJ40" s="106"/>
    </row>
    <row r="41" spans="1:62" ht="15" customHeight="1">
      <c r="A41" s="685"/>
      <c r="B41" s="67">
        <v>4</v>
      </c>
      <c r="C41" s="428"/>
      <c r="D41" s="298"/>
      <c r="E41" s="311"/>
      <c r="F41" s="428"/>
      <c r="G41" s="299"/>
      <c r="H41" s="577" t="s">
        <v>260</v>
      </c>
      <c r="I41" s="432"/>
      <c r="J41" s="432"/>
      <c r="K41" s="445"/>
      <c r="L41" s="534"/>
      <c r="M41" s="534"/>
      <c r="N41" s="534"/>
      <c r="O41" s="534"/>
      <c r="P41" s="534"/>
      <c r="Q41" s="535"/>
      <c r="R41" s="536" t="s">
        <v>269</v>
      </c>
      <c r="S41" s="537"/>
      <c r="T41" s="538"/>
      <c r="U41" s="445"/>
      <c r="V41" s="534"/>
      <c r="W41" s="535"/>
      <c r="X41" s="301" t="s">
        <v>307</v>
      </c>
      <c r="Y41" s="301"/>
      <c r="Z41" s="301"/>
      <c r="AA41" s="301"/>
      <c r="AB41" s="464"/>
      <c r="AC41" s="578"/>
      <c r="AD41" s="578"/>
      <c r="AE41" s="579"/>
      <c r="AF41" s="580" t="s">
        <v>312</v>
      </c>
      <c r="AG41" s="580"/>
      <c r="AH41" s="581"/>
      <c r="AI41" s="582"/>
      <c r="AJ41" s="583"/>
      <c r="AK41" s="301" t="s">
        <v>266</v>
      </c>
      <c r="AL41" s="301"/>
      <c r="AM41" s="298"/>
      <c r="AN41" s="298"/>
      <c r="AO41" s="299"/>
      <c r="AQ41" s="106"/>
      <c r="AR41" s="106"/>
      <c r="AS41" s="106"/>
      <c r="AT41" s="106"/>
      <c r="AU41" s="106"/>
      <c r="AV41" s="106"/>
      <c r="AW41" s="106"/>
      <c r="AX41" s="106"/>
      <c r="AY41" s="106"/>
      <c r="AZ41" s="106"/>
      <c r="BA41" s="106"/>
      <c r="BB41" s="106"/>
      <c r="BC41" s="106"/>
      <c r="BD41" s="106"/>
      <c r="BE41" s="106"/>
      <c r="BF41" s="106"/>
      <c r="BG41" s="106"/>
      <c r="BH41" s="106"/>
      <c r="BI41" s="106"/>
      <c r="BJ41" s="106"/>
    </row>
    <row r="42" spans="1:62" ht="15" customHeight="1">
      <c r="A42" s="685"/>
      <c r="B42" s="67">
        <v>5</v>
      </c>
      <c r="C42" s="428"/>
      <c r="D42" s="298"/>
      <c r="E42" s="311"/>
      <c r="F42" s="428"/>
      <c r="G42" s="299"/>
      <c r="H42" s="577" t="s">
        <v>260</v>
      </c>
      <c r="I42" s="432"/>
      <c r="J42" s="432"/>
      <c r="K42" s="445"/>
      <c r="L42" s="534"/>
      <c r="M42" s="534"/>
      <c r="N42" s="534"/>
      <c r="O42" s="534"/>
      <c r="P42" s="534"/>
      <c r="Q42" s="535"/>
      <c r="R42" s="536" t="s">
        <v>269</v>
      </c>
      <c r="S42" s="537"/>
      <c r="T42" s="538"/>
      <c r="U42" s="445"/>
      <c r="V42" s="534"/>
      <c r="W42" s="535"/>
      <c r="X42" s="301" t="s">
        <v>307</v>
      </c>
      <c r="Y42" s="301"/>
      <c r="Z42" s="301"/>
      <c r="AA42" s="301"/>
      <c r="AB42" s="464"/>
      <c r="AC42" s="578"/>
      <c r="AD42" s="578"/>
      <c r="AE42" s="579"/>
      <c r="AF42" s="580" t="s">
        <v>312</v>
      </c>
      <c r="AG42" s="580"/>
      <c r="AH42" s="581"/>
      <c r="AI42" s="582"/>
      <c r="AJ42" s="583"/>
      <c r="AK42" s="301" t="s">
        <v>266</v>
      </c>
      <c r="AL42" s="301"/>
      <c r="AM42" s="298"/>
      <c r="AN42" s="298"/>
      <c r="AO42" s="299"/>
      <c r="AQ42" s="106"/>
      <c r="AR42" s="106"/>
      <c r="AS42" s="106"/>
      <c r="AT42" s="106"/>
      <c r="AU42" s="106"/>
      <c r="AV42" s="106"/>
      <c r="AW42" s="106"/>
      <c r="AX42" s="106"/>
      <c r="AY42" s="106"/>
      <c r="AZ42" s="106"/>
      <c r="BA42" s="106"/>
      <c r="BB42" s="106"/>
      <c r="BC42" s="106"/>
      <c r="BD42" s="106"/>
      <c r="BE42" s="106"/>
      <c r="BF42" s="106"/>
      <c r="BG42" s="106"/>
      <c r="BH42" s="106"/>
      <c r="BI42" s="106"/>
      <c r="BJ42" s="106"/>
    </row>
    <row r="43" spans="1:62" ht="15" customHeight="1" thickBot="1">
      <c r="A43" s="685"/>
      <c r="B43" s="69">
        <v>6</v>
      </c>
      <c r="C43" s="429"/>
      <c r="D43" s="421"/>
      <c r="E43" s="401"/>
      <c r="F43" s="429"/>
      <c r="G43" s="422"/>
      <c r="H43" s="688" t="s">
        <v>260</v>
      </c>
      <c r="I43" s="546"/>
      <c r="J43" s="546"/>
      <c r="K43" s="415"/>
      <c r="L43" s="416"/>
      <c r="M43" s="416"/>
      <c r="N43" s="416"/>
      <c r="O43" s="416"/>
      <c r="P43" s="416"/>
      <c r="Q43" s="608"/>
      <c r="R43" s="536" t="s">
        <v>269</v>
      </c>
      <c r="S43" s="537"/>
      <c r="T43" s="538"/>
      <c r="U43" s="445"/>
      <c r="V43" s="534"/>
      <c r="W43" s="535"/>
      <c r="X43" s="420" t="s">
        <v>307</v>
      </c>
      <c r="Y43" s="420"/>
      <c r="Z43" s="420"/>
      <c r="AA43" s="420"/>
      <c r="AB43" s="670"/>
      <c r="AC43" s="691"/>
      <c r="AD43" s="691"/>
      <c r="AE43" s="692"/>
      <c r="AF43" s="698" t="s">
        <v>312</v>
      </c>
      <c r="AG43" s="698"/>
      <c r="AH43" s="699"/>
      <c r="AI43" s="691"/>
      <c r="AJ43" s="692"/>
      <c r="AK43" s="693" t="s">
        <v>266</v>
      </c>
      <c r="AL43" s="693"/>
      <c r="AM43" s="694"/>
      <c r="AN43" s="694"/>
      <c r="AO43" s="695"/>
      <c r="AQ43" s="106"/>
      <c r="AR43" s="106"/>
      <c r="AS43" s="106"/>
      <c r="AT43" s="106"/>
      <c r="AU43" s="106"/>
      <c r="AV43" s="106"/>
      <c r="AW43" s="106"/>
      <c r="AX43" s="106"/>
      <c r="AY43" s="106"/>
      <c r="AZ43" s="106"/>
      <c r="BA43" s="106"/>
      <c r="BB43" s="106"/>
      <c r="BC43" s="106"/>
      <c r="BD43" s="106"/>
      <c r="BE43" s="106"/>
      <c r="BF43" s="106"/>
      <c r="BG43" s="106"/>
      <c r="BH43" s="106"/>
      <c r="BI43" s="106"/>
      <c r="BJ43" s="106"/>
    </row>
    <row r="44" spans="1:62" ht="15" customHeight="1">
      <c r="A44" s="677" t="s">
        <v>314</v>
      </c>
      <c r="B44" s="66"/>
      <c r="C44" s="427"/>
      <c r="D44" s="418"/>
      <c r="E44" s="413"/>
      <c r="F44" s="427"/>
      <c r="G44" s="419"/>
      <c r="H44" s="680" t="s">
        <v>315</v>
      </c>
      <c r="I44" s="681"/>
      <c r="J44" s="681"/>
      <c r="K44" s="681"/>
      <c r="L44" s="417" t="s">
        <v>275</v>
      </c>
      <c r="M44" s="417"/>
      <c r="N44" s="417"/>
      <c r="O44" s="708"/>
      <c r="P44" s="709"/>
      <c r="Q44" s="709"/>
      <c r="R44" s="709"/>
      <c r="S44" s="709"/>
      <c r="T44" s="709"/>
      <c r="U44" s="709"/>
      <c r="V44" s="709"/>
      <c r="W44" s="709"/>
      <c r="X44" s="709"/>
      <c r="Y44" s="709"/>
      <c r="Z44" s="709"/>
      <c r="AA44" s="709"/>
      <c r="AB44" s="709"/>
      <c r="AC44" s="709"/>
      <c r="AD44" s="709"/>
      <c r="AE44" s="709"/>
      <c r="AF44" s="709"/>
      <c r="AG44" s="709"/>
      <c r="AH44" s="709"/>
      <c r="AI44" s="709"/>
      <c r="AJ44" s="710"/>
      <c r="AK44" s="417" t="s">
        <v>266</v>
      </c>
      <c r="AL44" s="417"/>
      <c r="AM44" s="418"/>
      <c r="AN44" s="418"/>
      <c r="AO44" s="419"/>
      <c r="AQ44" s="106"/>
      <c r="AR44" s="106"/>
      <c r="AS44" s="106"/>
      <c r="AT44" s="106"/>
      <c r="AU44" s="106"/>
      <c r="AV44" s="106"/>
      <c r="AW44" s="106"/>
      <c r="AX44" s="106"/>
      <c r="AY44" s="106"/>
      <c r="AZ44" s="106"/>
      <c r="BA44" s="106"/>
      <c r="BB44" s="106"/>
      <c r="BC44" s="106"/>
      <c r="BD44" s="106"/>
      <c r="BE44" s="106"/>
      <c r="BF44" s="106"/>
      <c r="BG44" s="106"/>
      <c r="BH44" s="106"/>
      <c r="BI44" s="106"/>
      <c r="BJ44" s="106"/>
    </row>
    <row r="45" spans="1:62" ht="15" customHeight="1">
      <c r="A45" s="678"/>
      <c r="B45" s="67">
        <v>1</v>
      </c>
      <c r="C45" s="428"/>
      <c r="D45" s="298"/>
      <c r="E45" s="311"/>
      <c r="F45" s="428"/>
      <c r="G45" s="299"/>
      <c r="H45" s="605" t="s">
        <v>316</v>
      </c>
      <c r="I45" s="606"/>
      <c r="J45" s="606"/>
      <c r="K45" s="606"/>
      <c r="L45" s="301" t="s">
        <v>260</v>
      </c>
      <c r="M45" s="301"/>
      <c r="N45" s="301"/>
      <c r="O45" s="311"/>
      <c r="P45" s="317"/>
      <c r="Q45" s="317"/>
      <c r="R45" s="317"/>
      <c r="S45" s="317"/>
      <c r="T45" s="317"/>
      <c r="U45" s="317"/>
      <c r="V45" s="317"/>
      <c r="W45" s="312"/>
      <c r="X45" s="607" t="s">
        <v>307</v>
      </c>
      <c r="Y45" s="607"/>
      <c r="Z45" s="607"/>
      <c r="AA45" s="607"/>
      <c r="AB45" s="542"/>
      <c r="AC45" s="582"/>
      <c r="AD45" s="582"/>
      <c r="AE45" s="583"/>
      <c r="AF45" s="696" t="s">
        <v>312</v>
      </c>
      <c r="AG45" s="696"/>
      <c r="AH45" s="697"/>
      <c r="AI45" s="582"/>
      <c r="AJ45" s="583"/>
      <c r="AK45" s="711"/>
      <c r="AL45" s="712"/>
      <c r="AM45" s="712"/>
      <c r="AN45" s="712"/>
      <c r="AO45" s="713"/>
      <c r="AQ45" s="106"/>
      <c r="AR45" s="106"/>
      <c r="AS45" s="106" t="s">
        <v>313</v>
      </c>
      <c r="AT45" s="106"/>
      <c r="AU45" s="106"/>
      <c r="AV45" s="106"/>
      <c r="AW45" s="106"/>
      <c r="AX45" s="106"/>
      <c r="AY45" s="106"/>
      <c r="AZ45" s="106"/>
      <c r="BA45" s="106"/>
      <c r="BB45" s="106"/>
      <c r="BC45" s="106"/>
      <c r="BD45" s="106"/>
      <c r="BE45" s="106"/>
      <c r="BF45" s="106"/>
      <c r="BG45" s="106"/>
      <c r="BH45" s="106"/>
      <c r="BI45" s="106"/>
      <c r="BJ45" s="106"/>
    </row>
    <row r="46" spans="1:62" ht="15" customHeight="1">
      <c r="A46" s="678"/>
      <c r="B46" s="67">
        <v>2</v>
      </c>
      <c r="C46" s="428"/>
      <c r="D46" s="298"/>
      <c r="E46" s="311"/>
      <c r="F46" s="428"/>
      <c r="G46" s="299"/>
      <c r="H46" s="605" t="s">
        <v>316</v>
      </c>
      <c r="I46" s="606"/>
      <c r="J46" s="606"/>
      <c r="K46" s="606"/>
      <c r="L46" s="301" t="s">
        <v>260</v>
      </c>
      <c r="M46" s="301"/>
      <c r="N46" s="301"/>
      <c r="O46" s="311"/>
      <c r="P46" s="317"/>
      <c r="Q46" s="317"/>
      <c r="R46" s="317"/>
      <c r="S46" s="317"/>
      <c r="T46" s="317"/>
      <c r="U46" s="317"/>
      <c r="V46" s="317"/>
      <c r="W46" s="312"/>
      <c r="X46" s="301" t="s">
        <v>307</v>
      </c>
      <c r="Y46" s="301"/>
      <c r="Z46" s="301"/>
      <c r="AA46" s="301"/>
      <c r="AB46" s="464"/>
      <c r="AC46" s="578"/>
      <c r="AD46" s="578"/>
      <c r="AE46" s="579"/>
      <c r="AF46" s="580" t="s">
        <v>312</v>
      </c>
      <c r="AG46" s="580"/>
      <c r="AH46" s="581"/>
      <c r="AI46" s="582"/>
      <c r="AJ46" s="583"/>
      <c r="AK46" s="714"/>
      <c r="AL46" s="715"/>
      <c r="AM46" s="715"/>
      <c r="AN46" s="715"/>
      <c r="AO46" s="716"/>
      <c r="AQ46" s="106"/>
      <c r="AR46" s="106"/>
      <c r="AS46" s="106"/>
      <c r="AT46" s="106"/>
      <c r="AU46" s="106"/>
      <c r="AV46" s="106"/>
      <c r="AW46" s="106"/>
      <c r="AX46" s="106"/>
      <c r="AY46" s="106"/>
      <c r="AZ46" s="106"/>
      <c r="BA46" s="106"/>
      <c r="BB46" s="106"/>
      <c r="BC46" s="106"/>
      <c r="BD46" s="106"/>
      <c r="BE46" s="106"/>
      <c r="BF46" s="106"/>
      <c r="BG46" s="106"/>
      <c r="BH46" s="106"/>
      <c r="BI46" s="106"/>
      <c r="BJ46" s="106"/>
    </row>
    <row r="47" spans="1:62" ht="15" customHeight="1">
      <c r="A47" s="678"/>
      <c r="B47" s="67">
        <v>3</v>
      </c>
      <c r="C47" s="428"/>
      <c r="D47" s="298"/>
      <c r="E47" s="311"/>
      <c r="F47" s="428"/>
      <c r="G47" s="299"/>
      <c r="H47" s="605" t="s">
        <v>316</v>
      </c>
      <c r="I47" s="606"/>
      <c r="J47" s="606"/>
      <c r="K47" s="606"/>
      <c r="L47" s="301" t="s">
        <v>260</v>
      </c>
      <c r="M47" s="301"/>
      <c r="N47" s="301"/>
      <c r="O47" s="311"/>
      <c r="P47" s="317"/>
      <c r="Q47" s="317"/>
      <c r="R47" s="317"/>
      <c r="S47" s="317"/>
      <c r="T47" s="317"/>
      <c r="U47" s="317"/>
      <c r="V47" s="317"/>
      <c r="W47" s="312"/>
      <c r="X47" s="301" t="s">
        <v>307</v>
      </c>
      <c r="Y47" s="301"/>
      <c r="Z47" s="301"/>
      <c r="AA47" s="301"/>
      <c r="AB47" s="464"/>
      <c r="AC47" s="578"/>
      <c r="AD47" s="578"/>
      <c r="AE47" s="579"/>
      <c r="AF47" s="580" t="s">
        <v>312</v>
      </c>
      <c r="AG47" s="580"/>
      <c r="AH47" s="581"/>
      <c r="AI47" s="578"/>
      <c r="AJ47" s="579"/>
      <c r="AK47" s="714"/>
      <c r="AL47" s="715"/>
      <c r="AM47" s="715"/>
      <c r="AN47" s="715"/>
      <c r="AO47" s="716"/>
      <c r="AQ47" s="106"/>
      <c r="AR47" s="106"/>
      <c r="AS47" s="106"/>
      <c r="AT47" s="106"/>
      <c r="AU47" s="106"/>
      <c r="AV47" s="106"/>
      <c r="AW47" s="106"/>
      <c r="AX47" s="106"/>
      <c r="AY47" s="106"/>
      <c r="AZ47" s="106"/>
      <c r="BA47" s="106"/>
      <c r="BB47" s="106"/>
      <c r="BC47" s="106"/>
      <c r="BD47" s="106"/>
      <c r="BE47" s="106"/>
      <c r="BF47" s="106"/>
      <c r="BG47" s="106"/>
      <c r="BH47" s="106"/>
      <c r="BI47" s="106"/>
      <c r="BJ47" s="106"/>
    </row>
    <row r="48" spans="1:62" ht="15" customHeight="1">
      <c r="A48" s="678"/>
      <c r="B48" s="67">
        <v>4</v>
      </c>
      <c r="C48" s="428"/>
      <c r="D48" s="298"/>
      <c r="E48" s="311"/>
      <c r="F48" s="428"/>
      <c r="G48" s="299"/>
      <c r="H48" s="605" t="s">
        <v>316</v>
      </c>
      <c r="I48" s="606"/>
      <c r="J48" s="606"/>
      <c r="K48" s="606"/>
      <c r="L48" s="301" t="s">
        <v>260</v>
      </c>
      <c r="M48" s="301"/>
      <c r="N48" s="301"/>
      <c r="O48" s="311"/>
      <c r="P48" s="317"/>
      <c r="Q48" s="317"/>
      <c r="R48" s="317"/>
      <c r="S48" s="317"/>
      <c r="T48" s="317"/>
      <c r="U48" s="317"/>
      <c r="V48" s="317"/>
      <c r="W48" s="312"/>
      <c r="X48" s="420" t="s">
        <v>307</v>
      </c>
      <c r="Y48" s="420"/>
      <c r="Z48" s="420"/>
      <c r="AA48" s="420"/>
      <c r="AB48" s="670"/>
      <c r="AC48" s="691"/>
      <c r="AD48" s="691"/>
      <c r="AE48" s="692"/>
      <c r="AF48" s="580" t="s">
        <v>312</v>
      </c>
      <c r="AG48" s="580"/>
      <c r="AH48" s="581"/>
      <c r="AI48" s="582"/>
      <c r="AJ48" s="583"/>
      <c r="AK48" s="717"/>
      <c r="AL48" s="718"/>
      <c r="AM48" s="718"/>
      <c r="AN48" s="718"/>
      <c r="AO48" s="719"/>
      <c r="AQ48" s="106"/>
      <c r="AR48" s="106"/>
      <c r="AS48" s="106"/>
      <c r="AT48" s="106"/>
      <c r="AU48" s="106"/>
      <c r="AV48" s="106"/>
      <c r="AW48" s="106"/>
      <c r="AX48" s="106"/>
      <c r="AY48" s="106"/>
      <c r="AZ48" s="106"/>
      <c r="BA48" s="106"/>
      <c r="BB48" s="106"/>
      <c r="BC48" s="106"/>
      <c r="BD48" s="106"/>
      <c r="BE48" s="106"/>
      <c r="BF48" s="106"/>
      <c r="BG48" s="106"/>
      <c r="BH48" s="106"/>
      <c r="BI48" s="106"/>
      <c r="BJ48" s="106"/>
    </row>
    <row r="49" spans="1:62" ht="15" customHeight="1" thickBot="1">
      <c r="A49" s="679"/>
      <c r="B49" s="68"/>
      <c r="C49" s="451"/>
      <c r="D49" s="293"/>
      <c r="E49" s="441"/>
      <c r="F49" s="451"/>
      <c r="G49" s="294"/>
      <c r="H49" s="700" t="s">
        <v>317</v>
      </c>
      <c r="I49" s="700"/>
      <c r="J49" s="700"/>
      <c r="K49" s="701"/>
      <c r="L49" s="420" t="s">
        <v>260</v>
      </c>
      <c r="M49" s="420"/>
      <c r="N49" s="420"/>
      <c r="O49" s="401"/>
      <c r="P49" s="402"/>
      <c r="Q49" s="402"/>
      <c r="R49" s="402"/>
      <c r="S49" s="402"/>
      <c r="T49" s="402"/>
      <c r="U49" s="547" t="s">
        <v>318</v>
      </c>
      <c r="V49" s="548"/>
      <c r="W49" s="548"/>
      <c r="X49" s="548"/>
      <c r="Y49" s="548"/>
      <c r="Z49" s="401"/>
      <c r="AA49" s="402"/>
      <c r="AB49" s="402"/>
      <c r="AC49" s="402"/>
      <c r="AD49" s="402"/>
      <c r="AE49" s="402"/>
      <c r="AF49" s="402"/>
      <c r="AG49" s="402"/>
      <c r="AH49" s="402"/>
      <c r="AI49" s="402"/>
      <c r="AJ49" s="403"/>
      <c r="AK49" s="693" t="s">
        <v>266</v>
      </c>
      <c r="AL49" s="693"/>
      <c r="AM49" s="694"/>
      <c r="AN49" s="694"/>
      <c r="AO49" s="695"/>
      <c r="AQ49" s="106"/>
      <c r="AR49" s="106"/>
      <c r="AS49" s="106"/>
      <c r="AT49" s="106"/>
      <c r="AU49" s="106"/>
      <c r="AV49" s="106"/>
      <c r="AW49" s="106"/>
      <c r="AX49" s="106"/>
      <c r="AY49" s="106"/>
      <c r="AZ49" s="106"/>
      <c r="BA49" s="106"/>
      <c r="BB49" s="106"/>
      <c r="BC49" s="106"/>
      <c r="BD49" s="106"/>
      <c r="BE49" s="106"/>
      <c r="BF49" s="106"/>
      <c r="BG49" s="106"/>
      <c r="BH49" s="106"/>
      <c r="BI49" s="106"/>
      <c r="BJ49" s="106"/>
    </row>
    <row r="50" spans="1:62" ht="15" customHeight="1">
      <c r="A50" s="587" t="s">
        <v>319</v>
      </c>
      <c r="B50" s="566" t="s">
        <v>320</v>
      </c>
      <c r="C50" s="569"/>
      <c r="D50" s="570"/>
      <c r="E50" s="571"/>
      <c r="F50" s="569"/>
      <c r="G50" s="570"/>
      <c r="H50" s="425" t="s">
        <v>321</v>
      </c>
      <c r="I50" s="417"/>
      <c r="J50" s="417"/>
      <c r="K50" s="417"/>
      <c r="L50" s="590"/>
      <c r="M50" s="590"/>
      <c r="N50" s="591"/>
      <c r="O50" s="592"/>
      <c r="P50" s="414"/>
      <c r="Q50" s="430"/>
      <c r="R50" s="590"/>
      <c r="S50" s="590"/>
      <c r="T50" s="591"/>
      <c r="U50" s="592"/>
      <c r="V50" s="414"/>
      <c r="W50" s="430"/>
      <c r="X50" s="590"/>
      <c r="Y50" s="590"/>
      <c r="Z50" s="591"/>
      <c r="AA50" s="592"/>
      <c r="AB50" s="414"/>
      <c r="AC50" s="430"/>
      <c r="AD50" s="590"/>
      <c r="AE50" s="590"/>
      <c r="AF50" s="591"/>
      <c r="AG50" s="592"/>
      <c r="AH50" s="414"/>
      <c r="AI50" s="430"/>
      <c r="AJ50" s="70"/>
      <c r="AK50" s="417" t="s">
        <v>266</v>
      </c>
      <c r="AL50" s="417"/>
      <c r="AM50" s="418"/>
      <c r="AN50" s="418"/>
      <c r="AO50" s="419"/>
      <c r="AQ50" s="106"/>
      <c r="AR50" s="106"/>
      <c r="AS50" s="106"/>
      <c r="AT50" s="106"/>
      <c r="AU50" s="106"/>
      <c r="AV50" s="106"/>
      <c r="AW50" s="106"/>
      <c r="AX50" s="106"/>
      <c r="AY50" s="106"/>
      <c r="AZ50" s="106"/>
      <c r="BA50" s="106"/>
      <c r="BB50" s="106"/>
      <c r="BC50" s="106"/>
      <c r="BD50" s="106"/>
      <c r="BE50" s="106"/>
      <c r="BF50" s="106"/>
      <c r="BG50" s="106"/>
      <c r="BH50" s="106"/>
      <c r="BI50" s="106"/>
      <c r="BJ50" s="106"/>
    </row>
    <row r="51" spans="1:62" ht="15" customHeight="1">
      <c r="A51" s="588"/>
      <c r="B51" s="567"/>
      <c r="C51" s="572"/>
      <c r="D51" s="416"/>
      <c r="E51" s="573"/>
      <c r="F51" s="572"/>
      <c r="G51" s="416"/>
      <c r="H51" s="300" t="s">
        <v>322</v>
      </c>
      <c r="I51" s="301"/>
      <c r="J51" s="301"/>
      <c r="K51" s="457"/>
      <c r="L51" s="585"/>
      <c r="M51" s="586"/>
      <c r="N51" s="586"/>
      <c r="O51" s="586"/>
      <c r="P51" s="584"/>
      <c r="Q51" s="317"/>
      <c r="R51" s="312"/>
      <c r="S51" s="585"/>
      <c r="T51" s="586"/>
      <c r="U51" s="586"/>
      <c r="V51" s="586"/>
      <c r="W51" s="584"/>
      <c r="X51" s="317"/>
      <c r="Y51" s="312"/>
      <c r="Z51" s="585"/>
      <c r="AA51" s="586"/>
      <c r="AB51" s="586"/>
      <c r="AC51" s="586"/>
      <c r="AD51" s="584"/>
      <c r="AE51" s="317"/>
      <c r="AF51" s="312"/>
      <c r="AG51" s="596"/>
      <c r="AH51" s="597"/>
      <c r="AI51" s="597"/>
      <c r="AJ51" s="598"/>
      <c r="AK51" s="301" t="s">
        <v>266</v>
      </c>
      <c r="AL51" s="301"/>
      <c r="AM51" s="298"/>
      <c r="AN51" s="298"/>
      <c r="AO51" s="299"/>
      <c r="AQ51" s="106"/>
      <c r="AR51" s="106"/>
      <c r="AS51" s="106"/>
      <c r="AT51" s="106"/>
      <c r="AU51" s="106"/>
      <c r="AV51" s="106"/>
      <c r="AW51" s="106"/>
      <c r="AX51" s="106"/>
      <c r="AY51" s="106"/>
      <c r="AZ51" s="106"/>
      <c r="BA51" s="106"/>
      <c r="BB51" s="106"/>
      <c r="BC51" s="106"/>
      <c r="BD51" s="106"/>
      <c r="BE51" s="106"/>
      <c r="BF51" s="106"/>
      <c r="BG51" s="106"/>
      <c r="BH51" s="106"/>
      <c r="BI51" s="106"/>
      <c r="BJ51" s="106"/>
    </row>
    <row r="52" spans="1:62" ht="15" customHeight="1" thickBot="1">
      <c r="A52" s="588"/>
      <c r="B52" s="568"/>
      <c r="C52" s="574"/>
      <c r="D52" s="575"/>
      <c r="E52" s="576"/>
      <c r="F52" s="574"/>
      <c r="G52" s="575"/>
      <c r="H52" s="291" t="s">
        <v>275</v>
      </c>
      <c r="I52" s="292"/>
      <c r="J52" s="292"/>
      <c r="K52" s="292"/>
      <c r="L52" s="600"/>
      <c r="M52" s="575"/>
      <c r="N52" s="575"/>
      <c r="O52" s="602" t="s">
        <v>323</v>
      </c>
      <c r="P52" s="603"/>
      <c r="Q52" s="603"/>
      <c r="R52" s="603"/>
      <c r="S52" s="293"/>
      <c r="T52" s="441"/>
      <c r="U52" s="13" t="s">
        <v>273</v>
      </c>
      <c r="V52" s="561" t="s">
        <v>324</v>
      </c>
      <c r="W52" s="562"/>
      <c r="X52" s="562"/>
      <c r="Y52" s="562"/>
      <c r="Z52" s="593"/>
      <c r="AA52" s="293"/>
      <c r="AB52" s="441"/>
      <c r="AC52" s="13" t="s">
        <v>273</v>
      </c>
      <c r="AD52" s="563" t="s">
        <v>325</v>
      </c>
      <c r="AE52" s="564"/>
      <c r="AF52" s="564"/>
      <c r="AG52" s="564"/>
      <c r="AH52" s="565"/>
      <c r="AI52" s="441"/>
      <c r="AJ52" s="595"/>
      <c r="AK52" s="292" t="s">
        <v>266</v>
      </c>
      <c r="AL52" s="292"/>
      <c r="AM52" s="293"/>
      <c r="AN52" s="293"/>
      <c r="AO52" s="294"/>
      <c r="AQ52" s="106"/>
      <c r="AR52" s="106"/>
      <c r="AS52" s="106"/>
      <c r="AT52" s="106"/>
      <c r="AU52" s="106"/>
      <c r="AV52" s="106"/>
      <c r="AW52" s="106"/>
      <c r="AX52" s="106"/>
      <c r="AY52" s="106"/>
      <c r="AZ52" s="106"/>
      <c r="BA52" s="106"/>
      <c r="BB52" s="106"/>
      <c r="BC52" s="106"/>
      <c r="BD52" s="106"/>
      <c r="BE52" s="106"/>
      <c r="BF52" s="106"/>
      <c r="BG52" s="106"/>
      <c r="BH52" s="106"/>
      <c r="BI52" s="106"/>
      <c r="BJ52" s="106"/>
    </row>
    <row r="53" spans="1:62" ht="15" customHeight="1">
      <c r="A53" s="588"/>
      <c r="B53" s="566" t="s">
        <v>326</v>
      </c>
      <c r="C53" s="569"/>
      <c r="D53" s="570"/>
      <c r="E53" s="571"/>
      <c r="F53" s="569"/>
      <c r="G53" s="570"/>
      <c r="H53" s="425" t="s">
        <v>321</v>
      </c>
      <c r="I53" s="417"/>
      <c r="J53" s="417"/>
      <c r="K53" s="417"/>
      <c r="L53" s="590"/>
      <c r="M53" s="590"/>
      <c r="N53" s="591"/>
      <c r="O53" s="592"/>
      <c r="P53" s="414"/>
      <c r="Q53" s="430"/>
      <c r="R53" s="590"/>
      <c r="S53" s="590"/>
      <c r="T53" s="591"/>
      <c r="U53" s="592"/>
      <c r="V53" s="414"/>
      <c r="W53" s="430"/>
      <c r="X53" s="590"/>
      <c r="Y53" s="590"/>
      <c r="Z53" s="591"/>
      <c r="AA53" s="592"/>
      <c r="AB53" s="414"/>
      <c r="AC53" s="430"/>
      <c r="AD53" s="590"/>
      <c r="AE53" s="590"/>
      <c r="AF53" s="591"/>
      <c r="AG53" s="592"/>
      <c r="AH53" s="414"/>
      <c r="AI53" s="430"/>
      <c r="AJ53" s="70"/>
      <c r="AK53" s="417" t="s">
        <v>266</v>
      </c>
      <c r="AL53" s="417"/>
      <c r="AM53" s="418"/>
      <c r="AN53" s="418"/>
      <c r="AO53" s="419"/>
      <c r="AQ53" s="106"/>
      <c r="AR53" s="106"/>
      <c r="AS53" s="106"/>
      <c r="AT53" s="106"/>
      <c r="AU53" s="106"/>
      <c r="AV53" s="106"/>
      <c r="AW53" s="106"/>
      <c r="AX53" s="106"/>
      <c r="AY53" s="106"/>
      <c r="AZ53" s="106"/>
      <c r="BA53" s="106"/>
      <c r="BB53" s="106"/>
      <c r="BC53" s="106"/>
      <c r="BD53" s="106"/>
      <c r="BE53" s="106"/>
      <c r="BF53" s="106"/>
      <c r="BG53" s="106"/>
      <c r="BH53" s="106"/>
      <c r="BI53" s="106"/>
      <c r="BJ53" s="106"/>
    </row>
    <row r="54" spans="1:62" ht="15" customHeight="1">
      <c r="A54" s="588"/>
      <c r="B54" s="567"/>
      <c r="C54" s="572"/>
      <c r="D54" s="416"/>
      <c r="E54" s="573"/>
      <c r="F54" s="572"/>
      <c r="G54" s="416"/>
      <c r="H54" s="300" t="s">
        <v>322</v>
      </c>
      <c r="I54" s="301"/>
      <c r="J54" s="301"/>
      <c r="K54" s="457"/>
      <c r="L54" s="585"/>
      <c r="M54" s="586"/>
      <c r="N54" s="586"/>
      <c r="O54" s="586"/>
      <c r="P54" s="584"/>
      <c r="Q54" s="317"/>
      <c r="R54" s="312"/>
      <c r="S54" s="585"/>
      <c r="T54" s="586"/>
      <c r="U54" s="586"/>
      <c r="V54" s="586"/>
      <c r="W54" s="584"/>
      <c r="X54" s="317"/>
      <c r="Y54" s="312"/>
      <c r="Z54" s="585"/>
      <c r="AA54" s="586"/>
      <c r="AB54" s="586"/>
      <c r="AC54" s="586"/>
      <c r="AD54" s="584"/>
      <c r="AE54" s="317"/>
      <c r="AF54" s="312"/>
      <c r="AG54" s="596"/>
      <c r="AH54" s="597"/>
      <c r="AI54" s="597"/>
      <c r="AJ54" s="598"/>
      <c r="AK54" s="301" t="s">
        <v>266</v>
      </c>
      <c r="AL54" s="301"/>
      <c r="AM54" s="298"/>
      <c r="AN54" s="298"/>
      <c r="AO54" s="299"/>
      <c r="AQ54" s="106"/>
      <c r="AR54" s="106"/>
      <c r="AS54" s="106"/>
      <c r="AT54" s="106"/>
      <c r="AU54" s="106"/>
      <c r="AV54" s="106"/>
      <c r="AW54" s="106"/>
      <c r="AX54" s="106"/>
      <c r="AY54" s="106"/>
      <c r="AZ54" s="106"/>
      <c r="BA54" s="106"/>
      <c r="BB54" s="106"/>
      <c r="BC54" s="106"/>
      <c r="BD54" s="106"/>
      <c r="BE54" s="106"/>
      <c r="BF54" s="106"/>
      <c r="BG54" s="106"/>
      <c r="BH54" s="106"/>
      <c r="BI54" s="106"/>
      <c r="BJ54" s="106"/>
    </row>
    <row r="55" spans="1:62" ht="15" customHeight="1" thickBot="1">
      <c r="A55" s="589"/>
      <c r="B55" s="568"/>
      <c r="C55" s="574"/>
      <c r="D55" s="575"/>
      <c r="E55" s="576"/>
      <c r="F55" s="574"/>
      <c r="G55" s="575"/>
      <c r="H55" s="291" t="s">
        <v>275</v>
      </c>
      <c r="I55" s="292"/>
      <c r="J55" s="292"/>
      <c r="K55" s="292"/>
      <c r="L55" s="441"/>
      <c r="M55" s="594"/>
      <c r="N55" s="594"/>
      <c r="O55" s="561" t="s">
        <v>323</v>
      </c>
      <c r="P55" s="562"/>
      <c r="Q55" s="562"/>
      <c r="R55" s="562"/>
      <c r="S55" s="293"/>
      <c r="T55" s="441"/>
      <c r="U55" s="13" t="s">
        <v>273</v>
      </c>
      <c r="V55" s="561" t="s">
        <v>324</v>
      </c>
      <c r="W55" s="562"/>
      <c r="X55" s="562"/>
      <c r="Y55" s="562"/>
      <c r="Z55" s="593"/>
      <c r="AA55" s="293"/>
      <c r="AB55" s="441"/>
      <c r="AC55" s="13" t="s">
        <v>273</v>
      </c>
      <c r="AD55" s="563" t="s">
        <v>325</v>
      </c>
      <c r="AE55" s="564"/>
      <c r="AF55" s="564"/>
      <c r="AG55" s="564"/>
      <c r="AH55" s="565"/>
      <c r="AI55" s="441"/>
      <c r="AJ55" s="595"/>
      <c r="AK55" s="292" t="s">
        <v>266</v>
      </c>
      <c r="AL55" s="292"/>
      <c r="AM55" s="293"/>
      <c r="AN55" s="293"/>
      <c r="AO55" s="294"/>
      <c r="AQ55" s="106"/>
      <c r="AR55" s="106"/>
      <c r="AS55" s="106"/>
      <c r="AT55" s="106"/>
      <c r="AU55" s="106"/>
      <c r="AV55" s="106"/>
      <c r="AW55" s="106"/>
      <c r="AX55" s="106"/>
      <c r="AY55" s="106"/>
      <c r="AZ55" s="106"/>
      <c r="BA55" s="106"/>
      <c r="BB55" s="106"/>
      <c r="BC55" s="106"/>
      <c r="BD55" s="106"/>
      <c r="BE55" s="106"/>
      <c r="BF55" s="106"/>
      <c r="BG55" s="106"/>
      <c r="BH55" s="106"/>
      <c r="BI55" s="106"/>
      <c r="BJ55" s="106"/>
    </row>
    <row r="56" spans="1:62" ht="15" customHeight="1" thickBot="1">
      <c r="A56" s="637" t="s">
        <v>327</v>
      </c>
      <c r="B56" s="638"/>
      <c r="C56" s="643"/>
      <c r="D56" s="643"/>
      <c r="E56" s="643"/>
      <c r="F56" s="643"/>
      <c r="G56" s="643"/>
      <c r="H56" s="643"/>
      <c r="I56" s="643"/>
      <c r="J56" s="643"/>
      <c r="K56" s="644"/>
      <c r="L56" s="705"/>
      <c r="M56" s="706"/>
      <c r="N56" s="706"/>
      <c r="O56" s="706"/>
      <c r="P56" s="706"/>
      <c r="Q56" s="706"/>
      <c r="R56" s="706"/>
      <c r="S56" s="706"/>
      <c r="T56" s="706"/>
      <c r="U56" s="707"/>
      <c r="V56" s="640" t="s">
        <v>328</v>
      </c>
      <c r="W56" s="641"/>
      <c r="X56" s="641"/>
      <c r="Y56" s="641"/>
      <c r="Z56" s="641"/>
      <c r="AA56" s="641"/>
      <c r="AB56" s="641"/>
      <c r="AC56" s="641"/>
      <c r="AD56" s="641"/>
      <c r="AE56" s="641"/>
      <c r="AF56" s="642"/>
      <c r="AG56" s="702" t="s">
        <v>51</v>
      </c>
      <c r="AH56" s="703"/>
      <c r="AI56" s="703"/>
      <c r="AJ56" s="703"/>
      <c r="AK56" s="703"/>
      <c r="AL56" s="703"/>
      <c r="AM56" s="703"/>
      <c r="AN56" s="703"/>
      <c r="AO56" s="704"/>
      <c r="AQ56" s="106"/>
      <c r="AR56" s="106"/>
      <c r="AS56" s="106"/>
      <c r="AT56" s="106"/>
      <c r="AU56" s="106"/>
      <c r="AV56" s="106"/>
      <c r="AW56" s="106"/>
      <c r="AX56" s="106"/>
      <c r="AY56" s="106"/>
      <c r="AZ56" s="106"/>
      <c r="BA56" s="106"/>
      <c r="BB56" s="106"/>
      <c r="BC56" s="106"/>
      <c r="BD56" s="106"/>
      <c r="BE56" s="106"/>
      <c r="BF56" s="106"/>
      <c r="BG56" s="106"/>
      <c r="BH56" s="106"/>
      <c r="BI56" s="106"/>
      <c r="BJ56" s="106"/>
    </row>
    <row r="57" spans="1:62" ht="15" customHeight="1" thickBot="1">
      <c r="A57" s="637" t="s">
        <v>329</v>
      </c>
      <c r="B57" s="638"/>
      <c r="C57" s="638"/>
      <c r="D57" s="638"/>
      <c r="E57" s="638"/>
      <c r="F57" s="638"/>
      <c r="G57" s="638"/>
      <c r="H57" s="638"/>
      <c r="I57" s="638"/>
      <c r="J57" s="638"/>
      <c r="K57" s="639"/>
      <c r="L57" s="720"/>
      <c r="M57" s="721"/>
      <c r="N57" s="721"/>
      <c r="O57" s="721"/>
      <c r="P57" s="721"/>
      <c r="Q57" s="722"/>
      <c r="R57" s="721"/>
      <c r="S57" s="721"/>
      <c r="T57" s="721"/>
      <c r="U57" s="723"/>
      <c r="V57" s="637" t="s">
        <v>330</v>
      </c>
      <c r="W57" s="638"/>
      <c r="X57" s="638"/>
      <c r="Y57" s="638"/>
      <c r="Z57" s="638"/>
      <c r="AA57" s="638"/>
      <c r="AB57" s="638"/>
      <c r="AC57" s="638"/>
      <c r="AD57" s="638"/>
      <c r="AE57" s="638"/>
      <c r="AF57" s="639"/>
      <c r="AG57" s="702" t="s">
        <v>331</v>
      </c>
      <c r="AH57" s="703"/>
      <c r="AI57" s="703"/>
      <c r="AJ57" s="703"/>
      <c r="AK57" s="703"/>
      <c r="AL57" s="703"/>
      <c r="AM57" s="703"/>
      <c r="AN57" s="703"/>
      <c r="AO57" s="704"/>
      <c r="AQ57" s="106"/>
      <c r="AR57" s="106"/>
      <c r="AS57" s="106"/>
      <c r="AT57" s="106"/>
      <c r="AU57" s="106"/>
      <c r="AV57" s="106"/>
      <c r="AW57" s="106"/>
      <c r="AX57" s="106"/>
      <c r="AY57" s="106"/>
      <c r="AZ57" s="106"/>
      <c r="BA57" s="106"/>
      <c r="BB57" s="106"/>
      <c r="BC57" s="106"/>
      <c r="BD57" s="106"/>
      <c r="BE57" s="106"/>
      <c r="BF57" s="106"/>
      <c r="BG57" s="106"/>
      <c r="BH57" s="106"/>
      <c r="BI57" s="106"/>
      <c r="BJ57" s="106"/>
    </row>
  </sheetData>
  <sheetProtection algorithmName="SHA-512" hashValue="7n/raY/f7CDgH+vHwQNaurO0lZDFNNS6AJ+IIkCHXEuvlG0SOv18NLfkN8F25/kl3BKwtBg4G2eYcTQ+c+pmeA==" saltValue="MyGf7yqVGZc9moyygTR08g==" spinCount="100000" sheet="1" objects="1" scenarios="1"/>
  <mergeCells count="497">
    <mergeCell ref="Z27:AA27"/>
    <mergeCell ref="AG57:AO57"/>
    <mergeCell ref="L56:U56"/>
    <mergeCell ref="O44:AJ44"/>
    <mergeCell ref="AK45:AO48"/>
    <mergeCell ref="AG56:AO56"/>
    <mergeCell ref="L57:P57"/>
    <mergeCell ref="Q57:U57"/>
    <mergeCell ref="Z28:AA28"/>
    <mergeCell ref="U29:V29"/>
    <mergeCell ref="W29:X29"/>
    <mergeCell ref="Z29:AA29"/>
    <mergeCell ref="L52:N52"/>
    <mergeCell ref="O52:R52"/>
    <mergeCell ref="AK49:AL49"/>
    <mergeCell ref="AM49:AO49"/>
    <mergeCell ref="L48:N48"/>
    <mergeCell ref="AK44:AL44"/>
    <mergeCell ref="AM44:AO44"/>
    <mergeCell ref="AF45:AH45"/>
    <mergeCell ref="AI45:AJ45"/>
    <mergeCell ref="AF46:AH46"/>
    <mergeCell ref="AI46:AJ46"/>
    <mergeCell ref="AF47:AH47"/>
    <mergeCell ref="C49:E49"/>
    <mergeCell ref="F49:G49"/>
    <mergeCell ref="AG50:AI50"/>
    <mergeCell ref="P51:R51"/>
    <mergeCell ref="S51:V51"/>
    <mergeCell ref="W51:Y51"/>
    <mergeCell ref="Z51:AC51"/>
    <mergeCell ref="AD51:AF51"/>
    <mergeCell ref="AG51:AJ51"/>
    <mergeCell ref="H49:K49"/>
    <mergeCell ref="L49:N49"/>
    <mergeCell ref="L44:N44"/>
    <mergeCell ref="H45:K45"/>
    <mergeCell ref="H47:K47"/>
    <mergeCell ref="L47:N47"/>
    <mergeCell ref="H48:K48"/>
    <mergeCell ref="AI48:AJ48"/>
    <mergeCell ref="AB45:AE45"/>
    <mergeCell ref="AB46:AE46"/>
    <mergeCell ref="X47:AA47"/>
    <mergeCell ref="AB47:AE47"/>
    <mergeCell ref="X48:AA48"/>
    <mergeCell ref="AB48:AE48"/>
    <mergeCell ref="O48:W48"/>
    <mergeCell ref="O47:W47"/>
    <mergeCell ref="O46:W46"/>
    <mergeCell ref="O45:W45"/>
    <mergeCell ref="AI47:AJ47"/>
    <mergeCell ref="C44:E44"/>
    <mergeCell ref="F44:G44"/>
    <mergeCell ref="C45:E45"/>
    <mergeCell ref="F45:G45"/>
    <mergeCell ref="C46:E46"/>
    <mergeCell ref="F46:G46"/>
    <mergeCell ref="C47:E47"/>
    <mergeCell ref="F47:G47"/>
    <mergeCell ref="C48:E48"/>
    <mergeCell ref="F48:G48"/>
    <mergeCell ref="AK39:AL39"/>
    <mergeCell ref="AM39:AO39"/>
    <mergeCell ref="AK40:AL40"/>
    <mergeCell ref="AM40:AO40"/>
    <mergeCell ref="AK43:AL43"/>
    <mergeCell ref="AM43:AO43"/>
    <mergeCell ref="AF38:AH38"/>
    <mergeCell ref="AI38:AJ38"/>
    <mergeCell ref="AF39:AH39"/>
    <mergeCell ref="AI39:AJ39"/>
    <mergeCell ref="AF40:AH40"/>
    <mergeCell ref="AI40:AJ40"/>
    <mergeCell ref="AF43:AH43"/>
    <mergeCell ref="AI43:AJ43"/>
    <mergeCell ref="AM41:AO41"/>
    <mergeCell ref="AM42:AO42"/>
    <mergeCell ref="AK38:AL38"/>
    <mergeCell ref="AM38:AO38"/>
    <mergeCell ref="AI41:AJ41"/>
    <mergeCell ref="AK41:AL41"/>
    <mergeCell ref="H39:J39"/>
    <mergeCell ref="H40:J40"/>
    <mergeCell ref="A34:A37"/>
    <mergeCell ref="A38:A43"/>
    <mergeCell ref="H38:J38"/>
    <mergeCell ref="H43:J43"/>
    <mergeCell ref="AB36:AC36"/>
    <mergeCell ref="H37:J37"/>
    <mergeCell ref="X37:AA37"/>
    <mergeCell ref="AB37:AC37"/>
    <mergeCell ref="X35:AA35"/>
    <mergeCell ref="AB35:AC35"/>
    <mergeCell ref="X38:AA38"/>
    <mergeCell ref="X39:AA39"/>
    <mergeCell ref="X40:AA40"/>
    <mergeCell ref="X43:AA43"/>
    <mergeCell ref="AB38:AE38"/>
    <mergeCell ref="AB39:AE39"/>
    <mergeCell ref="AB40:AE40"/>
    <mergeCell ref="AB43:AE43"/>
    <mergeCell ref="AE34:AG34"/>
    <mergeCell ref="U34:W34"/>
    <mergeCell ref="C35:E35"/>
    <mergeCell ref="F35:G35"/>
    <mergeCell ref="A44:A49"/>
    <mergeCell ref="H44:K44"/>
    <mergeCell ref="L45:N45"/>
    <mergeCell ref="H36:J36"/>
    <mergeCell ref="X36:AA36"/>
    <mergeCell ref="AE36:AG36"/>
    <mergeCell ref="AH36:AI36"/>
    <mergeCell ref="AK36:AL36"/>
    <mergeCell ref="AM36:AO36"/>
    <mergeCell ref="K36:Q36"/>
    <mergeCell ref="R36:T36"/>
    <mergeCell ref="U36:W36"/>
    <mergeCell ref="AH37:AI37"/>
    <mergeCell ref="AK37:AL37"/>
    <mergeCell ref="AM37:AO37"/>
    <mergeCell ref="C40:E40"/>
    <mergeCell ref="F40:G40"/>
    <mergeCell ref="C43:E43"/>
    <mergeCell ref="F43:G43"/>
    <mergeCell ref="C41:E41"/>
    <mergeCell ref="F41:G41"/>
    <mergeCell ref="C42:E42"/>
    <mergeCell ref="F42:G42"/>
    <mergeCell ref="K41:Q41"/>
    <mergeCell ref="AH34:AI34"/>
    <mergeCell ref="AK34:AL34"/>
    <mergeCell ref="AM34:AO34"/>
    <mergeCell ref="AE35:AG35"/>
    <mergeCell ref="AH35:AI35"/>
    <mergeCell ref="AK35:AL35"/>
    <mergeCell ref="AM35:AO35"/>
    <mergeCell ref="AK33:AL33"/>
    <mergeCell ref="AM33:AO33"/>
    <mergeCell ref="A30:A33"/>
    <mergeCell ref="AE32:AG32"/>
    <mergeCell ref="AH32:AI32"/>
    <mergeCell ref="AK32:AL32"/>
    <mergeCell ref="AM32:AO32"/>
    <mergeCell ref="K33:N33"/>
    <mergeCell ref="O33:Q33"/>
    <mergeCell ref="R33:S33"/>
    <mergeCell ref="U33:W33"/>
    <mergeCell ref="X33:Z33"/>
    <mergeCell ref="AA33:AC33"/>
    <mergeCell ref="AA31:AC31"/>
    <mergeCell ref="K32:N32"/>
    <mergeCell ref="O32:Q32"/>
    <mergeCell ref="R32:S32"/>
    <mergeCell ref="U32:W32"/>
    <mergeCell ref="X32:Z32"/>
    <mergeCell ref="AA32:AC32"/>
    <mergeCell ref="R30:S30"/>
    <mergeCell ref="U30:W30"/>
    <mergeCell ref="AA30:AC30"/>
    <mergeCell ref="X30:Z30"/>
    <mergeCell ref="AH33:AI33"/>
    <mergeCell ref="C32:E32"/>
    <mergeCell ref="AK29:AL29"/>
    <mergeCell ref="H33:J33"/>
    <mergeCell ref="AM30:AO30"/>
    <mergeCell ref="AM31:AO31"/>
    <mergeCell ref="AK30:AL30"/>
    <mergeCell ref="AK31:AL31"/>
    <mergeCell ref="AE30:AG30"/>
    <mergeCell ref="H32:J32"/>
    <mergeCell ref="AH28:AI28"/>
    <mergeCell ref="AM28:AO28"/>
    <mergeCell ref="H29:J29"/>
    <mergeCell ref="AB29:AC29"/>
    <mergeCell ref="AE29:AG29"/>
    <mergeCell ref="AH29:AI29"/>
    <mergeCell ref="AM29:AO29"/>
    <mergeCell ref="H28:J28"/>
    <mergeCell ref="K31:N31"/>
    <mergeCell ref="O31:Q31"/>
    <mergeCell ref="R31:S31"/>
    <mergeCell ref="U31:W31"/>
    <mergeCell ref="X31:Z31"/>
    <mergeCell ref="AH30:AI30"/>
    <mergeCell ref="AE31:AG31"/>
    <mergeCell ref="AH31:AI31"/>
    <mergeCell ref="AM25:AO25"/>
    <mergeCell ref="H24:J24"/>
    <mergeCell ref="AB24:AC24"/>
    <mergeCell ref="AE24:AG24"/>
    <mergeCell ref="AB28:AC28"/>
    <mergeCell ref="AE28:AG28"/>
    <mergeCell ref="AH26:AI26"/>
    <mergeCell ref="AM26:AO26"/>
    <mergeCell ref="H27:J27"/>
    <mergeCell ref="AB27:AC27"/>
    <mergeCell ref="AE27:AG27"/>
    <mergeCell ref="AH27:AI27"/>
    <mergeCell ref="AM27:AO27"/>
    <mergeCell ref="H26:J26"/>
    <mergeCell ref="AB26:AC26"/>
    <mergeCell ref="AE26:AG26"/>
    <mergeCell ref="AK24:AL24"/>
    <mergeCell ref="AK25:AL25"/>
    <mergeCell ref="AK26:AL26"/>
    <mergeCell ref="AK27:AL27"/>
    <mergeCell ref="AK28:AL28"/>
    <mergeCell ref="U24:V24"/>
    <mergeCell ref="W24:X24"/>
    <mergeCell ref="Q24:T24"/>
    <mergeCell ref="AM23:AO23"/>
    <mergeCell ref="AB23:AC23"/>
    <mergeCell ref="H23:J23"/>
    <mergeCell ref="AK23:AL23"/>
    <mergeCell ref="AH24:AI24"/>
    <mergeCell ref="AM24:AO24"/>
    <mergeCell ref="U14:AA14"/>
    <mergeCell ref="AB14:AF14"/>
    <mergeCell ref="AG14:AI14"/>
    <mergeCell ref="U16:AA16"/>
    <mergeCell ref="AB16:AF16"/>
    <mergeCell ref="AG16:AI16"/>
    <mergeCell ref="M16:T16"/>
    <mergeCell ref="F17:L17"/>
    <mergeCell ref="M17:Q17"/>
    <mergeCell ref="U17:AI17"/>
    <mergeCell ref="M14:T14"/>
    <mergeCell ref="F15:L15"/>
    <mergeCell ref="M15:Q15"/>
    <mergeCell ref="R15:T15"/>
    <mergeCell ref="U15:AA15"/>
    <mergeCell ref="F19:AI19"/>
    <mergeCell ref="U23:V23"/>
    <mergeCell ref="Z23:AA23"/>
    <mergeCell ref="B21:B22"/>
    <mergeCell ref="V57:AF57"/>
    <mergeCell ref="A57:K57"/>
    <mergeCell ref="V56:AF56"/>
    <mergeCell ref="A56:K56"/>
    <mergeCell ref="A23:A29"/>
    <mergeCell ref="O49:T49"/>
    <mergeCell ref="U49:Y49"/>
    <mergeCell ref="Z49:AJ49"/>
    <mergeCell ref="H25:J25"/>
    <mergeCell ref="AB25:AC25"/>
    <mergeCell ref="AE25:AG25"/>
    <mergeCell ref="AH25:AI25"/>
    <mergeCell ref="H30:J30"/>
    <mergeCell ref="H31:J31"/>
    <mergeCell ref="O30:Q30"/>
    <mergeCell ref="K30:N30"/>
    <mergeCell ref="H34:J34"/>
    <mergeCell ref="X34:AA34"/>
    <mergeCell ref="AB34:AC34"/>
    <mergeCell ref="H35:J35"/>
    <mergeCell ref="AE33:AG33"/>
    <mergeCell ref="AE23:AG23"/>
    <mergeCell ref="AH23:AI23"/>
    <mergeCell ref="F7:K7"/>
    <mergeCell ref="F5:T6"/>
    <mergeCell ref="K26:M26"/>
    <mergeCell ref="N26:P26"/>
    <mergeCell ref="Q26:T26"/>
    <mergeCell ref="K27:M27"/>
    <mergeCell ref="N27:P27"/>
    <mergeCell ref="Q27:T27"/>
    <mergeCell ref="U5:Y5"/>
    <mergeCell ref="F16:L16"/>
    <mergeCell ref="F14:L14"/>
    <mergeCell ref="H21:AI22"/>
    <mergeCell ref="F11:AI12"/>
    <mergeCell ref="L7:T7"/>
    <mergeCell ref="U7:Y7"/>
    <mergeCell ref="Z7:AI7"/>
    <mergeCell ref="F8:K8"/>
    <mergeCell ref="L8:T8"/>
    <mergeCell ref="U8:Y8"/>
    <mergeCell ref="Z8:AI8"/>
    <mergeCell ref="Z5:AI5"/>
    <mergeCell ref="U6:Y6"/>
    <mergeCell ref="Z6:AI6"/>
    <mergeCell ref="AB15:AF15"/>
    <mergeCell ref="AG15:AI15"/>
    <mergeCell ref="AG13:AI13"/>
    <mergeCell ref="AB13:AF13"/>
    <mergeCell ref="K25:M25"/>
    <mergeCell ref="N25:P25"/>
    <mergeCell ref="Q25:T25"/>
    <mergeCell ref="K28:M28"/>
    <mergeCell ref="N28:P28"/>
    <mergeCell ref="Q28:T28"/>
    <mergeCell ref="K23:M23"/>
    <mergeCell ref="N23:P23"/>
    <mergeCell ref="U28:V28"/>
    <mergeCell ref="R17:T17"/>
    <mergeCell ref="F13:L13"/>
    <mergeCell ref="W28:X28"/>
    <mergeCell ref="Z24:AA24"/>
    <mergeCell ref="U25:V25"/>
    <mergeCell ref="W25:X25"/>
    <mergeCell ref="Z25:AA25"/>
    <mergeCell ref="U26:V26"/>
    <mergeCell ref="W26:X26"/>
    <mergeCell ref="Z26:AA26"/>
    <mergeCell ref="U27:V27"/>
    <mergeCell ref="W27:X27"/>
    <mergeCell ref="C21:E22"/>
    <mergeCell ref="F21:G22"/>
    <mergeCell ref="C23:E23"/>
    <mergeCell ref="F23:G23"/>
    <mergeCell ref="C24:E24"/>
    <mergeCell ref="F24:G24"/>
    <mergeCell ref="M13:Q13"/>
    <mergeCell ref="R13:T13"/>
    <mergeCell ref="U13:AA13"/>
    <mergeCell ref="W23:X23"/>
    <mergeCell ref="Q23:T23"/>
    <mergeCell ref="K24:M24"/>
    <mergeCell ref="N24:P24"/>
    <mergeCell ref="C25:E25"/>
    <mergeCell ref="F25:G25"/>
    <mergeCell ref="C26:E26"/>
    <mergeCell ref="F26:G26"/>
    <mergeCell ref="C27:E27"/>
    <mergeCell ref="F27:G27"/>
    <mergeCell ref="C28:E28"/>
    <mergeCell ref="F28:G28"/>
    <mergeCell ref="C29:E29"/>
    <mergeCell ref="F29:G29"/>
    <mergeCell ref="C36:E36"/>
    <mergeCell ref="F36:G36"/>
    <mergeCell ref="C37:E37"/>
    <mergeCell ref="F37:G37"/>
    <mergeCell ref="C38:E38"/>
    <mergeCell ref="F38:G38"/>
    <mergeCell ref="C39:E39"/>
    <mergeCell ref="F39:G39"/>
    <mergeCell ref="C30:E30"/>
    <mergeCell ref="F30:G30"/>
    <mergeCell ref="C31:E31"/>
    <mergeCell ref="F31:G31"/>
    <mergeCell ref="F32:G32"/>
    <mergeCell ref="C33:E33"/>
    <mergeCell ref="F33:G33"/>
    <mergeCell ref="C34:E34"/>
    <mergeCell ref="F34:G34"/>
    <mergeCell ref="K29:M29"/>
    <mergeCell ref="N29:P29"/>
    <mergeCell ref="Q29:T29"/>
    <mergeCell ref="L50:N50"/>
    <mergeCell ref="O50:Q50"/>
    <mergeCell ref="R50:T50"/>
    <mergeCell ref="U50:W50"/>
    <mergeCell ref="X50:Z50"/>
    <mergeCell ref="X45:AA45"/>
    <mergeCell ref="U38:W38"/>
    <mergeCell ref="R38:T38"/>
    <mergeCell ref="K38:Q38"/>
    <mergeCell ref="K39:Q39"/>
    <mergeCell ref="K40:Q40"/>
    <mergeCell ref="K43:Q43"/>
    <mergeCell ref="R39:T39"/>
    <mergeCell ref="U39:W39"/>
    <mergeCell ref="R40:T40"/>
    <mergeCell ref="U40:W40"/>
    <mergeCell ref="R43:T43"/>
    <mergeCell ref="U43:W43"/>
    <mergeCell ref="R34:T34"/>
    <mergeCell ref="K34:Q34"/>
    <mergeCell ref="X46:AA46"/>
    <mergeCell ref="AK50:AL50"/>
    <mergeCell ref="AM50:AO50"/>
    <mergeCell ref="AK51:AL51"/>
    <mergeCell ref="AM51:AO51"/>
    <mergeCell ref="AA52:AB52"/>
    <mergeCell ref="V52:Z52"/>
    <mergeCell ref="AA50:AC50"/>
    <mergeCell ref="AD50:AF50"/>
    <mergeCell ref="K35:Q35"/>
    <mergeCell ref="R35:T35"/>
    <mergeCell ref="U35:W35"/>
    <mergeCell ref="AE37:AG37"/>
    <mergeCell ref="K37:Q37"/>
    <mergeCell ref="R37:T37"/>
    <mergeCell ref="U37:W37"/>
    <mergeCell ref="AF48:AH48"/>
    <mergeCell ref="H46:K46"/>
    <mergeCell ref="L46:N46"/>
    <mergeCell ref="H41:J41"/>
    <mergeCell ref="R41:T41"/>
    <mergeCell ref="U41:W41"/>
    <mergeCell ref="X41:AA41"/>
    <mergeCell ref="AB41:AE41"/>
    <mergeCell ref="AF41:AH41"/>
    <mergeCell ref="AM55:AO55"/>
    <mergeCell ref="AG53:AI53"/>
    <mergeCell ref="AK53:AL53"/>
    <mergeCell ref="AM53:AO53"/>
    <mergeCell ref="AK54:AL54"/>
    <mergeCell ref="AM54:AO54"/>
    <mergeCell ref="AI55:AJ55"/>
    <mergeCell ref="AK52:AL52"/>
    <mergeCell ref="AM52:AO52"/>
    <mergeCell ref="AD52:AH52"/>
    <mergeCell ref="AI52:AJ52"/>
    <mergeCell ref="AG54:AJ54"/>
    <mergeCell ref="A50:A55"/>
    <mergeCell ref="H53:K53"/>
    <mergeCell ref="L53:N53"/>
    <mergeCell ref="O53:Q53"/>
    <mergeCell ref="R53:T53"/>
    <mergeCell ref="U53:W53"/>
    <mergeCell ref="X53:Z53"/>
    <mergeCell ref="AA53:AC53"/>
    <mergeCell ref="AD53:AF53"/>
    <mergeCell ref="H54:K54"/>
    <mergeCell ref="L54:O54"/>
    <mergeCell ref="B53:B55"/>
    <mergeCell ref="C53:E55"/>
    <mergeCell ref="F53:G55"/>
    <mergeCell ref="H55:K55"/>
    <mergeCell ref="S55:T55"/>
    <mergeCell ref="V55:Z55"/>
    <mergeCell ref="AA55:AB55"/>
    <mergeCell ref="S52:T52"/>
    <mergeCell ref="H52:K52"/>
    <mergeCell ref="H50:K50"/>
    <mergeCell ref="H51:K51"/>
    <mergeCell ref="L51:O51"/>
    <mergeCell ref="L55:N55"/>
    <mergeCell ref="O55:R55"/>
    <mergeCell ref="AD55:AH55"/>
    <mergeCell ref="B50:B52"/>
    <mergeCell ref="C50:E52"/>
    <mergeCell ref="F50:G52"/>
    <mergeCell ref="AU34:BC34"/>
    <mergeCell ref="AU35:BC35"/>
    <mergeCell ref="AU36:BC36"/>
    <mergeCell ref="AU37:BC37"/>
    <mergeCell ref="H42:J42"/>
    <mergeCell ref="K42:Q42"/>
    <mergeCell ref="R42:T42"/>
    <mergeCell ref="U42:W42"/>
    <mergeCell ref="X42:AA42"/>
    <mergeCell ref="AB42:AE42"/>
    <mergeCell ref="AF42:AH42"/>
    <mergeCell ref="AI42:AJ42"/>
    <mergeCell ref="AK42:AL42"/>
    <mergeCell ref="P54:R54"/>
    <mergeCell ref="S54:V54"/>
    <mergeCell ref="W54:Y54"/>
    <mergeCell ref="Z54:AC54"/>
    <mergeCell ref="AD54:AF54"/>
    <mergeCell ref="AK55:AL55"/>
    <mergeCell ref="AQ23:AT23"/>
    <mergeCell ref="AQ24:AT24"/>
    <mergeCell ref="AQ25:AT25"/>
    <mergeCell ref="AQ26:AT26"/>
    <mergeCell ref="AQ27:AT27"/>
    <mergeCell ref="AQ28:AT28"/>
    <mergeCell ref="AQ29:AT29"/>
    <mergeCell ref="AQ30:AT30"/>
    <mergeCell ref="AQ31:AT31"/>
    <mergeCell ref="AU25:BC25"/>
    <mergeCell ref="AU26:BC26"/>
    <mergeCell ref="AU27:BC27"/>
    <mergeCell ref="AU28:BC28"/>
    <mergeCell ref="AU29:BC29"/>
    <mergeCell ref="AU30:BC30"/>
    <mergeCell ref="AU31:BC31"/>
    <mergeCell ref="AU32:BC32"/>
    <mergeCell ref="AU33:BC33"/>
    <mergeCell ref="BG36:BH36"/>
    <mergeCell ref="BG37:BH37"/>
    <mergeCell ref="U1:AI4"/>
    <mergeCell ref="F9:K9"/>
    <mergeCell ref="L9:T9"/>
    <mergeCell ref="U9:Y9"/>
    <mergeCell ref="Z9:AI9"/>
    <mergeCell ref="BE23:BF23"/>
    <mergeCell ref="BE24:BF24"/>
    <mergeCell ref="BE25:BF25"/>
    <mergeCell ref="BE26:BF26"/>
    <mergeCell ref="BE27:BF27"/>
    <mergeCell ref="BE28:BF28"/>
    <mergeCell ref="BE29:BF29"/>
    <mergeCell ref="BG34:BH34"/>
    <mergeCell ref="BG35:BH35"/>
    <mergeCell ref="AQ32:AT32"/>
    <mergeCell ref="AQ33:AT33"/>
    <mergeCell ref="AQ34:AT34"/>
    <mergeCell ref="AQ35:AT35"/>
    <mergeCell ref="AQ36:AT36"/>
    <mergeCell ref="AQ37:AT37"/>
    <mergeCell ref="AU23:BC23"/>
    <mergeCell ref="AU24:BC24"/>
  </mergeCells>
  <dataValidations count="14">
    <dataValidation type="list" allowBlank="1" showInputMessage="1" sqref="X30:Z33" xr:uid="{56F619DF-5619-4550-B1A9-AD24334B1002}">
      <formula1>L_Matière_Cuve</formula1>
    </dataValidation>
    <dataValidation type="list" allowBlank="1" sqref="AD30:AD33" xr:uid="{427B6606-8CDB-4EDC-9C97-0AFDBECEF680}">
      <formula1>L_Position_Cuve</formula1>
    </dataValidation>
    <dataValidation type="list" allowBlank="1" showInputMessage="1" sqref="U34:U37" xr:uid="{F4188554-D240-4167-A764-3B09210DE652}">
      <formula1>L_Techno_Sécheur</formula1>
    </dataValidation>
    <dataValidation type="list" allowBlank="1" showInputMessage="1" sqref="AG56:AO56" xr:uid="{867F1B1E-B124-4674-BEAA-88B32C7B710F}">
      <formula1>L_Oui_Non</formula1>
    </dataValidation>
    <dataValidation type="list" allowBlank="1" showInputMessage="1" sqref="C50:E55 L56:L57 M56:U56" xr:uid="{E82E6757-04AF-40E5-98F5-E44F7492AF0D}">
      <formula1>L_Travaux</formula1>
    </dataValidation>
    <dataValidation type="list" allowBlank="1" showInputMessage="1" showErrorMessage="1" sqref="U38:U43" xr:uid="{28DF6927-E0CE-4250-9028-22F2769604D9}">
      <formula1>L_Niveau_filtration</formula1>
    </dataValidation>
    <dataValidation type="list" allowBlank="1" showInputMessage="1" sqref="AG53:AI53 AA53:AC53 P51:R51 W51:Y51 AD51:AF51 O50:Q50 U50:W50 AA50:AC50 AG50:AI50 P54:R54 W54:Y54 AD54:AF54 O53:Q53 U53:W53 C23:E49" xr:uid="{B126233C-E021-4FD3-8D09-24D914A71FC3}">
      <formula1>L_Status</formula1>
    </dataValidation>
    <dataValidation type="list" allowBlank="1" showInputMessage="1" sqref="F53 G23:G49 F23:F50" xr:uid="{8E9FDB68-8096-4EAC-8B28-F026792A9A95}">
      <formula1>L_Responsabilité</formula1>
    </dataValidation>
    <dataValidation type="list" allowBlank="1" showInputMessage="1" sqref="AD50:AF50 L50:N50 R50:T50 X50:Z50 AD53:AF53 L53:N53 R53:T53 X53:Z53" xr:uid="{B410E3C9-6A84-4C47-932F-02842A9D9021}">
      <formula1>L_Métrologie</formula1>
    </dataValidation>
    <dataValidation type="list" allowBlank="1" showInputMessage="1" sqref="L51 S51 Z51 L54 S54 Z54" xr:uid="{D1B562F0-990C-40FB-BB28-C11C3508C8D8}">
      <formula1>L_Régulation</formula1>
    </dataValidation>
    <dataValidation type="list" allowBlank="1" showInputMessage="1" sqref="L52 L55" xr:uid="{AB4F90F6-D3B8-4A78-8695-EFB42ADC91EA}">
      <formula1>L_Matière_Réseau</formula1>
    </dataValidation>
    <dataValidation type="list" allowBlank="1" showInputMessage="1" showErrorMessage="1" sqref="AI52 AI55" xr:uid="{FF11370A-0B06-49D0-AD55-B8F11AAF29C2}">
      <formula1>L_Oui_Non</formula1>
    </dataValidation>
    <dataValidation type="list" allowBlank="1" showInputMessage="1" sqref="AG57:AO57" xr:uid="{15C734C0-25D2-4449-9C52-A1AAB452C59A}">
      <formula1>L_Repris</formula1>
    </dataValidation>
    <dataValidation type="list" allowBlank="1" showInputMessage="1" sqref="Q57:U57" xr:uid="{50134A58-EAAA-43EE-8A99-6CEDE89AD747}">
      <formula1>L_RécupCalo</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landscape" r:id="rId1"/>
  <rowBreaks count="1" manualBreakCount="1">
    <brk id="20" max="40" man="1"/>
  </rowBreaks>
  <drawing r:id="rId2"/>
  <legacyDrawing r:id="rId3"/>
  <mc:AlternateContent xmlns:mc="http://schemas.openxmlformats.org/markup-compatibility/2006">
    <mc:Choice Requires="x14">
      <controls>
        <mc:AlternateContent xmlns:mc="http://schemas.openxmlformats.org/markup-compatibility/2006">
          <mc:Choice Requires="x14">
            <control shapeId="5157" r:id="rId4" name="Button 37">
              <controlPr defaultSize="0" print="0" autoFill="0" autoPict="0" macro="[0]!MiseEnService">
                <anchor moveWithCells="1" sizeWithCells="1">
                  <from>
                    <xdr:col>44</xdr:col>
                    <xdr:colOff>180975</xdr:colOff>
                    <xdr:row>3</xdr:row>
                    <xdr:rowOff>85725</xdr:rowOff>
                  </from>
                  <to>
                    <xdr:col>49</xdr:col>
                    <xdr:colOff>161925</xdr:colOff>
                    <xdr:row>5</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EAD53-842D-4671-8CAB-0263679FD624}">
  <sheetPr codeName="Feuil4">
    <tabColor theme="5" tint="0.59999389629810485"/>
    <pageSetUpPr fitToPage="1"/>
  </sheetPr>
  <dimension ref="A1:AD28"/>
  <sheetViews>
    <sheetView view="pageBreakPreview" zoomScaleNormal="100" zoomScaleSheetLayoutView="100" workbookViewId="0">
      <selection activeCell="AM34" sqref="AM34"/>
    </sheetView>
  </sheetViews>
  <sheetFormatPr baseColWidth="10" defaultColWidth="11.42578125" defaultRowHeight="15"/>
  <cols>
    <col min="1" max="38" width="3.28515625" customWidth="1"/>
  </cols>
  <sheetData>
    <row r="1" spans="1:30" ht="14.1" customHeight="1">
      <c r="P1" s="357" t="s">
        <v>332</v>
      </c>
      <c r="Q1" s="357"/>
      <c r="R1" s="357"/>
      <c r="S1" s="357"/>
      <c r="T1" s="357"/>
      <c r="U1" s="357"/>
      <c r="V1" s="357"/>
      <c r="W1" s="357"/>
      <c r="X1" s="357"/>
      <c r="Y1" s="357"/>
      <c r="Z1" s="357"/>
      <c r="AA1" s="357"/>
      <c r="AB1" s="357"/>
      <c r="AC1" s="357"/>
      <c r="AD1" s="357"/>
    </row>
    <row r="2" spans="1:30" ht="14.1" customHeight="1">
      <c r="P2" s="358"/>
      <c r="Q2" s="358"/>
      <c r="R2" s="358"/>
      <c r="S2" s="358"/>
      <c r="T2" s="358"/>
      <c r="U2" s="358"/>
      <c r="V2" s="358"/>
      <c r="W2" s="358"/>
      <c r="X2" s="358"/>
      <c r="Y2" s="358"/>
      <c r="Z2" s="358"/>
      <c r="AA2" s="358"/>
      <c r="AB2" s="358"/>
      <c r="AC2" s="358"/>
      <c r="AD2" s="358"/>
    </row>
    <row r="3" spans="1:30" ht="14.1" customHeight="1">
      <c r="P3" s="358"/>
      <c r="Q3" s="358"/>
      <c r="R3" s="358"/>
      <c r="S3" s="358"/>
      <c r="T3" s="358"/>
      <c r="U3" s="358"/>
      <c r="V3" s="358"/>
      <c r="W3" s="358"/>
      <c r="X3" s="358"/>
      <c r="Y3" s="358"/>
      <c r="Z3" s="358"/>
      <c r="AA3" s="358"/>
      <c r="AB3" s="358"/>
      <c r="AC3" s="358"/>
      <c r="AD3" s="358"/>
    </row>
    <row r="4" spans="1:30" ht="14.1" customHeight="1" thickBot="1">
      <c r="P4" s="359"/>
      <c r="Q4" s="359"/>
      <c r="R4" s="359"/>
      <c r="S4" s="359"/>
      <c r="T4" s="359"/>
      <c r="U4" s="359"/>
      <c r="V4" s="359"/>
      <c r="W4" s="359"/>
      <c r="X4" s="359"/>
      <c r="Y4" s="359"/>
      <c r="Z4" s="359"/>
      <c r="AA4" s="359"/>
      <c r="AB4" s="359"/>
      <c r="AC4" s="359"/>
      <c r="AD4" s="359"/>
    </row>
    <row r="5" spans="1:30" ht="14.1" customHeight="1">
      <c r="A5" s="360" t="s">
        <v>1</v>
      </c>
      <c r="B5" s="361"/>
      <c r="C5" s="361"/>
      <c r="D5" s="361"/>
      <c r="E5" s="361"/>
      <c r="F5" s="361"/>
      <c r="G5" s="361"/>
      <c r="H5" s="361"/>
      <c r="I5" s="361"/>
      <c r="J5" s="361"/>
      <c r="K5" s="361"/>
      <c r="L5" s="361"/>
      <c r="M5" s="361"/>
      <c r="N5" s="361"/>
      <c r="O5" s="362"/>
      <c r="P5" s="275" t="s">
        <v>2</v>
      </c>
      <c r="Q5" s="276"/>
      <c r="R5" s="276"/>
      <c r="S5" s="276"/>
      <c r="T5" s="277"/>
      <c r="U5" s="634">
        <f>Client</f>
        <v>0</v>
      </c>
      <c r="V5" s="635"/>
      <c r="W5" s="635"/>
      <c r="X5" s="635"/>
      <c r="Y5" s="635"/>
      <c r="Z5" s="635"/>
      <c r="AA5" s="635"/>
      <c r="AB5" s="635"/>
      <c r="AC5" s="635"/>
      <c r="AD5" s="636"/>
    </row>
    <row r="6" spans="1:30" ht="14.1" customHeight="1" thickBot="1">
      <c r="A6" s="363"/>
      <c r="B6" s="364"/>
      <c r="C6" s="364"/>
      <c r="D6" s="364"/>
      <c r="E6" s="364"/>
      <c r="F6" s="364"/>
      <c r="G6" s="364"/>
      <c r="H6" s="364"/>
      <c r="I6" s="364"/>
      <c r="J6" s="364"/>
      <c r="K6" s="364"/>
      <c r="L6" s="364"/>
      <c r="M6" s="364"/>
      <c r="N6" s="364"/>
      <c r="O6" s="365"/>
      <c r="P6" s="151" t="s">
        <v>3</v>
      </c>
      <c r="Q6" s="152"/>
      <c r="R6" s="152"/>
      <c r="S6" s="152"/>
      <c r="T6" s="153"/>
      <c r="U6" s="287">
        <f>Num_Devis</f>
        <v>0</v>
      </c>
      <c r="V6" s="632"/>
      <c r="W6" s="632"/>
      <c r="X6" s="632"/>
      <c r="Y6" s="632"/>
      <c r="Z6" s="632"/>
      <c r="AA6" s="632"/>
      <c r="AB6" s="632"/>
      <c r="AC6" s="632"/>
      <c r="AD6" s="633"/>
    </row>
    <row r="7" spans="1:30" ht="27.95" customHeight="1">
      <c r="A7" s="372" t="s">
        <v>4</v>
      </c>
      <c r="B7" s="373"/>
      <c r="C7" s="373"/>
      <c r="D7" s="373"/>
      <c r="E7" s="373"/>
      <c r="F7" s="374"/>
      <c r="G7" s="509">
        <f>Commercial</f>
        <v>0</v>
      </c>
      <c r="H7" s="509"/>
      <c r="I7" s="509"/>
      <c r="J7" s="509"/>
      <c r="K7" s="509"/>
      <c r="L7" s="509"/>
      <c r="M7" s="509"/>
      <c r="N7" s="509"/>
      <c r="O7" s="510"/>
      <c r="P7" s="149" t="s">
        <v>5</v>
      </c>
      <c r="Q7" s="150"/>
      <c r="R7" s="150"/>
      <c r="S7" s="150"/>
      <c r="T7" s="207"/>
      <c r="U7" s="287">
        <f>Code_Client_Divalto</f>
        <v>0</v>
      </c>
      <c r="V7" s="632"/>
      <c r="W7" s="632"/>
      <c r="X7" s="632"/>
      <c r="Y7" s="632"/>
      <c r="Z7" s="632"/>
      <c r="AA7" s="632"/>
      <c r="AB7" s="632"/>
      <c r="AC7" s="632"/>
      <c r="AD7" s="633"/>
    </row>
    <row r="8" spans="1:30"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0"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0" ht="15.75" thickBot="1"/>
    <row r="11" spans="1:30" ht="14.1" customHeight="1">
      <c r="A11" s="734" t="s">
        <v>333</v>
      </c>
      <c r="B11" s="735"/>
      <c r="C11" s="735"/>
      <c r="D11" s="735"/>
      <c r="E11" s="735"/>
      <c r="F11" s="735"/>
      <c r="G11" s="735"/>
      <c r="H11" s="735"/>
      <c r="I11" s="735"/>
      <c r="J11" s="735"/>
      <c r="K11" s="735"/>
      <c r="L11" s="735"/>
      <c r="M11" s="735"/>
      <c r="N11" s="735"/>
      <c r="O11" s="735"/>
      <c r="P11" s="735"/>
      <c r="Q11" s="735"/>
      <c r="R11" s="735"/>
      <c r="S11" s="735"/>
      <c r="T11" s="735"/>
      <c r="U11" s="735"/>
      <c r="V11" s="735"/>
      <c r="W11" s="735"/>
      <c r="X11" s="735"/>
      <c r="Y11" s="735"/>
      <c r="Z11" s="735"/>
      <c r="AA11" s="735"/>
      <c r="AB11" s="735"/>
      <c r="AC11" s="735"/>
      <c r="AD11" s="736"/>
    </row>
    <row r="12" spans="1:30" ht="14.1" customHeight="1" thickBot="1">
      <c r="A12" s="737"/>
      <c r="B12" s="738"/>
      <c r="C12" s="738"/>
      <c r="D12" s="738"/>
      <c r="E12" s="738"/>
      <c r="F12" s="738"/>
      <c r="G12" s="738"/>
      <c r="H12" s="738"/>
      <c r="I12" s="738"/>
      <c r="J12" s="738"/>
      <c r="K12" s="738"/>
      <c r="L12" s="738"/>
      <c r="M12" s="738"/>
      <c r="N12" s="738"/>
      <c r="O12" s="738"/>
      <c r="P12" s="738"/>
      <c r="Q12" s="738"/>
      <c r="R12" s="738"/>
      <c r="S12" s="738"/>
      <c r="T12" s="738"/>
      <c r="U12" s="738"/>
      <c r="V12" s="738"/>
      <c r="W12" s="738"/>
      <c r="X12" s="738"/>
      <c r="Y12" s="738"/>
      <c r="Z12" s="738"/>
      <c r="AA12" s="738"/>
      <c r="AB12" s="738"/>
      <c r="AC12" s="738"/>
      <c r="AD12" s="739"/>
    </row>
    <row r="13" spans="1:30" ht="20.100000000000001" customHeight="1" thickBot="1">
      <c r="A13" s="740" t="s">
        <v>334</v>
      </c>
      <c r="B13" s="741"/>
      <c r="C13" s="741"/>
      <c r="D13" s="741"/>
      <c r="E13" s="741"/>
      <c r="F13" s="741"/>
      <c r="G13" s="741"/>
      <c r="H13" s="741"/>
      <c r="I13" s="741"/>
      <c r="J13" s="741"/>
      <c r="K13" s="741"/>
      <c r="L13" s="741"/>
      <c r="M13" s="741"/>
      <c r="N13" s="741"/>
      <c r="O13" s="741"/>
      <c r="P13" s="741"/>
      <c r="Q13" s="741"/>
      <c r="R13" s="741"/>
      <c r="S13" s="741"/>
      <c r="T13" s="741"/>
      <c r="U13" s="741"/>
      <c r="V13" s="741"/>
      <c r="W13" s="741"/>
      <c r="X13" s="741"/>
      <c r="Y13" s="741"/>
      <c r="Z13" s="741"/>
      <c r="AA13" s="741"/>
      <c r="AB13" s="741"/>
      <c r="AC13" s="741"/>
      <c r="AD13" s="742"/>
    </row>
    <row r="14" spans="1:30" ht="14.1" customHeight="1">
      <c r="A14" s="743" t="s">
        <v>335</v>
      </c>
      <c r="B14" s="744"/>
      <c r="C14" s="744"/>
      <c r="D14" s="744"/>
      <c r="E14" s="744"/>
      <c r="F14" s="744"/>
      <c r="G14" s="757" t="s">
        <v>51</v>
      </c>
      <c r="H14" s="758"/>
      <c r="I14" s="758"/>
      <c r="J14" s="758"/>
      <c r="K14" s="758"/>
      <c r="L14" s="758"/>
      <c r="M14" s="758"/>
      <c r="N14" s="758"/>
      <c r="O14" s="759"/>
      <c r="P14" s="763" t="s">
        <v>336</v>
      </c>
      <c r="Q14" s="764"/>
      <c r="R14" s="764"/>
      <c r="S14" s="764"/>
      <c r="T14" s="764"/>
      <c r="U14" s="765"/>
      <c r="V14" s="541"/>
      <c r="W14" s="541"/>
      <c r="X14" s="541"/>
      <c r="Y14" s="541"/>
      <c r="Z14" s="541"/>
      <c r="AA14" s="541"/>
      <c r="AB14" s="541"/>
      <c r="AC14" s="541"/>
      <c r="AD14" s="745"/>
    </row>
    <row r="15" spans="1:30" ht="14.1" customHeight="1" thickBot="1">
      <c r="A15" s="751" t="s">
        <v>337</v>
      </c>
      <c r="B15" s="752"/>
      <c r="C15" s="752"/>
      <c r="D15" s="752"/>
      <c r="E15" s="752"/>
      <c r="F15" s="752"/>
      <c r="G15" s="760"/>
      <c r="H15" s="761"/>
      <c r="I15" s="761"/>
      <c r="J15" s="761"/>
      <c r="K15" s="761"/>
      <c r="L15" s="761"/>
      <c r="M15" s="761"/>
      <c r="N15" s="761"/>
      <c r="O15" s="762"/>
      <c r="P15" s="753"/>
      <c r="Q15" s="753"/>
      <c r="R15" s="753"/>
      <c r="S15" s="753"/>
      <c r="T15" s="753"/>
      <c r="U15" s="753"/>
      <c r="V15" s="753"/>
      <c r="W15" s="753"/>
      <c r="X15" s="753"/>
      <c r="Y15" s="753"/>
      <c r="Z15" s="753"/>
      <c r="AA15" s="753"/>
      <c r="AB15" s="753"/>
      <c r="AC15" s="753"/>
      <c r="AD15" s="754"/>
    </row>
    <row r="16" spans="1:30" ht="15" customHeight="1" thickBot="1"/>
    <row r="17" spans="1:30" ht="20.100000000000001" customHeight="1" thickBot="1">
      <c r="A17" s="740" t="s">
        <v>338</v>
      </c>
      <c r="B17" s="741"/>
      <c r="C17" s="741"/>
      <c r="D17" s="741"/>
      <c r="E17" s="741"/>
      <c r="F17" s="741"/>
      <c r="G17" s="741"/>
      <c r="H17" s="741"/>
      <c r="I17" s="741"/>
      <c r="J17" s="741"/>
      <c r="K17" s="741"/>
      <c r="L17" s="741"/>
      <c r="M17" s="741"/>
      <c r="N17" s="741"/>
      <c r="O17" s="741"/>
      <c r="P17" s="741"/>
      <c r="Q17" s="741"/>
      <c r="R17" s="741"/>
      <c r="S17" s="741"/>
      <c r="T17" s="741"/>
      <c r="U17" s="741"/>
      <c r="V17" s="741"/>
      <c r="W17" s="741"/>
      <c r="X17" s="741"/>
      <c r="Y17" s="741"/>
      <c r="Z17" s="741"/>
      <c r="AA17" s="741"/>
      <c r="AB17" s="741"/>
      <c r="AC17" s="741"/>
      <c r="AD17" s="742"/>
    </row>
    <row r="18" spans="1:30" ht="14.1" customHeight="1">
      <c r="A18" s="766" t="s">
        <v>339</v>
      </c>
      <c r="B18" s="767"/>
      <c r="C18" s="767"/>
      <c r="D18" s="767"/>
      <c r="E18" s="767"/>
      <c r="F18" s="767"/>
      <c r="G18" s="767"/>
      <c r="H18" s="748"/>
      <c r="I18" s="748"/>
      <c r="J18" s="748"/>
      <c r="K18" s="749" t="s">
        <v>340</v>
      </c>
      <c r="L18" s="749"/>
      <c r="M18" s="749"/>
      <c r="N18" s="749"/>
      <c r="O18" s="749"/>
      <c r="P18" s="749"/>
      <c r="Q18" s="749"/>
      <c r="R18" s="749"/>
      <c r="S18" s="749"/>
      <c r="T18" s="749"/>
      <c r="U18" s="749"/>
      <c r="V18" s="749"/>
      <c r="W18" s="749"/>
      <c r="X18" s="749"/>
      <c r="Y18" s="749"/>
      <c r="Z18" s="749"/>
      <c r="AA18" s="749"/>
      <c r="AB18" s="749"/>
      <c r="AC18" s="749"/>
      <c r="AD18" s="750"/>
    </row>
    <row r="19" spans="1:30" ht="14.1" customHeight="1">
      <c r="A19" s="732" t="s">
        <v>341</v>
      </c>
      <c r="B19" s="733"/>
      <c r="C19" s="733"/>
      <c r="D19" s="755" t="s">
        <v>342</v>
      </c>
      <c r="E19" s="755"/>
      <c r="F19" s="756"/>
      <c r="G19" s="756"/>
      <c r="H19" s="756"/>
      <c r="I19" s="756"/>
      <c r="J19" s="756"/>
      <c r="K19" s="726" t="s">
        <v>343</v>
      </c>
      <c r="L19" s="727"/>
      <c r="M19" s="577"/>
      <c r="N19" s="768"/>
      <c r="O19" s="769"/>
      <c r="P19" s="769"/>
      <c r="Q19" s="770"/>
      <c r="R19" s="731" t="s">
        <v>344</v>
      </c>
      <c r="S19" s="731"/>
      <c r="T19" s="731"/>
      <c r="U19" s="463"/>
      <c r="V19" s="463"/>
      <c r="W19" s="463"/>
      <c r="X19" s="463"/>
      <c r="Y19" s="747" t="s">
        <v>345</v>
      </c>
      <c r="Z19" s="747"/>
      <c r="AA19" s="747"/>
      <c r="AB19" s="463"/>
      <c r="AC19" s="463"/>
      <c r="AD19" s="746"/>
    </row>
    <row r="20" spans="1:30" ht="14.1" customHeight="1">
      <c r="A20" s="732" t="s">
        <v>346</v>
      </c>
      <c r="B20" s="733"/>
      <c r="C20" s="733"/>
      <c r="D20" s="755" t="s">
        <v>342</v>
      </c>
      <c r="E20" s="755"/>
      <c r="F20" s="756"/>
      <c r="G20" s="756"/>
      <c r="H20" s="756"/>
      <c r="I20" s="756"/>
      <c r="J20" s="756"/>
      <c r="K20" s="726" t="s">
        <v>343</v>
      </c>
      <c r="L20" s="727"/>
      <c r="M20" s="577"/>
      <c r="N20" s="768"/>
      <c r="O20" s="769"/>
      <c r="P20" s="769"/>
      <c r="Q20" s="770"/>
      <c r="R20" s="731" t="s">
        <v>344</v>
      </c>
      <c r="S20" s="731"/>
      <c r="T20" s="731"/>
      <c r="U20" s="463"/>
      <c r="V20" s="463"/>
      <c r="W20" s="463"/>
      <c r="X20" s="463"/>
      <c r="Y20" s="74" t="s">
        <v>345</v>
      </c>
      <c r="Z20" s="75"/>
      <c r="AA20" s="75"/>
      <c r="AB20" s="463"/>
      <c r="AC20" s="463"/>
      <c r="AD20" s="746"/>
    </row>
    <row r="21" spans="1:30" ht="14.1" customHeight="1">
      <c r="A21" s="732" t="s">
        <v>347</v>
      </c>
      <c r="B21" s="733"/>
      <c r="C21" s="733"/>
      <c r="D21" s="755" t="s">
        <v>342</v>
      </c>
      <c r="E21" s="755"/>
      <c r="F21" s="756"/>
      <c r="G21" s="756"/>
      <c r="H21" s="756"/>
      <c r="I21" s="756"/>
      <c r="J21" s="756"/>
      <c r="K21" s="726" t="s">
        <v>343</v>
      </c>
      <c r="L21" s="727"/>
      <c r="M21" s="577"/>
      <c r="N21" s="768"/>
      <c r="O21" s="769"/>
      <c r="P21" s="769"/>
      <c r="Q21" s="770"/>
      <c r="R21" s="731" t="s">
        <v>344</v>
      </c>
      <c r="S21" s="731"/>
      <c r="T21" s="731"/>
      <c r="U21" s="463"/>
      <c r="V21" s="463"/>
      <c r="W21" s="463"/>
      <c r="X21" s="463"/>
      <c r="Y21" s="74" t="s">
        <v>345</v>
      </c>
      <c r="Z21" s="75"/>
      <c r="AA21" s="75"/>
      <c r="AB21" s="463"/>
      <c r="AC21" s="463"/>
      <c r="AD21" s="746"/>
    </row>
    <row r="22" spans="1:30" ht="14.1" customHeight="1">
      <c r="A22" s="732" t="s">
        <v>348</v>
      </c>
      <c r="B22" s="733"/>
      <c r="C22" s="733"/>
      <c r="D22" s="755" t="s">
        <v>349</v>
      </c>
      <c r="E22" s="755"/>
      <c r="F22" s="756"/>
      <c r="G22" s="756"/>
      <c r="H22" s="756"/>
      <c r="I22" s="756"/>
      <c r="J22" s="756"/>
      <c r="K22" s="726" t="s">
        <v>343</v>
      </c>
      <c r="L22" s="727"/>
      <c r="M22" s="577"/>
      <c r="N22" s="768"/>
      <c r="O22" s="769"/>
      <c r="P22" s="769"/>
      <c r="Q22" s="770"/>
      <c r="R22" s="731" t="s">
        <v>344</v>
      </c>
      <c r="S22" s="731"/>
      <c r="T22" s="731"/>
      <c r="U22" s="463"/>
      <c r="V22" s="463"/>
      <c r="W22" s="463"/>
      <c r="X22" s="463"/>
      <c r="Y22" s="74" t="s">
        <v>345</v>
      </c>
      <c r="Z22" s="75"/>
      <c r="AA22" s="75"/>
      <c r="AB22" s="463"/>
      <c r="AC22" s="463"/>
      <c r="AD22" s="746"/>
    </row>
    <row r="23" spans="1:30" ht="14.1" customHeight="1" thickBot="1">
      <c r="A23" s="71" t="s">
        <v>350</v>
      </c>
      <c r="B23" s="72"/>
      <c r="C23" s="73"/>
      <c r="D23" s="752" t="s">
        <v>349</v>
      </c>
      <c r="E23" s="752"/>
      <c r="F23" s="782"/>
      <c r="G23" s="782"/>
      <c r="H23" s="782"/>
      <c r="I23" s="782"/>
      <c r="J23" s="782"/>
      <c r="K23" s="783" t="s">
        <v>343</v>
      </c>
      <c r="L23" s="784"/>
      <c r="M23" s="673"/>
      <c r="N23" s="728"/>
      <c r="O23" s="729"/>
      <c r="P23" s="729"/>
      <c r="Q23" s="730"/>
      <c r="R23" s="777" t="s">
        <v>344</v>
      </c>
      <c r="S23" s="777"/>
      <c r="T23" s="777"/>
      <c r="U23" s="465"/>
      <c r="V23" s="465"/>
      <c r="W23" s="465"/>
      <c r="X23" s="465"/>
      <c r="Y23" s="76" t="s">
        <v>345</v>
      </c>
      <c r="Z23" s="77"/>
      <c r="AA23" s="77"/>
      <c r="AB23" s="465"/>
      <c r="AC23" s="465"/>
      <c r="AD23" s="781"/>
    </row>
    <row r="24" spans="1:30">
      <c r="A24" s="778" t="s">
        <v>351</v>
      </c>
      <c r="B24" s="779"/>
      <c r="C24" s="779"/>
      <c r="D24" s="779"/>
      <c r="E24" s="779"/>
      <c r="F24" s="779"/>
      <c r="G24" s="779"/>
      <c r="H24" s="779"/>
      <c r="I24" s="779"/>
      <c r="J24" s="779"/>
      <c r="K24" s="779"/>
      <c r="L24" s="779"/>
      <c r="M24" s="779"/>
      <c r="N24" s="779"/>
      <c r="O24" s="779"/>
      <c r="P24" s="779"/>
      <c r="Q24" s="779"/>
      <c r="R24" s="779"/>
      <c r="S24" s="779"/>
      <c r="T24" s="779"/>
      <c r="U24" s="779"/>
      <c r="V24" s="779"/>
      <c r="W24" s="779"/>
      <c r="X24" s="779"/>
      <c r="Y24" s="779"/>
      <c r="Z24" s="779"/>
      <c r="AA24" s="779"/>
      <c r="AB24" s="779"/>
      <c r="AC24" s="779"/>
      <c r="AD24" s="780"/>
    </row>
    <row r="25" spans="1:30" ht="33.75" customHeight="1" thickBot="1">
      <c r="A25" s="774"/>
      <c r="B25" s="775"/>
      <c r="C25" s="775"/>
      <c r="D25" s="775"/>
      <c r="E25" s="775"/>
      <c r="F25" s="775"/>
      <c r="G25" s="775"/>
      <c r="H25" s="775"/>
      <c r="I25" s="775"/>
      <c r="J25" s="775"/>
      <c r="K25" s="775"/>
      <c r="L25" s="775"/>
      <c r="M25" s="775"/>
      <c r="N25" s="775"/>
      <c r="O25" s="775"/>
      <c r="P25" s="775"/>
      <c r="Q25" s="775"/>
      <c r="R25" s="775"/>
      <c r="S25" s="775"/>
      <c r="T25" s="775"/>
      <c r="U25" s="775"/>
      <c r="V25" s="775"/>
      <c r="W25" s="775"/>
      <c r="X25" s="775"/>
      <c r="Y25" s="775"/>
      <c r="Z25" s="775"/>
      <c r="AA25" s="775"/>
      <c r="AB25" s="775"/>
      <c r="AC25" s="775"/>
      <c r="AD25" s="776"/>
    </row>
    <row r="26" spans="1:30" ht="15" customHeight="1" thickBot="1">
      <c r="A26" s="25"/>
      <c r="B26" s="26"/>
      <c r="C26" s="26"/>
      <c r="D26" s="26"/>
      <c r="E26" s="26"/>
      <c r="F26" s="26"/>
      <c r="G26" s="26"/>
      <c r="H26" s="26"/>
      <c r="I26" s="26"/>
      <c r="J26" s="26"/>
      <c r="K26" s="26"/>
      <c r="L26" s="26"/>
      <c r="M26" s="26"/>
      <c r="N26" s="26"/>
      <c r="O26" s="26"/>
      <c r="P26" s="26"/>
      <c r="Q26" s="26"/>
      <c r="R26" s="26"/>
      <c r="S26" s="26"/>
      <c r="T26" s="26"/>
      <c r="U26" s="26"/>
      <c r="V26" s="26"/>
      <c r="W26" s="26"/>
      <c r="X26" s="26"/>
      <c r="Y26" s="26"/>
      <c r="Z26" s="26"/>
      <c r="AA26" s="26"/>
      <c r="AB26" s="26"/>
      <c r="AC26" s="26"/>
      <c r="AD26" s="27"/>
    </row>
    <row r="27" spans="1:30">
      <c r="A27" s="778" t="s">
        <v>94</v>
      </c>
      <c r="B27" s="779"/>
      <c r="C27" s="779"/>
      <c r="D27" s="779"/>
      <c r="E27" s="779"/>
      <c r="F27" s="779"/>
      <c r="G27" s="779"/>
      <c r="H27" s="779"/>
      <c r="I27" s="779"/>
      <c r="J27" s="779"/>
      <c r="K27" s="779"/>
      <c r="L27" s="779"/>
      <c r="M27" s="779"/>
      <c r="N27" s="779"/>
      <c r="O27" s="779"/>
      <c r="P27" s="779"/>
      <c r="Q27" s="779"/>
      <c r="R27" s="779"/>
      <c r="S27" s="779"/>
      <c r="T27" s="779"/>
      <c r="U27" s="779"/>
      <c r="V27" s="779"/>
      <c r="W27" s="779"/>
      <c r="X27" s="779"/>
      <c r="Y27" s="779"/>
      <c r="Z27" s="779"/>
      <c r="AA27" s="779"/>
      <c r="AB27" s="779"/>
      <c r="AC27" s="779"/>
      <c r="AD27" s="780"/>
    </row>
    <row r="28" spans="1:30" ht="47.25" customHeight="1" thickBot="1">
      <c r="A28" s="774"/>
      <c r="B28" s="775"/>
      <c r="C28" s="775"/>
      <c r="D28" s="775"/>
      <c r="E28" s="775"/>
      <c r="F28" s="775"/>
      <c r="G28" s="775"/>
      <c r="H28" s="775"/>
      <c r="I28" s="775"/>
      <c r="J28" s="775"/>
      <c r="K28" s="775"/>
      <c r="L28" s="775"/>
      <c r="M28" s="775"/>
      <c r="N28" s="775"/>
      <c r="O28" s="775"/>
      <c r="P28" s="775"/>
      <c r="Q28" s="775"/>
      <c r="R28" s="775"/>
      <c r="S28" s="775"/>
      <c r="T28" s="775"/>
      <c r="U28" s="775"/>
      <c r="V28" s="775"/>
      <c r="W28" s="775"/>
      <c r="X28" s="775"/>
      <c r="Y28" s="775"/>
      <c r="Z28" s="775"/>
      <c r="AA28" s="775"/>
      <c r="AB28" s="775"/>
      <c r="AC28" s="775"/>
      <c r="AD28" s="776"/>
    </row>
  </sheetData>
  <sheetProtection algorithmName="SHA-512" hashValue="E3pwTy8/bzzAVBG5rmvm0f22Gn7OURAKDaRD+HBSqErnERbhb3pjJpMM9+h+J0gzNgUtZqFZ2jS2A1qtfbR1zg==" saltValue="j5ExM3fZdB5ee9tpeDTUAw==" spinCount="100000" sheet="1" objects="1" scenarios="1"/>
  <mergeCells count="75">
    <mergeCell ref="A28:AD28"/>
    <mergeCell ref="D22:E22"/>
    <mergeCell ref="F22:J22"/>
    <mergeCell ref="K22:M22"/>
    <mergeCell ref="N22:Q22"/>
    <mergeCell ref="R22:T22"/>
    <mergeCell ref="R23:T23"/>
    <mergeCell ref="U23:X23"/>
    <mergeCell ref="A24:AD24"/>
    <mergeCell ref="A25:AD25"/>
    <mergeCell ref="AB23:AD23"/>
    <mergeCell ref="A27:AD27"/>
    <mergeCell ref="D23:E23"/>
    <mergeCell ref="F23:J23"/>
    <mergeCell ref="AB22:AD22"/>
    <mergeCell ref="K23:M23"/>
    <mergeCell ref="P8:T8"/>
    <mergeCell ref="U8:AD8"/>
    <mergeCell ref="A9:F9"/>
    <mergeCell ref="G9:O9"/>
    <mergeCell ref="P9:T9"/>
    <mergeCell ref="U9:AD9"/>
    <mergeCell ref="A8:F8"/>
    <mergeCell ref="G8:O8"/>
    <mergeCell ref="A5:O6"/>
    <mergeCell ref="P1:AD4"/>
    <mergeCell ref="A7:F7"/>
    <mergeCell ref="G7:O7"/>
    <mergeCell ref="P7:T7"/>
    <mergeCell ref="U7:AD7"/>
    <mergeCell ref="P5:T5"/>
    <mergeCell ref="U5:AD5"/>
    <mergeCell ref="P6:T6"/>
    <mergeCell ref="U6:AD6"/>
    <mergeCell ref="A22:C22"/>
    <mergeCell ref="G14:O14"/>
    <mergeCell ref="G15:O15"/>
    <mergeCell ref="P14:U14"/>
    <mergeCell ref="A17:AD17"/>
    <mergeCell ref="A18:G18"/>
    <mergeCell ref="N19:Q19"/>
    <mergeCell ref="N20:Q20"/>
    <mergeCell ref="D20:E20"/>
    <mergeCell ref="F20:J20"/>
    <mergeCell ref="K21:M21"/>
    <mergeCell ref="N21:Q21"/>
    <mergeCell ref="AB21:AD21"/>
    <mergeCell ref="AB20:AD20"/>
    <mergeCell ref="D21:E21"/>
    <mergeCell ref="F21:J21"/>
    <mergeCell ref="A20:C20"/>
    <mergeCell ref="A21:C21"/>
    <mergeCell ref="A11:AD12"/>
    <mergeCell ref="A13:AD13"/>
    <mergeCell ref="A14:F14"/>
    <mergeCell ref="V14:AD14"/>
    <mergeCell ref="AB19:AD19"/>
    <mergeCell ref="Y19:AA19"/>
    <mergeCell ref="H18:J18"/>
    <mergeCell ref="K18:AD18"/>
    <mergeCell ref="A15:F15"/>
    <mergeCell ref="P15:AD15"/>
    <mergeCell ref="A19:C19"/>
    <mergeCell ref="D19:E19"/>
    <mergeCell ref="F19:J19"/>
    <mergeCell ref="R19:T19"/>
    <mergeCell ref="U19:X19"/>
    <mergeCell ref="K19:M19"/>
    <mergeCell ref="N23:Q23"/>
    <mergeCell ref="R21:T21"/>
    <mergeCell ref="U21:X21"/>
    <mergeCell ref="R20:T20"/>
    <mergeCell ref="U20:X20"/>
    <mergeCell ref="U22:X22"/>
    <mergeCell ref="K20:M20"/>
  </mergeCells>
  <dataValidations count="3">
    <dataValidation type="list" allowBlank="1" showInputMessage="1" promptTitle="Info" prompt="Y-a-t-il un plan de prévention établi ou a établir pour une chantier neuf ?_x000a_N'est pas le même que pour la maintenance." sqref="V14:AD14" xr:uid="{EED08860-F331-42DD-ACA2-AC5F7483938B}">
      <formula1>L_Oui_Non</formula1>
    </dataValidation>
    <dataValidation type="list" showInputMessage="1" promptTitle="Information" prompt="Doit-on prévoir une habilitation N1/N2 ?" sqref="G15:O15" xr:uid="{5A9A9998-7979-43C5-BD52-57DF21B0894C}">
      <formula1>L_Oui_Non</formula1>
    </dataValidation>
    <dataValidation type="list" allowBlank="1" showInputMessage="1" promptTitle="Info" prompt="Doit-on prévoir de du temps pour une information des techniciens chez le client ?" sqref="G14:O14" xr:uid="{8AFAD8DF-4EF7-4423-A8A7-106DF79C6640}">
      <formula1>L_Oui_Non</formula1>
    </dataValidation>
  </dataValidations>
  <printOptions horizont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promptTitle="Info" prompt="Nécessaire et qui s'en occupe ?" xr:uid="{36ECB9D6-F4B2-401F-9CD6-72D7C612D2DA}">
          <x14:formula1>
            <xm:f>Information!$E$2:$E$5</xm:f>
          </x14:formula1>
          <xm:sqref>N19:Q23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C5A-3DA1-4569-BCA4-4D1E1B8E53DF}">
  <sheetPr codeName="Feuil5">
    <tabColor theme="8" tint="0.59999389629810485"/>
    <pageSetUpPr fitToPage="1"/>
  </sheetPr>
  <dimension ref="A1:AF43"/>
  <sheetViews>
    <sheetView view="pageBreakPreview" zoomScaleNormal="100" zoomScaleSheetLayoutView="100" workbookViewId="0">
      <selection activeCell="G7" sqref="G7:O9"/>
    </sheetView>
  </sheetViews>
  <sheetFormatPr baseColWidth="10" defaultColWidth="11.42578125" defaultRowHeight="15"/>
  <cols>
    <col min="1" max="38" width="3.28515625" customWidth="1"/>
  </cols>
  <sheetData>
    <row r="1" spans="1:30" ht="14.1" customHeight="1">
      <c r="P1" s="357" t="s">
        <v>352</v>
      </c>
      <c r="Q1" s="357"/>
      <c r="R1" s="357"/>
      <c r="S1" s="357"/>
      <c r="T1" s="357"/>
      <c r="U1" s="357"/>
      <c r="V1" s="357"/>
      <c r="W1" s="357"/>
      <c r="X1" s="357"/>
      <c r="Y1" s="357"/>
      <c r="Z1" s="357"/>
      <c r="AA1" s="357"/>
      <c r="AB1" s="357"/>
      <c r="AC1" s="357"/>
      <c r="AD1" s="357"/>
    </row>
    <row r="2" spans="1:30" ht="14.1" customHeight="1">
      <c r="P2" s="358"/>
      <c r="Q2" s="358"/>
      <c r="R2" s="358"/>
      <c r="S2" s="358"/>
      <c r="T2" s="358"/>
      <c r="U2" s="358"/>
      <c r="V2" s="358"/>
      <c r="W2" s="358"/>
      <c r="X2" s="358"/>
      <c r="Y2" s="358"/>
      <c r="Z2" s="358"/>
      <c r="AA2" s="358"/>
      <c r="AB2" s="358"/>
      <c r="AC2" s="358"/>
      <c r="AD2" s="358"/>
    </row>
    <row r="3" spans="1:30" ht="14.1" customHeight="1">
      <c r="P3" s="358"/>
      <c r="Q3" s="358"/>
      <c r="R3" s="358"/>
      <c r="S3" s="358"/>
      <c r="T3" s="358"/>
      <c r="U3" s="358"/>
      <c r="V3" s="358"/>
      <c r="W3" s="358"/>
      <c r="X3" s="358"/>
      <c r="Y3" s="358"/>
      <c r="Z3" s="358"/>
      <c r="AA3" s="358"/>
      <c r="AB3" s="358"/>
      <c r="AC3" s="358"/>
      <c r="AD3" s="358"/>
    </row>
    <row r="4" spans="1:30" ht="14.1" customHeight="1" thickBot="1">
      <c r="P4" s="359"/>
      <c r="Q4" s="359"/>
      <c r="R4" s="359"/>
      <c r="S4" s="359"/>
      <c r="T4" s="359"/>
      <c r="U4" s="359"/>
      <c r="V4" s="359"/>
      <c r="W4" s="359"/>
      <c r="X4" s="359"/>
      <c r="Y4" s="359"/>
      <c r="Z4" s="359"/>
      <c r="AA4" s="359"/>
      <c r="AB4" s="359"/>
      <c r="AC4" s="359"/>
      <c r="AD4" s="359"/>
    </row>
    <row r="5" spans="1:30" ht="14.1" customHeight="1">
      <c r="A5" s="360" t="s">
        <v>1</v>
      </c>
      <c r="B5" s="361"/>
      <c r="C5" s="361"/>
      <c r="D5" s="361"/>
      <c r="E5" s="361"/>
      <c r="F5" s="361"/>
      <c r="G5" s="361"/>
      <c r="H5" s="361"/>
      <c r="I5" s="361"/>
      <c r="J5" s="361"/>
      <c r="K5" s="361"/>
      <c r="L5" s="361"/>
      <c r="M5" s="361"/>
      <c r="N5" s="361"/>
      <c r="O5" s="362"/>
      <c r="P5" s="275" t="s">
        <v>2</v>
      </c>
      <c r="Q5" s="276"/>
      <c r="R5" s="276"/>
      <c r="S5" s="276"/>
      <c r="T5" s="277"/>
      <c r="U5" s="634">
        <f>Client</f>
        <v>0</v>
      </c>
      <c r="V5" s="635"/>
      <c r="W5" s="635"/>
      <c r="X5" s="635"/>
      <c r="Y5" s="635"/>
      <c r="Z5" s="635"/>
      <c r="AA5" s="635"/>
      <c r="AB5" s="635"/>
      <c r="AC5" s="635"/>
      <c r="AD5" s="636"/>
    </row>
    <row r="6" spans="1:30" ht="14.1" customHeight="1" thickBot="1">
      <c r="A6" s="363"/>
      <c r="B6" s="364"/>
      <c r="C6" s="364"/>
      <c r="D6" s="364"/>
      <c r="E6" s="364"/>
      <c r="F6" s="364"/>
      <c r="G6" s="364"/>
      <c r="H6" s="364"/>
      <c r="I6" s="364"/>
      <c r="J6" s="364"/>
      <c r="K6" s="364"/>
      <c r="L6" s="364"/>
      <c r="M6" s="364"/>
      <c r="N6" s="364"/>
      <c r="O6" s="365"/>
      <c r="P6" s="151" t="s">
        <v>3</v>
      </c>
      <c r="Q6" s="152"/>
      <c r="R6" s="152"/>
      <c r="S6" s="152"/>
      <c r="T6" s="153"/>
      <c r="U6" s="287">
        <f>Num_Devis</f>
        <v>0</v>
      </c>
      <c r="V6" s="632"/>
      <c r="W6" s="632"/>
      <c r="X6" s="632"/>
      <c r="Y6" s="632"/>
      <c r="Z6" s="632"/>
      <c r="AA6" s="632"/>
      <c r="AB6" s="632"/>
      <c r="AC6" s="632"/>
      <c r="AD6" s="633"/>
    </row>
    <row r="7" spans="1:30" ht="27.95" customHeight="1">
      <c r="A7" s="372" t="s">
        <v>4</v>
      </c>
      <c r="B7" s="373"/>
      <c r="C7" s="373"/>
      <c r="D7" s="373"/>
      <c r="E7" s="373"/>
      <c r="F7" s="374"/>
      <c r="G7" s="509">
        <f>Commercial</f>
        <v>0</v>
      </c>
      <c r="H7" s="509"/>
      <c r="I7" s="509"/>
      <c r="J7" s="509"/>
      <c r="K7" s="509"/>
      <c r="L7" s="509"/>
      <c r="M7" s="509"/>
      <c r="N7" s="509"/>
      <c r="O7" s="510"/>
      <c r="P7" s="149" t="s">
        <v>5</v>
      </c>
      <c r="Q7" s="150"/>
      <c r="R7" s="150"/>
      <c r="S7" s="150"/>
      <c r="T7" s="207"/>
      <c r="U7" s="287">
        <f>Code_Client_Divalto</f>
        <v>0</v>
      </c>
      <c r="V7" s="632"/>
      <c r="W7" s="632"/>
      <c r="X7" s="632"/>
      <c r="Y7" s="632"/>
      <c r="Z7" s="632"/>
      <c r="AA7" s="632"/>
      <c r="AB7" s="632"/>
      <c r="AC7" s="632"/>
      <c r="AD7" s="633"/>
    </row>
    <row r="8" spans="1:30"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0"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0" ht="15" customHeight="1" thickBot="1"/>
    <row r="11" spans="1:30" ht="15" customHeight="1">
      <c r="A11" s="786" t="s">
        <v>353</v>
      </c>
      <c r="B11" s="787"/>
      <c r="C11" s="787"/>
      <c r="D11" s="787"/>
      <c r="E11" s="787"/>
      <c r="F11" s="787"/>
      <c r="G11" s="787"/>
      <c r="H11" s="787"/>
      <c r="I11" s="787"/>
      <c r="J11" s="787"/>
      <c r="K11" s="787"/>
      <c r="L11" s="787"/>
      <c r="M11" s="787"/>
      <c r="N11" s="787"/>
      <c r="O11" s="787"/>
      <c r="P11" s="787"/>
      <c r="Q11" s="787"/>
      <c r="R11" s="787"/>
      <c r="S11" s="787"/>
      <c r="T11" s="787"/>
      <c r="U11" s="787"/>
      <c r="V11" s="787"/>
      <c r="W11" s="787"/>
      <c r="X11" s="787"/>
      <c r="Y11" s="787"/>
      <c r="Z11" s="787"/>
      <c r="AA11" s="787"/>
      <c r="AB11" s="787"/>
      <c r="AC11" s="787"/>
      <c r="AD11" s="788"/>
    </row>
    <row r="12" spans="1:30" ht="15" customHeight="1">
      <c r="A12" s="789" t="s">
        <v>354</v>
      </c>
      <c r="B12" s="789"/>
      <c r="C12" s="789"/>
      <c r="D12" s="789"/>
      <c r="E12" s="789"/>
      <c r="F12" s="789"/>
      <c r="G12" s="790"/>
      <c r="H12" s="110"/>
      <c r="I12" s="791" t="s">
        <v>355</v>
      </c>
      <c r="J12" s="789"/>
      <c r="K12" s="789"/>
      <c r="L12" s="789"/>
      <c r="M12" s="789"/>
      <c r="N12" s="790"/>
      <c r="O12" s="114"/>
      <c r="P12" s="789" t="s">
        <v>356</v>
      </c>
      <c r="Q12" s="789"/>
      <c r="R12" s="789"/>
      <c r="S12" s="789"/>
      <c r="T12" s="789"/>
      <c r="U12" s="789"/>
      <c r="V12" s="790"/>
      <c r="W12" s="110"/>
      <c r="X12" s="791" t="s">
        <v>357</v>
      </c>
      <c r="Y12" s="789"/>
      <c r="Z12" s="789"/>
      <c r="AA12" s="789"/>
      <c r="AB12" s="789"/>
      <c r="AC12" s="790"/>
      <c r="AD12" s="114"/>
    </row>
    <row r="13" spans="1:30" ht="15" customHeight="1">
      <c r="A13" s="785" t="s">
        <v>358</v>
      </c>
      <c r="B13" s="785"/>
      <c r="C13" s="785"/>
      <c r="D13" s="785"/>
      <c r="E13" s="785"/>
      <c r="F13" s="785"/>
      <c r="G13" s="785"/>
      <c r="H13" s="785"/>
      <c r="I13" s="785"/>
      <c r="J13" s="785"/>
      <c r="K13" s="785"/>
      <c r="L13" s="785"/>
      <c r="M13" s="785"/>
      <c r="N13" s="785"/>
      <c r="O13" s="110"/>
      <c r="P13" s="785" t="s">
        <v>90</v>
      </c>
      <c r="Q13" s="785"/>
      <c r="R13" s="785"/>
      <c r="S13" s="785"/>
      <c r="T13" s="785"/>
      <c r="U13" s="785"/>
      <c r="V13" s="785"/>
      <c r="W13" s="785"/>
      <c r="X13" s="785"/>
      <c r="Y13" s="785"/>
      <c r="Z13" s="785"/>
      <c r="AA13" s="785"/>
      <c r="AB13" s="785"/>
      <c r="AC13" s="785"/>
      <c r="AD13" s="110"/>
    </row>
    <row r="14" spans="1:30" ht="15" customHeight="1">
      <c r="A14" s="785" t="s">
        <v>359</v>
      </c>
      <c r="B14" s="785"/>
      <c r="C14" s="785"/>
      <c r="D14" s="785"/>
      <c r="E14" s="785"/>
      <c r="F14" s="785"/>
      <c r="G14" s="785"/>
      <c r="H14" s="785"/>
      <c r="I14" s="785"/>
      <c r="J14" s="785"/>
      <c r="K14" s="785"/>
      <c r="L14" s="785"/>
      <c r="M14" s="785"/>
      <c r="N14" s="785"/>
      <c r="O14" s="110"/>
      <c r="P14" s="785" t="s">
        <v>360</v>
      </c>
      <c r="Q14" s="785"/>
      <c r="R14" s="785"/>
      <c r="S14" s="785"/>
      <c r="T14" s="785"/>
      <c r="U14" s="785"/>
      <c r="V14" s="785"/>
      <c r="W14" s="785"/>
      <c r="X14" s="785"/>
      <c r="Y14" s="785"/>
      <c r="Z14" s="785"/>
      <c r="AA14" s="785"/>
      <c r="AB14" s="785"/>
      <c r="AC14" s="785"/>
      <c r="AD14" s="110"/>
    </row>
    <row r="15" spans="1:30" ht="15" customHeight="1">
      <c r="A15" s="785" t="s">
        <v>361</v>
      </c>
      <c r="B15" s="785"/>
      <c r="C15" s="785"/>
      <c r="D15" s="785"/>
      <c r="E15" s="785"/>
      <c r="F15" s="785"/>
      <c r="G15" s="785"/>
      <c r="H15" s="785"/>
      <c r="I15" s="785"/>
      <c r="J15" s="785"/>
      <c r="K15" s="785"/>
      <c r="L15" s="785"/>
      <c r="M15" s="785"/>
      <c r="N15" s="785"/>
      <c r="O15" s="110"/>
      <c r="P15" s="785" t="s">
        <v>362</v>
      </c>
      <c r="Q15" s="785"/>
      <c r="R15" s="785"/>
      <c r="S15" s="785"/>
      <c r="T15" s="785"/>
      <c r="U15" s="785"/>
      <c r="V15" s="785"/>
      <c r="W15" s="785"/>
      <c r="X15" s="785"/>
      <c r="Y15" s="785"/>
      <c r="Z15" s="785"/>
      <c r="AA15" s="785"/>
      <c r="AB15" s="785"/>
      <c r="AC15" s="785"/>
      <c r="AD15" s="110"/>
    </row>
    <row r="16" spans="1:30" ht="15" customHeight="1">
      <c r="A16" s="785" t="s">
        <v>363</v>
      </c>
      <c r="B16" s="785"/>
      <c r="C16" s="785"/>
      <c r="D16" s="785"/>
      <c r="E16" s="785"/>
      <c r="F16" s="785"/>
      <c r="G16" s="785"/>
      <c r="H16" s="785"/>
      <c r="I16" s="785"/>
      <c r="J16" s="785"/>
      <c r="K16" s="785"/>
      <c r="L16" s="785"/>
      <c r="M16" s="785"/>
      <c r="N16" s="785"/>
      <c r="O16" s="110"/>
      <c r="P16" s="785" t="s">
        <v>364</v>
      </c>
      <c r="Q16" s="785"/>
      <c r="R16" s="785"/>
      <c r="S16" s="785"/>
      <c r="T16" s="785"/>
      <c r="U16" s="785"/>
      <c r="V16" s="785"/>
      <c r="W16" s="785"/>
      <c r="X16" s="785"/>
      <c r="Y16" s="785"/>
      <c r="Z16" s="785"/>
      <c r="AA16" s="785"/>
      <c r="AB16" s="785"/>
      <c r="AC16" s="785"/>
      <c r="AD16" s="110"/>
    </row>
    <row r="17" spans="1:32" ht="15" customHeight="1">
      <c r="A17" s="785" t="s">
        <v>322</v>
      </c>
      <c r="B17" s="785"/>
      <c r="C17" s="785"/>
      <c r="D17" s="785"/>
      <c r="E17" s="785"/>
      <c r="F17" s="785"/>
      <c r="G17" s="785"/>
      <c r="H17" s="785"/>
      <c r="I17" s="785"/>
      <c r="J17" s="785"/>
      <c r="K17" s="785"/>
      <c r="L17" s="785"/>
      <c r="M17" s="785"/>
      <c r="N17" s="785"/>
      <c r="O17" s="115"/>
      <c r="P17" s="785" t="s">
        <v>365</v>
      </c>
      <c r="Q17" s="785"/>
      <c r="R17" s="785"/>
      <c r="S17" s="785"/>
      <c r="T17" s="785"/>
      <c r="U17" s="785"/>
      <c r="V17" s="785"/>
      <c r="W17" s="785"/>
      <c r="X17" s="785"/>
      <c r="Y17" s="785"/>
      <c r="Z17" s="785"/>
      <c r="AA17" s="785"/>
      <c r="AB17" s="785"/>
      <c r="AC17" s="785"/>
      <c r="AD17" s="115"/>
    </row>
    <row r="18" spans="1:32" ht="15" customHeight="1">
      <c r="A18" s="785" t="str">
        <f>IF('Air Comprimé'!AG56="Oui","Récupération de matériel de location :","")</f>
        <v>Récupération de matériel de location :</v>
      </c>
      <c r="B18" s="785"/>
      <c r="C18" s="785"/>
      <c r="D18" s="785"/>
      <c r="E18" s="785"/>
      <c r="F18" s="785"/>
      <c r="G18" s="785"/>
      <c r="H18" s="785"/>
      <c r="I18" s="785"/>
      <c r="J18" s="785"/>
      <c r="K18" s="785"/>
      <c r="L18" s="785"/>
      <c r="M18" s="785"/>
      <c r="N18" s="785"/>
      <c r="O18" s="115"/>
      <c r="P18" s="785" t="str">
        <f>IF('Air Comprimé'!AG57="Reprise AF","Reprise de matériel (Airflux) :",IF('Air Comprimé'!AG57="Destruction","Reprise de matériel (Destruction) :",""))</f>
        <v>Reprise de matériel (Destruction) :</v>
      </c>
      <c r="Q18" s="785"/>
      <c r="R18" s="785"/>
      <c r="S18" s="785"/>
      <c r="T18" s="785"/>
      <c r="U18" s="785"/>
      <c r="V18" s="785"/>
      <c r="W18" s="785"/>
      <c r="X18" s="785"/>
      <c r="Y18" s="785"/>
      <c r="Z18" s="785"/>
      <c r="AA18" s="785"/>
      <c r="AB18" s="785"/>
      <c r="AC18" s="785"/>
      <c r="AD18" s="115"/>
      <c r="AF18" t="s">
        <v>366</v>
      </c>
    </row>
    <row r="19" spans="1:32" ht="15" customHeight="1" thickBot="1"/>
    <row r="20" spans="1:32" ht="20.100000000000001" customHeight="1" thickBot="1">
      <c r="A20" s="740" t="s">
        <v>367</v>
      </c>
      <c r="B20" s="741"/>
      <c r="C20" s="741"/>
      <c r="D20" s="741"/>
      <c r="E20" s="741"/>
      <c r="F20" s="741"/>
      <c r="G20" s="741"/>
      <c r="H20" s="741"/>
      <c r="I20" s="741"/>
      <c r="J20" s="741"/>
      <c r="K20" s="741"/>
      <c r="L20" s="741"/>
      <c r="M20" s="741"/>
      <c r="N20" s="741"/>
      <c r="O20" s="741"/>
      <c r="P20" s="741"/>
      <c r="Q20" s="741"/>
      <c r="R20" s="741"/>
      <c r="S20" s="741"/>
      <c r="T20" s="741"/>
      <c r="U20" s="741"/>
      <c r="V20" s="741"/>
      <c r="W20" s="741"/>
      <c r="X20" s="741"/>
      <c r="Y20" s="741"/>
      <c r="Z20" s="741"/>
      <c r="AA20" s="741"/>
      <c r="AB20" s="741"/>
      <c r="AC20" s="741"/>
      <c r="AD20" s="742"/>
    </row>
    <row r="21" spans="1:32" ht="20.100000000000001" customHeight="1">
      <c r="A21" s="820" t="s">
        <v>368</v>
      </c>
      <c r="B21" s="798"/>
      <c r="C21" s="799"/>
      <c r="D21" s="795"/>
      <c r="E21" s="796"/>
      <c r="F21" s="796"/>
      <c r="G21" s="796"/>
      <c r="H21" s="797" t="s">
        <v>369</v>
      </c>
      <c r="I21" s="798"/>
      <c r="J21" s="798"/>
      <c r="K21" s="798"/>
      <c r="L21" s="798"/>
      <c r="M21" s="799"/>
      <c r="N21" s="850"/>
      <c r="O21" s="851"/>
      <c r="P21" s="851"/>
      <c r="Q21" s="851"/>
      <c r="R21" s="851"/>
      <c r="S21" s="852"/>
      <c r="T21" s="797" t="s">
        <v>370</v>
      </c>
      <c r="U21" s="798"/>
      <c r="V21" s="798"/>
      <c r="W21" s="798"/>
      <c r="X21" s="798"/>
      <c r="Y21" s="798"/>
      <c r="Z21" s="795"/>
      <c r="AA21" s="796"/>
      <c r="AB21" s="796"/>
      <c r="AC21" s="796"/>
      <c r="AD21" s="853"/>
    </row>
    <row r="22" spans="1:32" ht="20.100000000000001" customHeight="1">
      <c r="A22" s="834" t="s">
        <v>371</v>
      </c>
      <c r="B22" s="835"/>
      <c r="C22" s="835"/>
      <c r="D22" s="835"/>
      <c r="E22" s="835"/>
      <c r="F22" s="835"/>
      <c r="G22" s="835"/>
      <c r="H22" s="835"/>
      <c r="I22" s="835"/>
      <c r="J22" s="835"/>
      <c r="K22" s="835"/>
      <c r="L22" s="835"/>
      <c r="M22" s="835"/>
      <c r="N22" s="835"/>
      <c r="O22" s="835"/>
      <c r="P22" s="835"/>
      <c r="Q22" s="835"/>
      <c r="R22" s="835"/>
      <c r="S22" s="835"/>
      <c r="T22" s="835"/>
      <c r="U22" s="835"/>
      <c r="V22" s="835"/>
      <c r="W22" s="835"/>
      <c r="X22" s="835"/>
      <c r="Y22" s="854"/>
      <c r="Z22" s="855"/>
      <c r="AA22" s="855"/>
      <c r="AB22" s="855"/>
      <c r="AC22" s="855"/>
      <c r="AD22" s="856"/>
    </row>
    <row r="23" spans="1:32" ht="20.100000000000001" customHeight="1">
      <c r="A23" s="822" t="s">
        <v>372</v>
      </c>
      <c r="B23" s="823"/>
      <c r="C23" s="823"/>
      <c r="D23" s="823"/>
      <c r="E23" s="823"/>
      <c r="F23" s="823"/>
      <c r="G23" s="823"/>
      <c r="H23" s="823"/>
      <c r="I23" s="823"/>
      <c r="J23" s="823"/>
      <c r="K23" s="823"/>
      <c r="L23" s="823"/>
      <c r="M23" s="823"/>
      <c r="N23" s="823"/>
      <c r="O23" s="823"/>
      <c r="P23" s="823"/>
      <c r="Q23" s="823"/>
      <c r="R23" s="823"/>
      <c r="S23" s="823"/>
      <c r="T23" s="823"/>
      <c r="U23" s="823"/>
      <c r="V23" s="823"/>
      <c r="W23" s="823"/>
      <c r="X23" s="823"/>
      <c r="Y23" s="823"/>
      <c r="Z23" s="823"/>
      <c r="AA23" s="823"/>
      <c r="AB23" s="823"/>
      <c r="AC23" s="823"/>
      <c r="AD23" s="824"/>
    </row>
    <row r="24" spans="1:32" ht="20.100000000000001" customHeight="1">
      <c r="A24" s="834" t="str">
        <f>_xlfn.CONCAT(Client," :")</f>
        <v xml:space="preserve"> :</v>
      </c>
      <c r="B24" s="835"/>
      <c r="C24" s="836"/>
      <c r="D24" s="837"/>
      <c r="E24" s="838"/>
      <c r="F24" s="838"/>
      <c r="G24" s="838"/>
      <c r="H24" s="838"/>
      <c r="I24" s="838"/>
      <c r="J24" s="838"/>
      <c r="K24" s="838"/>
      <c r="L24" s="838"/>
      <c r="M24" s="838"/>
      <c r="N24" s="838"/>
      <c r="O24" s="839"/>
      <c r="P24" s="843" t="s">
        <v>373</v>
      </c>
      <c r="Q24" s="844"/>
      <c r="R24" s="845"/>
      <c r="S24" s="846"/>
      <c r="T24" s="847"/>
      <c r="U24" s="847"/>
      <c r="V24" s="847"/>
      <c r="W24" s="847"/>
      <c r="X24" s="847"/>
      <c r="Y24" s="847"/>
      <c r="Z24" s="847"/>
      <c r="AA24" s="847"/>
      <c r="AB24" s="847"/>
      <c r="AC24" s="847"/>
      <c r="AD24" s="848"/>
    </row>
    <row r="25" spans="1:32" ht="20.100000000000001" customHeight="1" thickBot="1">
      <c r="A25" s="834" t="str">
        <f>_xlfn.CONCAT(Client," :")</f>
        <v xml:space="preserve"> :</v>
      </c>
      <c r="B25" s="835"/>
      <c r="C25" s="836"/>
      <c r="D25" s="825"/>
      <c r="E25" s="826"/>
      <c r="F25" s="826"/>
      <c r="G25" s="826"/>
      <c r="H25" s="826"/>
      <c r="I25" s="826"/>
      <c r="J25" s="826"/>
      <c r="K25" s="826"/>
      <c r="L25" s="826"/>
      <c r="M25" s="826"/>
      <c r="N25" s="826"/>
      <c r="O25" s="827"/>
      <c r="P25" s="828" t="s">
        <v>373</v>
      </c>
      <c r="Q25" s="829"/>
      <c r="R25" s="830"/>
      <c r="S25" s="831"/>
      <c r="T25" s="832"/>
      <c r="U25" s="832"/>
      <c r="V25" s="832"/>
      <c r="W25" s="832"/>
      <c r="X25" s="832"/>
      <c r="Y25" s="832"/>
      <c r="Z25" s="832"/>
      <c r="AA25" s="832"/>
      <c r="AB25" s="832"/>
      <c r="AC25" s="832"/>
      <c r="AD25" s="833"/>
    </row>
    <row r="26" spans="1:32" s="1" customFormat="1" ht="20.100000000000001" customHeight="1">
      <c r="A26" s="792" t="s">
        <v>253</v>
      </c>
      <c r="B26" s="793"/>
      <c r="C26" s="793"/>
      <c r="D26" s="793"/>
      <c r="E26" s="793"/>
      <c r="F26" s="793"/>
      <c r="G26" s="793"/>
      <c r="H26" s="793"/>
      <c r="I26" s="793"/>
      <c r="J26" s="793"/>
      <c r="K26" s="793"/>
      <c r="L26" s="793"/>
      <c r="M26" s="793"/>
      <c r="N26" s="793"/>
      <c r="O26" s="793"/>
      <c r="P26" s="793"/>
      <c r="Q26" s="793"/>
      <c r="R26" s="793"/>
      <c r="S26" s="793"/>
      <c r="T26" s="793"/>
      <c r="U26" s="793"/>
      <c r="V26" s="793"/>
      <c r="W26" s="793"/>
      <c r="X26" s="793"/>
      <c r="Y26" s="793"/>
      <c r="Z26" s="793"/>
      <c r="AA26" s="793"/>
      <c r="AB26" s="793"/>
      <c r="AC26" s="793"/>
      <c r="AD26" s="794"/>
    </row>
    <row r="27" spans="1:32" ht="50.1" customHeight="1" thickBot="1">
      <c r="A27" s="808"/>
      <c r="B27" s="809"/>
      <c r="C27" s="809"/>
      <c r="D27" s="809"/>
      <c r="E27" s="809"/>
      <c r="F27" s="809"/>
      <c r="G27" s="809"/>
      <c r="H27" s="809"/>
      <c r="I27" s="809"/>
      <c r="J27" s="809"/>
      <c r="K27" s="809"/>
      <c r="L27" s="809"/>
      <c r="M27" s="809"/>
      <c r="N27" s="809"/>
      <c r="O27" s="809"/>
      <c r="P27" s="809"/>
      <c r="Q27" s="809"/>
      <c r="R27" s="809"/>
      <c r="S27" s="809"/>
      <c r="T27" s="809"/>
      <c r="U27" s="809"/>
      <c r="V27" s="809"/>
      <c r="W27" s="809"/>
      <c r="X27" s="809"/>
      <c r="Y27" s="809"/>
      <c r="Z27" s="809"/>
      <c r="AA27" s="809"/>
      <c r="AB27" s="809"/>
      <c r="AC27" s="809"/>
      <c r="AD27" s="810"/>
    </row>
    <row r="28" spans="1:32" ht="20.100000000000001" customHeight="1">
      <c r="A28" s="821" t="s">
        <v>374</v>
      </c>
      <c r="B28" s="813"/>
      <c r="C28" s="813"/>
      <c r="D28" s="813"/>
      <c r="E28" s="813"/>
      <c r="F28" s="813"/>
      <c r="G28" s="813"/>
      <c r="H28" s="813"/>
      <c r="I28" s="813"/>
      <c r="J28" s="813"/>
      <c r="K28" s="813" t="str">
        <f>_xlfn.CONCAT("Cachet &amp; Signature ",Client," :")</f>
        <v>Cachet &amp; Signature  :</v>
      </c>
      <c r="L28" s="813"/>
      <c r="M28" s="813"/>
      <c r="N28" s="813"/>
      <c r="O28" s="813"/>
      <c r="P28" s="813"/>
      <c r="Q28" s="813"/>
      <c r="R28" s="813"/>
      <c r="S28" s="813"/>
      <c r="T28" s="813"/>
      <c r="U28" s="813" t="s">
        <v>375</v>
      </c>
      <c r="V28" s="813"/>
      <c r="W28" s="813"/>
      <c r="X28" s="813"/>
      <c r="Y28" s="813"/>
      <c r="Z28" s="813"/>
      <c r="AA28" s="813"/>
      <c r="AB28" s="813"/>
      <c r="AC28" s="813"/>
      <c r="AD28" s="814"/>
    </row>
    <row r="29" spans="1:32" ht="20.100000000000001" customHeight="1">
      <c r="A29" s="818">
        <f>S24</f>
        <v>0</v>
      </c>
      <c r="B29" s="811"/>
      <c r="C29" s="811"/>
      <c r="D29" s="811"/>
      <c r="E29" s="811"/>
      <c r="F29" s="811"/>
      <c r="G29" s="811"/>
      <c r="H29" s="811"/>
      <c r="I29" s="811"/>
      <c r="J29" s="811"/>
      <c r="K29" s="811"/>
      <c r="L29" s="811"/>
      <c r="M29" s="811"/>
      <c r="N29" s="811"/>
      <c r="O29" s="811"/>
      <c r="P29" s="811"/>
      <c r="Q29" s="811"/>
      <c r="R29" s="811"/>
      <c r="S29" s="811"/>
      <c r="T29" s="811"/>
      <c r="U29" s="811">
        <f>D24</f>
        <v>0</v>
      </c>
      <c r="V29" s="811"/>
      <c r="W29" s="811"/>
      <c r="X29" s="811"/>
      <c r="Y29" s="811"/>
      <c r="Z29" s="811"/>
      <c r="AA29" s="811"/>
      <c r="AB29" s="811"/>
      <c r="AC29" s="811"/>
      <c r="AD29" s="817"/>
    </row>
    <row r="30" spans="1:32" ht="20.100000000000001" customHeight="1">
      <c r="A30" s="818"/>
      <c r="B30" s="811"/>
      <c r="C30" s="811"/>
      <c r="D30" s="811"/>
      <c r="E30" s="811"/>
      <c r="F30" s="811"/>
      <c r="G30" s="811"/>
      <c r="H30" s="811"/>
      <c r="I30" s="811"/>
      <c r="J30" s="811"/>
      <c r="K30" s="811"/>
      <c r="L30" s="811"/>
      <c r="M30" s="811"/>
      <c r="N30" s="811"/>
      <c r="O30" s="811"/>
      <c r="P30" s="811"/>
      <c r="Q30" s="811"/>
      <c r="R30" s="811"/>
      <c r="S30" s="811"/>
      <c r="T30" s="811"/>
      <c r="U30" s="815" t="s">
        <v>376</v>
      </c>
      <c r="V30" s="815"/>
      <c r="W30" s="815"/>
      <c r="X30" s="815"/>
      <c r="Y30" s="815"/>
      <c r="Z30" s="815"/>
      <c r="AA30" s="815"/>
      <c r="AB30" s="815"/>
      <c r="AC30" s="815"/>
      <c r="AD30" s="816"/>
    </row>
    <row r="31" spans="1:32" ht="20.100000000000001" customHeight="1" thickBot="1">
      <c r="A31" s="819"/>
      <c r="B31" s="812"/>
      <c r="C31" s="812"/>
      <c r="D31" s="812"/>
      <c r="E31" s="812"/>
      <c r="F31" s="812"/>
      <c r="G31" s="812"/>
      <c r="H31" s="812"/>
      <c r="I31" s="812"/>
      <c r="J31" s="812"/>
      <c r="K31" s="812"/>
      <c r="L31" s="812"/>
      <c r="M31" s="812"/>
      <c r="N31" s="812"/>
      <c r="O31" s="812"/>
      <c r="P31" s="812"/>
      <c r="Q31" s="812"/>
      <c r="R31" s="812"/>
      <c r="S31" s="812"/>
      <c r="T31" s="812"/>
      <c r="U31" s="812"/>
      <c r="V31" s="812"/>
      <c r="W31" s="812"/>
      <c r="X31" s="812"/>
      <c r="Y31" s="812"/>
      <c r="Z31" s="812"/>
      <c r="AA31" s="812"/>
      <c r="AB31" s="812"/>
      <c r="AC31" s="812"/>
      <c r="AD31" s="849"/>
    </row>
    <row r="32" spans="1:32" ht="15" customHeight="1" thickBot="1">
      <c r="A32" s="28"/>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row>
    <row r="33" spans="1:30" ht="20.100000000000001" customHeight="1" thickBot="1">
      <c r="A33" s="740" t="s">
        <v>377</v>
      </c>
      <c r="B33" s="741"/>
      <c r="C33" s="741"/>
      <c r="D33" s="741"/>
      <c r="E33" s="741"/>
      <c r="F33" s="741"/>
      <c r="G33" s="741"/>
      <c r="H33" s="741"/>
      <c r="I33" s="741"/>
      <c r="J33" s="741"/>
      <c r="K33" s="741"/>
      <c r="L33" s="741"/>
      <c r="M33" s="741"/>
      <c r="N33" s="741"/>
      <c r="O33" s="741"/>
      <c r="P33" s="741"/>
      <c r="Q33" s="741"/>
      <c r="R33" s="741"/>
      <c r="S33" s="741"/>
      <c r="T33" s="741"/>
      <c r="U33" s="741"/>
      <c r="V33" s="741"/>
      <c r="W33" s="741"/>
      <c r="X33" s="741"/>
      <c r="Y33" s="741"/>
      <c r="Z33" s="741"/>
      <c r="AA33" s="741"/>
      <c r="AB33" s="741"/>
      <c r="AC33" s="741"/>
      <c r="AD33" s="742"/>
    </row>
    <row r="34" spans="1:30" ht="20.100000000000001" customHeight="1">
      <c r="A34" s="820" t="s">
        <v>368</v>
      </c>
      <c r="B34" s="798"/>
      <c r="C34" s="799"/>
      <c r="D34" s="795"/>
      <c r="E34" s="796"/>
      <c r="F34" s="796"/>
      <c r="G34" s="796"/>
      <c r="H34" s="797" t="s">
        <v>369</v>
      </c>
      <c r="I34" s="798"/>
      <c r="J34" s="798"/>
      <c r="K34" s="798"/>
      <c r="L34" s="798"/>
      <c r="M34" s="799"/>
      <c r="N34" s="800"/>
      <c r="O34" s="801"/>
      <c r="P34" s="801"/>
      <c r="Q34" s="801"/>
      <c r="R34" s="801"/>
      <c r="S34" s="802"/>
      <c r="T34" s="803" t="s">
        <v>370</v>
      </c>
      <c r="U34" s="804"/>
      <c r="V34" s="804"/>
      <c r="W34" s="804"/>
      <c r="X34" s="804"/>
      <c r="Y34" s="804"/>
      <c r="Z34" s="805">
        <f>Z21</f>
        <v>0</v>
      </c>
      <c r="AA34" s="806"/>
      <c r="AB34" s="806"/>
      <c r="AC34" s="806"/>
      <c r="AD34" s="807"/>
    </row>
    <row r="35" spans="1:30" ht="20.100000000000001" customHeight="1">
      <c r="A35" s="822" t="s">
        <v>372</v>
      </c>
      <c r="B35" s="823"/>
      <c r="C35" s="823"/>
      <c r="D35" s="823"/>
      <c r="E35" s="823"/>
      <c r="F35" s="823"/>
      <c r="G35" s="823"/>
      <c r="H35" s="823"/>
      <c r="I35" s="823"/>
      <c r="J35" s="823"/>
      <c r="K35" s="823"/>
      <c r="L35" s="823"/>
      <c r="M35" s="823"/>
      <c r="N35" s="823"/>
      <c r="O35" s="823"/>
      <c r="P35" s="823"/>
      <c r="Q35" s="823"/>
      <c r="R35" s="823"/>
      <c r="S35" s="823"/>
      <c r="T35" s="823"/>
      <c r="U35" s="823"/>
      <c r="V35" s="823"/>
      <c r="W35" s="823"/>
      <c r="X35" s="823"/>
      <c r="Y35" s="823"/>
      <c r="Z35" s="823"/>
      <c r="AA35" s="823"/>
      <c r="AB35" s="823"/>
      <c r="AC35" s="823"/>
      <c r="AD35" s="824"/>
    </row>
    <row r="36" spans="1:30" ht="20.100000000000001" customHeight="1">
      <c r="A36" s="834" t="str">
        <f>_xlfn.CONCAT(Client," :")</f>
        <v xml:space="preserve"> :</v>
      </c>
      <c r="B36" s="835"/>
      <c r="C36" s="836"/>
      <c r="D36" s="837">
        <f>D24</f>
        <v>0</v>
      </c>
      <c r="E36" s="838"/>
      <c r="F36" s="838"/>
      <c r="G36" s="838"/>
      <c r="H36" s="838"/>
      <c r="I36" s="838"/>
      <c r="J36" s="838"/>
      <c r="K36" s="838"/>
      <c r="L36" s="838"/>
      <c r="M36" s="838"/>
      <c r="N36" s="838"/>
      <c r="O36" s="839"/>
      <c r="P36" s="843" t="s">
        <v>373</v>
      </c>
      <c r="Q36" s="844"/>
      <c r="R36" s="845"/>
      <c r="S36" s="846">
        <f>S24</f>
        <v>0</v>
      </c>
      <c r="T36" s="847"/>
      <c r="U36" s="847"/>
      <c r="V36" s="847"/>
      <c r="W36" s="847"/>
      <c r="X36" s="847"/>
      <c r="Y36" s="847"/>
      <c r="Z36" s="847"/>
      <c r="AA36" s="847"/>
      <c r="AB36" s="847"/>
      <c r="AC36" s="847"/>
      <c r="AD36" s="848"/>
    </row>
    <row r="37" spans="1:30" ht="20.100000000000001" customHeight="1" thickBot="1">
      <c r="A37" s="834" t="str">
        <f>_xlfn.CONCAT(Client," :")</f>
        <v xml:space="preserve"> :</v>
      </c>
      <c r="B37" s="835"/>
      <c r="C37" s="836"/>
      <c r="D37" s="825">
        <f>D25</f>
        <v>0</v>
      </c>
      <c r="E37" s="826"/>
      <c r="F37" s="826"/>
      <c r="G37" s="826"/>
      <c r="H37" s="826"/>
      <c r="I37" s="826"/>
      <c r="J37" s="826"/>
      <c r="K37" s="826"/>
      <c r="L37" s="826"/>
      <c r="M37" s="826"/>
      <c r="N37" s="826"/>
      <c r="O37" s="827"/>
      <c r="P37" s="828" t="s">
        <v>373</v>
      </c>
      <c r="Q37" s="829"/>
      <c r="R37" s="830"/>
      <c r="S37" s="831">
        <f>S25</f>
        <v>0</v>
      </c>
      <c r="T37" s="832"/>
      <c r="U37" s="832"/>
      <c r="V37" s="832"/>
      <c r="W37" s="832"/>
      <c r="X37" s="832"/>
      <c r="Y37" s="832"/>
      <c r="Z37" s="832"/>
      <c r="AA37" s="832"/>
      <c r="AB37" s="832"/>
      <c r="AC37" s="832"/>
      <c r="AD37" s="833"/>
    </row>
    <row r="38" spans="1:30" ht="20.100000000000001" customHeight="1">
      <c r="A38" s="792" t="s">
        <v>253</v>
      </c>
      <c r="B38" s="793"/>
      <c r="C38" s="793"/>
      <c r="D38" s="793"/>
      <c r="E38" s="793"/>
      <c r="F38" s="793"/>
      <c r="G38" s="793"/>
      <c r="H38" s="793"/>
      <c r="I38" s="793"/>
      <c r="J38" s="793"/>
      <c r="K38" s="793"/>
      <c r="L38" s="793"/>
      <c r="M38" s="793"/>
      <c r="N38" s="793"/>
      <c r="O38" s="793"/>
      <c r="P38" s="793"/>
      <c r="Q38" s="793"/>
      <c r="R38" s="793"/>
      <c r="S38" s="793"/>
      <c r="T38" s="793"/>
      <c r="U38" s="793"/>
      <c r="V38" s="793"/>
      <c r="W38" s="793"/>
      <c r="X38" s="793"/>
      <c r="Y38" s="793"/>
      <c r="Z38" s="793"/>
      <c r="AA38" s="793"/>
      <c r="AB38" s="793"/>
      <c r="AC38" s="793"/>
      <c r="AD38" s="794"/>
    </row>
    <row r="39" spans="1:30" ht="50.1" customHeight="1" thickBot="1">
      <c r="A39" s="808"/>
      <c r="B39" s="809"/>
      <c r="C39" s="809"/>
      <c r="D39" s="809"/>
      <c r="E39" s="809"/>
      <c r="F39" s="809"/>
      <c r="G39" s="809"/>
      <c r="H39" s="809"/>
      <c r="I39" s="809"/>
      <c r="J39" s="809"/>
      <c r="K39" s="809"/>
      <c r="L39" s="809"/>
      <c r="M39" s="809"/>
      <c r="N39" s="809"/>
      <c r="O39" s="809"/>
      <c r="P39" s="809"/>
      <c r="Q39" s="809"/>
      <c r="R39" s="809"/>
      <c r="S39" s="809"/>
      <c r="T39" s="809"/>
      <c r="U39" s="809"/>
      <c r="V39" s="809"/>
      <c r="W39" s="809"/>
      <c r="X39" s="809"/>
      <c r="Y39" s="809"/>
      <c r="Z39" s="809"/>
      <c r="AA39" s="809"/>
      <c r="AB39" s="809"/>
      <c r="AC39" s="809"/>
      <c r="AD39" s="810"/>
    </row>
    <row r="40" spans="1:30" ht="20.100000000000001" customHeight="1">
      <c r="A40" s="821" t="s">
        <v>374</v>
      </c>
      <c r="B40" s="813"/>
      <c r="C40" s="813"/>
      <c r="D40" s="813"/>
      <c r="E40" s="813"/>
      <c r="F40" s="813"/>
      <c r="G40" s="813"/>
      <c r="H40" s="813"/>
      <c r="I40" s="813"/>
      <c r="J40" s="813"/>
      <c r="K40" s="813" t="str">
        <f>_xlfn.CONCAT("Cachet &amp; Signature ",Client," :")</f>
        <v>Cachet &amp; Signature  :</v>
      </c>
      <c r="L40" s="813"/>
      <c r="M40" s="813"/>
      <c r="N40" s="813"/>
      <c r="O40" s="813"/>
      <c r="P40" s="813"/>
      <c r="Q40" s="813"/>
      <c r="R40" s="813"/>
      <c r="S40" s="813"/>
      <c r="T40" s="813"/>
      <c r="U40" s="813" t="s">
        <v>375</v>
      </c>
      <c r="V40" s="813"/>
      <c r="W40" s="813"/>
      <c r="X40" s="813"/>
      <c r="Y40" s="813"/>
      <c r="Z40" s="813"/>
      <c r="AA40" s="813"/>
      <c r="AB40" s="813"/>
      <c r="AC40" s="813"/>
      <c r="AD40" s="814"/>
    </row>
    <row r="41" spans="1:30" ht="20.100000000000001" customHeight="1">
      <c r="A41" s="818">
        <f>S36</f>
        <v>0</v>
      </c>
      <c r="B41" s="811"/>
      <c r="C41" s="811"/>
      <c r="D41" s="811"/>
      <c r="E41" s="811"/>
      <c r="F41" s="811"/>
      <c r="G41" s="811"/>
      <c r="H41" s="811"/>
      <c r="I41" s="811"/>
      <c r="J41" s="811"/>
      <c r="K41" s="811"/>
      <c r="L41" s="811"/>
      <c r="M41" s="811"/>
      <c r="N41" s="811"/>
      <c r="O41" s="811"/>
      <c r="P41" s="811"/>
      <c r="Q41" s="811"/>
      <c r="R41" s="811"/>
      <c r="S41" s="811"/>
      <c r="T41" s="811"/>
      <c r="U41" s="811">
        <f>D36</f>
        <v>0</v>
      </c>
      <c r="V41" s="811"/>
      <c r="W41" s="811"/>
      <c r="X41" s="811"/>
      <c r="Y41" s="811"/>
      <c r="Z41" s="811"/>
      <c r="AA41" s="811"/>
      <c r="AB41" s="811"/>
      <c r="AC41" s="811"/>
      <c r="AD41" s="817"/>
    </row>
    <row r="42" spans="1:30" ht="20.100000000000001" customHeight="1">
      <c r="A42" s="818"/>
      <c r="B42" s="811"/>
      <c r="C42" s="811"/>
      <c r="D42" s="811"/>
      <c r="E42" s="811"/>
      <c r="F42" s="811"/>
      <c r="G42" s="811"/>
      <c r="H42" s="811"/>
      <c r="I42" s="811"/>
      <c r="J42" s="811"/>
      <c r="K42" s="811"/>
      <c r="L42" s="811"/>
      <c r="M42" s="811"/>
      <c r="N42" s="811"/>
      <c r="O42" s="811"/>
      <c r="P42" s="811"/>
      <c r="Q42" s="811"/>
      <c r="R42" s="811"/>
      <c r="S42" s="811"/>
      <c r="T42" s="811"/>
      <c r="U42" s="815" t="s">
        <v>376</v>
      </c>
      <c r="V42" s="815"/>
      <c r="W42" s="815"/>
      <c r="X42" s="815"/>
      <c r="Y42" s="815"/>
      <c r="Z42" s="815"/>
      <c r="AA42" s="815"/>
      <c r="AB42" s="815"/>
      <c r="AC42" s="815"/>
      <c r="AD42" s="816"/>
    </row>
    <row r="43" spans="1:30" ht="20.100000000000001" customHeight="1" thickBot="1">
      <c r="A43" s="840"/>
      <c r="B43" s="841"/>
      <c r="C43" s="841"/>
      <c r="D43" s="841"/>
      <c r="E43" s="841"/>
      <c r="F43" s="841"/>
      <c r="G43" s="841"/>
      <c r="H43" s="841"/>
      <c r="I43" s="841"/>
      <c r="J43" s="841"/>
      <c r="K43" s="841"/>
      <c r="L43" s="841"/>
      <c r="M43" s="841"/>
      <c r="N43" s="841"/>
      <c r="O43" s="841"/>
      <c r="P43" s="841"/>
      <c r="Q43" s="841"/>
      <c r="R43" s="841"/>
      <c r="S43" s="841"/>
      <c r="T43" s="841"/>
      <c r="U43" s="841">
        <f>U31</f>
        <v>0</v>
      </c>
      <c r="V43" s="841"/>
      <c r="W43" s="841"/>
      <c r="X43" s="841"/>
      <c r="Y43" s="841"/>
      <c r="Z43" s="841"/>
      <c r="AA43" s="841"/>
      <c r="AB43" s="841"/>
      <c r="AC43" s="841"/>
      <c r="AD43" s="842"/>
    </row>
  </sheetData>
  <sheetProtection algorithmName="SHA-512" hashValue="dXUo/T+hRzhvCtJb18DswYQ6NTYy00zkBiptFOt+5QW027aAxkL4YGJyt5kuOyV8JMyzhO3J71QPnIhEnj1elQ==" saltValue="oic9NjUE6mmCQ4Kq2X+c0g==" spinCount="100000" sheet="1" objects="1" scenarios="1"/>
  <mergeCells count="89">
    <mergeCell ref="A18:N18"/>
    <mergeCell ref="P18:AC18"/>
    <mergeCell ref="A5:O6"/>
    <mergeCell ref="P1:AD4"/>
    <mergeCell ref="A7:F7"/>
    <mergeCell ref="G7:O7"/>
    <mergeCell ref="P7:T7"/>
    <mergeCell ref="U7:AD7"/>
    <mergeCell ref="P5:T5"/>
    <mergeCell ref="U5:AD5"/>
    <mergeCell ref="P6:T6"/>
    <mergeCell ref="U6:AD6"/>
    <mergeCell ref="A9:F9"/>
    <mergeCell ref="G9:O9"/>
    <mergeCell ref="P9:T9"/>
    <mergeCell ref="U9:AD9"/>
    <mergeCell ref="A8:F8"/>
    <mergeCell ref="G8:O8"/>
    <mergeCell ref="P8:T8"/>
    <mergeCell ref="U8:AD8"/>
    <mergeCell ref="A25:C25"/>
    <mergeCell ref="A24:C24"/>
    <mergeCell ref="A20:AD20"/>
    <mergeCell ref="D21:G21"/>
    <mergeCell ref="H21:M21"/>
    <mergeCell ref="N21:S21"/>
    <mergeCell ref="T21:Y21"/>
    <mergeCell ref="Z21:AD21"/>
    <mergeCell ref="Y22:AD22"/>
    <mergeCell ref="A22:X22"/>
    <mergeCell ref="S24:AD24"/>
    <mergeCell ref="P24:R24"/>
    <mergeCell ref="D24:O24"/>
    <mergeCell ref="A23:AD23"/>
    <mergeCell ref="A21:C21"/>
    <mergeCell ref="A41:J43"/>
    <mergeCell ref="K41:T43"/>
    <mergeCell ref="U42:AD42"/>
    <mergeCell ref="U43:AD43"/>
    <mergeCell ref="S25:AD25"/>
    <mergeCell ref="A36:C36"/>
    <mergeCell ref="D36:O36"/>
    <mergeCell ref="P36:R36"/>
    <mergeCell ref="S36:AD36"/>
    <mergeCell ref="P25:R25"/>
    <mergeCell ref="D25:O25"/>
    <mergeCell ref="U41:AD41"/>
    <mergeCell ref="U31:AD31"/>
    <mergeCell ref="A35:AD35"/>
    <mergeCell ref="A28:J28"/>
    <mergeCell ref="D37:O37"/>
    <mergeCell ref="P37:R37"/>
    <mergeCell ref="S37:AD37"/>
    <mergeCell ref="A37:C37"/>
    <mergeCell ref="A40:J40"/>
    <mergeCell ref="K40:T40"/>
    <mergeCell ref="A38:AD38"/>
    <mergeCell ref="A39:AD39"/>
    <mergeCell ref="U40:AD40"/>
    <mergeCell ref="A26:AD26"/>
    <mergeCell ref="D34:G34"/>
    <mergeCell ref="H34:M34"/>
    <mergeCell ref="N34:S34"/>
    <mergeCell ref="T34:Y34"/>
    <mergeCell ref="Z34:AD34"/>
    <mergeCell ref="A27:AD27"/>
    <mergeCell ref="A33:AD33"/>
    <mergeCell ref="K29:T31"/>
    <mergeCell ref="U28:AD28"/>
    <mergeCell ref="U30:AD30"/>
    <mergeCell ref="U29:AD29"/>
    <mergeCell ref="A29:J31"/>
    <mergeCell ref="K28:T28"/>
    <mergeCell ref="A34:C34"/>
    <mergeCell ref="A17:N17"/>
    <mergeCell ref="P17:AC17"/>
    <mergeCell ref="A11:AD11"/>
    <mergeCell ref="A12:G12"/>
    <mergeCell ref="I12:N12"/>
    <mergeCell ref="P12:V12"/>
    <mergeCell ref="X12:AC12"/>
    <mergeCell ref="A16:N16"/>
    <mergeCell ref="P16:AC16"/>
    <mergeCell ref="A13:N13"/>
    <mergeCell ref="A14:N14"/>
    <mergeCell ref="A15:N15"/>
    <mergeCell ref="P13:AC13"/>
    <mergeCell ref="P14:AC14"/>
    <mergeCell ref="P15:AC15"/>
  </mergeCells>
  <dataValidations count="2">
    <dataValidation type="list" allowBlank="1" showInputMessage="1" showErrorMessage="1" sqref="Y22:AD22" xr:uid="{046B01F1-EE20-48AF-A29D-F6DA9D8FC3A3}">
      <formula1>L_Oui_Non</formula1>
    </dataValidation>
    <dataValidation type="list" allowBlank="1" sqref="Z34:AD34 Z21:AD21" xr:uid="{787D9929-AC49-472B-9E4C-BC7934E48FD4}">
      <formula1>L_Type_Installation</formula1>
    </dataValidation>
  </dataValidations>
  <printOptions horizontalCentered="1"/>
  <pageMargins left="0.23622047244094502" right="0.23622047244094502" top="0.23622047244094502" bottom="0.23622047244094502" header="0.31496062992126" footer="0.31496062992126"/>
  <pageSetup paperSize="9" scale="81" orientation="portrait" r:id="rId1"/>
  <headerFooter>
    <oddHeader>&amp;R&amp;D</oddHeader>
    <oddFooter>&amp;L&amp;Z&amp;F&amp;RPage &amp;P/&amp;N</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B67D8-0505-44C2-B267-DD472E894C74}">
  <sheetPr codeName="Feuil6">
    <tabColor theme="8" tint="0.59999389629810485"/>
    <pageSetUpPr fitToPage="1"/>
  </sheetPr>
  <dimension ref="A1:AD29"/>
  <sheetViews>
    <sheetView view="pageBreakPreview" zoomScaleNormal="100" zoomScaleSheetLayoutView="100" workbookViewId="0">
      <selection activeCell="AM21" sqref="AM21"/>
    </sheetView>
  </sheetViews>
  <sheetFormatPr baseColWidth="10" defaultColWidth="11.42578125" defaultRowHeight="15"/>
  <cols>
    <col min="1" max="38" width="3.28515625" customWidth="1"/>
  </cols>
  <sheetData>
    <row r="1" spans="1:30" ht="14.1" customHeight="1">
      <c r="P1" s="357" t="s">
        <v>378</v>
      </c>
      <c r="Q1" s="357"/>
      <c r="R1" s="357"/>
      <c r="S1" s="357"/>
      <c r="T1" s="357"/>
      <c r="U1" s="357"/>
      <c r="V1" s="357"/>
      <c r="W1" s="357"/>
      <c r="X1" s="357"/>
      <c r="Y1" s="357"/>
      <c r="Z1" s="357"/>
      <c r="AA1" s="357"/>
      <c r="AB1" s="357"/>
      <c r="AC1" s="357"/>
      <c r="AD1" s="357"/>
    </row>
    <row r="2" spans="1:30" ht="14.1" customHeight="1">
      <c r="P2" s="358"/>
      <c r="Q2" s="358"/>
      <c r="R2" s="358"/>
      <c r="S2" s="358"/>
      <c r="T2" s="358"/>
      <c r="U2" s="358"/>
      <c r="V2" s="358"/>
      <c r="W2" s="358"/>
      <c r="X2" s="358"/>
      <c r="Y2" s="358"/>
      <c r="Z2" s="358"/>
      <c r="AA2" s="358"/>
      <c r="AB2" s="358"/>
      <c r="AC2" s="358"/>
      <c r="AD2" s="358"/>
    </row>
    <row r="3" spans="1:30" ht="14.1" customHeight="1">
      <c r="P3" s="358"/>
      <c r="Q3" s="358"/>
      <c r="R3" s="358"/>
      <c r="S3" s="358"/>
      <c r="T3" s="358"/>
      <c r="U3" s="358"/>
      <c r="V3" s="358"/>
      <c r="W3" s="358"/>
      <c r="X3" s="358"/>
      <c r="Y3" s="358"/>
      <c r="Z3" s="358"/>
      <c r="AA3" s="358"/>
      <c r="AB3" s="358"/>
      <c r="AC3" s="358"/>
      <c r="AD3" s="358"/>
    </row>
    <row r="4" spans="1:30" ht="14.1" customHeight="1" thickBot="1">
      <c r="P4" s="359"/>
      <c r="Q4" s="359"/>
      <c r="R4" s="359"/>
      <c r="S4" s="359"/>
      <c r="T4" s="359"/>
      <c r="U4" s="359"/>
      <c r="V4" s="359"/>
      <c r="W4" s="359"/>
      <c r="X4" s="359"/>
      <c r="Y4" s="359"/>
      <c r="Z4" s="359"/>
      <c r="AA4" s="359"/>
      <c r="AB4" s="359"/>
      <c r="AC4" s="359"/>
      <c r="AD4" s="359"/>
    </row>
    <row r="5" spans="1:30" ht="14.1" customHeight="1">
      <c r="A5" s="360" t="s">
        <v>1</v>
      </c>
      <c r="B5" s="361"/>
      <c r="C5" s="361"/>
      <c r="D5" s="361"/>
      <c r="E5" s="361"/>
      <c r="F5" s="361"/>
      <c r="G5" s="361"/>
      <c r="H5" s="361"/>
      <c r="I5" s="361"/>
      <c r="J5" s="361"/>
      <c r="K5" s="361"/>
      <c r="L5" s="361"/>
      <c r="M5" s="361"/>
      <c r="N5" s="361"/>
      <c r="O5" s="362"/>
      <c r="P5" s="275" t="s">
        <v>2</v>
      </c>
      <c r="Q5" s="276"/>
      <c r="R5" s="276"/>
      <c r="S5" s="276"/>
      <c r="T5" s="277"/>
      <c r="U5" s="634">
        <f>Client</f>
        <v>0</v>
      </c>
      <c r="V5" s="635"/>
      <c r="W5" s="635"/>
      <c r="X5" s="635"/>
      <c r="Y5" s="635"/>
      <c r="Z5" s="635"/>
      <c r="AA5" s="635"/>
      <c r="AB5" s="635"/>
      <c r="AC5" s="635"/>
      <c r="AD5" s="636"/>
    </row>
    <row r="6" spans="1:30" ht="14.1" customHeight="1" thickBot="1">
      <c r="A6" s="363"/>
      <c r="B6" s="364"/>
      <c r="C6" s="364"/>
      <c r="D6" s="364"/>
      <c r="E6" s="364"/>
      <c r="F6" s="364"/>
      <c r="G6" s="364"/>
      <c r="H6" s="364"/>
      <c r="I6" s="364"/>
      <c r="J6" s="364"/>
      <c r="K6" s="364"/>
      <c r="L6" s="364"/>
      <c r="M6" s="364"/>
      <c r="N6" s="364"/>
      <c r="O6" s="365"/>
      <c r="P6" s="151" t="s">
        <v>3</v>
      </c>
      <c r="Q6" s="152"/>
      <c r="R6" s="152"/>
      <c r="S6" s="152"/>
      <c r="T6" s="153"/>
      <c r="U6" s="287">
        <f>Num_Devis</f>
        <v>0</v>
      </c>
      <c r="V6" s="632"/>
      <c r="W6" s="632"/>
      <c r="X6" s="632"/>
      <c r="Y6" s="632"/>
      <c r="Z6" s="632"/>
      <c r="AA6" s="632"/>
      <c r="AB6" s="632"/>
      <c r="AC6" s="632"/>
      <c r="AD6" s="633"/>
    </row>
    <row r="7" spans="1:30" ht="27.95" customHeight="1">
      <c r="A7" s="372" t="s">
        <v>4</v>
      </c>
      <c r="B7" s="373"/>
      <c r="C7" s="373"/>
      <c r="D7" s="373"/>
      <c r="E7" s="373"/>
      <c r="F7" s="374"/>
      <c r="G7" s="509">
        <f>Commercial</f>
        <v>0</v>
      </c>
      <c r="H7" s="509"/>
      <c r="I7" s="509"/>
      <c r="J7" s="509"/>
      <c r="K7" s="509"/>
      <c r="L7" s="509"/>
      <c r="M7" s="509"/>
      <c r="N7" s="509"/>
      <c r="O7" s="510"/>
      <c r="P7" s="149" t="s">
        <v>5</v>
      </c>
      <c r="Q7" s="150"/>
      <c r="R7" s="150"/>
      <c r="S7" s="150"/>
      <c r="T7" s="207"/>
      <c r="U7" s="287">
        <f>Code_Client_Divalto</f>
        <v>0</v>
      </c>
      <c r="V7" s="632"/>
      <c r="W7" s="632"/>
      <c r="X7" s="632"/>
      <c r="Y7" s="632"/>
      <c r="Z7" s="632"/>
      <c r="AA7" s="632"/>
      <c r="AB7" s="632"/>
      <c r="AC7" s="632"/>
      <c r="AD7" s="633"/>
    </row>
    <row r="8" spans="1:30"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0"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0" ht="15.75" thickBot="1"/>
    <row r="11" spans="1:30" ht="14.1" customHeight="1">
      <c r="A11" s="734" t="s">
        <v>379</v>
      </c>
      <c r="B11" s="735"/>
      <c r="C11" s="735"/>
      <c r="D11" s="735"/>
      <c r="E11" s="735"/>
      <c r="F11" s="735"/>
      <c r="G11" s="735"/>
      <c r="H11" s="735"/>
      <c r="I11" s="735"/>
      <c r="J11" s="735"/>
      <c r="K11" s="735"/>
      <c r="L11" s="735"/>
      <c r="M11" s="735"/>
      <c r="N11" s="735"/>
      <c r="O11" s="735"/>
      <c r="P11" s="735"/>
      <c r="Q11" s="735"/>
      <c r="R11" s="735"/>
      <c r="S11" s="735"/>
      <c r="T11" s="735"/>
      <c r="U11" s="735"/>
      <c r="V11" s="735"/>
      <c r="W11" s="735"/>
      <c r="X11" s="735"/>
      <c r="Y11" s="735"/>
      <c r="Z11" s="735"/>
      <c r="AA11" s="735"/>
      <c r="AB11" s="735"/>
      <c r="AC11" s="735"/>
      <c r="AD11" s="736"/>
    </row>
    <row r="12" spans="1:30" ht="14.1" customHeight="1" thickBot="1">
      <c r="A12" s="737"/>
      <c r="B12" s="738"/>
      <c r="C12" s="738"/>
      <c r="D12" s="738"/>
      <c r="E12" s="738"/>
      <c r="F12" s="738"/>
      <c r="G12" s="738"/>
      <c r="H12" s="738"/>
      <c r="I12" s="738"/>
      <c r="J12" s="738"/>
      <c r="K12" s="738"/>
      <c r="L12" s="738"/>
      <c r="M12" s="738"/>
      <c r="N12" s="738"/>
      <c r="O12" s="738"/>
      <c r="P12" s="738"/>
      <c r="Q12" s="738"/>
      <c r="R12" s="738"/>
      <c r="S12" s="738"/>
      <c r="T12" s="738"/>
      <c r="U12" s="738"/>
      <c r="V12" s="738"/>
      <c r="W12" s="738"/>
      <c r="X12" s="738"/>
      <c r="Y12" s="738"/>
      <c r="Z12" s="738"/>
      <c r="AA12" s="738"/>
      <c r="AB12" s="738"/>
      <c r="AC12" s="738"/>
      <c r="AD12" s="739"/>
    </row>
    <row r="13" spans="1:30" ht="20.100000000000001" customHeight="1" thickBot="1">
      <c r="A13" s="740" t="s">
        <v>380</v>
      </c>
      <c r="B13" s="741"/>
      <c r="C13" s="741"/>
      <c r="D13" s="741"/>
      <c r="E13" s="741"/>
      <c r="F13" s="741"/>
      <c r="G13" s="741"/>
      <c r="H13" s="741"/>
      <c r="I13" s="741"/>
      <c r="J13" s="741"/>
      <c r="K13" s="741"/>
      <c r="L13" s="741"/>
      <c r="M13" s="741"/>
      <c r="N13" s="741"/>
      <c r="O13" s="741"/>
      <c r="P13" s="741"/>
      <c r="Q13" s="741"/>
      <c r="R13" s="741"/>
      <c r="S13" s="741"/>
      <c r="T13" s="741"/>
      <c r="U13" s="741"/>
      <c r="V13" s="741"/>
      <c r="W13" s="741"/>
      <c r="X13" s="741"/>
      <c r="Y13" s="741"/>
      <c r="Z13" s="741"/>
      <c r="AA13" s="741"/>
      <c r="AB13" s="741"/>
      <c r="AC13" s="741"/>
      <c r="AD13" s="742"/>
    </row>
    <row r="14" spans="1:30" ht="20.100000000000001" customHeight="1">
      <c r="A14" s="244" t="s">
        <v>381</v>
      </c>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102"/>
      <c r="Z14" s="245" t="s">
        <v>51</v>
      </c>
      <c r="AA14" s="245"/>
      <c r="AB14" s="102"/>
      <c r="AC14" s="245" t="s">
        <v>52</v>
      </c>
      <c r="AD14" s="246"/>
    </row>
    <row r="15" spans="1:30" ht="45" customHeight="1" thickBot="1">
      <c r="A15" s="774"/>
      <c r="B15" s="775"/>
      <c r="C15" s="775"/>
      <c r="D15" s="775"/>
      <c r="E15" s="775"/>
      <c r="F15" s="775"/>
      <c r="G15" s="775"/>
      <c r="H15" s="775"/>
      <c r="I15" s="775"/>
      <c r="J15" s="775"/>
      <c r="K15" s="775"/>
      <c r="L15" s="775"/>
      <c r="M15" s="775"/>
      <c r="N15" s="775"/>
      <c r="O15" s="775"/>
      <c r="P15" s="775"/>
      <c r="Q15" s="775"/>
      <c r="R15" s="775"/>
      <c r="S15" s="775"/>
      <c r="T15" s="775"/>
      <c r="U15" s="775"/>
      <c r="V15" s="775"/>
      <c r="W15" s="775"/>
      <c r="X15" s="775"/>
      <c r="Y15" s="775"/>
      <c r="Z15" s="775"/>
      <c r="AA15" s="775"/>
      <c r="AB15" s="775"/>
      <c r="AC15" s="775"/>
      <c r="AD15" s="776"/>
    </row>
    <row r="16" spans="1:30" ht="20.100000000000001" customHeight="1">
      <c r="A16" s="244" t="s">
        <v>382</v>
      </c>
      <c r="B16" s="245"/>
      <c r="C16" s="245"/>
      <c r="D16" s="245"/>
      <c r="E16" s="245"/>
      <c r="F16" s="245"/>
      <c r="G16" s="245"/>
      <c r="H16" s="245"/>
      <c r="I16" s="245"/>
      <c r="J16" s="245"/>
      <c r="K16" s="245"/>
      <c r="L16" s="245"/>
      <c r="M16" s="245"/>
      <c r="N16" s="245"/>
      <c r="O16" s="245"/>
      <c r="P16" s="245"/>
      <c r="Q16" s="245"/>
      <c r="R16" s="245"/>
      <c r="S16" s="245"/>
      <c r="T16" s="245"/>
      <c r="U16" s="245"/>
      <c r="V16" s="245"/>
      <c r="W16" s="245"/>
      <c r="X16" s="245"/>
      <c r="Y16" s="102"/>
      <c r="Z16" s="245" t="s">
        <v>51</v>
      </c>
      <c r="AA16" s="245"/>
      <c r="AB16" s="102"/>
      <c r="AC16" s="245" t="s">
        <v>52</v>
      </c>
      <c r="AD16" s="246"/>
    </row>
    <row r="17" spans="1:30" ht="45" customHeight="1" thickBot="1">
      <c r="A17" s="774"/>
      <c r="B17" s="775"/>
      <c r="C17" s="775"/>
      <c r="D17" s="775"/>
      <c r="E17" s="775"/>
      <c r="F17" s="775"/>
      <c r="G17" s="775"/>
      <c r="H17" s="775"/>
      <c r="I17" s="775"/>
      <c r="J17" s="775"/>
      <c r="K17" s="775"/>
      <c r="L17" s="775"/>
      <c r="M17" s="775"/>
      <c r="N17" s="775"/>
      <c r="O17" s="775"/>
      <c r="P17" s="775"/>
      <c r="Q17" s="775"/>
      <c r="R17" s="775"/>
      <c r="S17" s="775"/>
      <c r="T17" s="775"/>
      <c r="U17" s="775"/>
      <c r="V17" s="775"/>
      <c r="W17" s="775"/>
      <c r="X17" s="775"/>
      <c r="Y17" s="775"/>
      <c r="Z17" s="775"/>
      <c r="AA17" s="775"/>
      <c r="AB17" s="775"/>
      <c r="AC17" s="775"/>
      <c r="AD17" s="776"/>
    </row>
    <row r="18" spans="1:30" ht="20.100000000000001" customHeight="1">
      <c r="A18" s="244" t="s">
        <v>383</v>
      </c>
      <c r="B18" s="245"/>
      <c r="C18" s="245"/>
      <c r="D18" s="245"/>
      <c r="E18" s="245"/>
      <c r="F18" s="245"/>
      <c r="G18" s="245"/>
      <c r="H18" s="245"/>
      <c r="I18" s="245"/>
      <c r="J18" s="245"/>
      <c r="K18" s="245"/>
      <c r="L18" s="245"/>
      <c r="M18" s="245"/>
      <c r="N18" s="245"/>
      <c r="O18" s="245"/>
      <c r="P18" s="245"/>
      <c r="Q18" s="245"/>
      <c r="R18" s="245"/>
      <c r="S18" s="245"/>
      <c r="T18" s="245"/>
      <c r="U18" s="245"/>
      <c r="V18" s="245"/>
      <c r="W18" s="245"/>
      <c r="X18" s="245"/>
      <c r="Y18" s="102"/>
      <c r="Z18" s="245" t="s">
        <v>51</v>
      </c>
      <c r="AA18" s="245"/>
      <c r="AB18" s="102"/>
      <c r="AC18" s="245" t="s">
        <v>52</v>
      </c>
      <c r="AD18" s="246"/>
    </row>
    <row r="19" spans="1:30" ht="45" customHeight="1" thickBot="1">
      <c r="A19" s="774"/>
      <c r="B19" s="775"/>
      <c r="C19" s="775"/>
      <c r="D19" s="775"/>
      <c r="E19" s="775"/>
      <c r="F19" s="775"/>
      <c r="G19" s="775"/>
      <c r="H19" s="775"/>
      <c r="I19" s="775"/>
      <c r="J19" s="775"/>
      <c r="K19" s="775"/>
      <c r="L19" s="775"/>
      <c r="M19" s="775"/>
      <c r="N19" s="775"/>
      <c r="O19" s="775"/>
      <c r="P19" s="775"/>
      <c r="Q19" s="775"/>
      <c r="R19" s="775"/>
      <c r="S19" s="775"/>
      <c r="T19" s="775"/>
      <c r="U19" s="775"/>
      <c r="V19" s="775"/>
      <c r="W19" s="775"/>
      <c r="X19" s="775"/>
      <c r="Y19" s="775"/>
      <c r="Z19" s="775"/>
      <c r="AA19" s="775"/>
      <c r="AB19" s="775"/>
      <c r="AC19" s="775"/>
      <c r="AD19" s="776"/>
    </row>
    <row r="20" spans="1:30" ht="20.100000000000001" customHeight="1">
      <c r="A20" s="244" t="s">
        <v>384</v>
      </c>
      <c r="B20" s="245"/>
      <c r="C20" s="245"/>
      <c r="D20" s="245"/>
      <c r="E20" s="245"/>
      <c r="F20" s="245"/>
      <c r="G20" s="245"/>
      <c r="H20" s="245"/>
      <c r="I20" s="245"/>
      <c r="J20" s="245"/>
      <c r="K20" s="245"/>
      <c r="L20" s="245"/>
      <c r="M20" s="245"/>
      <c r="N20" s="245"/>
      <c r="O20" s="245"/>
      <c r="P20" s="245"/>
      <c r="Q20" s="245"/>
      <c r="R20" s="245"/>
      <c r="S20" s="245"/>
      <c r="T20" s="245"/>
      <c r="U20" s="245"/>
      <c r="V20" s="245"/>
      <c r="W20" s="245"/>
      <c r="X20" s="245"/>
      <c r="Y20" s="102"/>
      <c r="Z20" s="245" t="s">
        <v>51</v>
      </c>
      <c r="AA20" s="245"/>
      <c r="AB20" s="102"/>
      <c r="AC20" s="245" t="s">
        <v>52</v>
      </c>
      <c r="AD20" s="246"/>
    </row>
    <row r="21" spans="1:30" ht="45" customHeight="1" thickBot="1">
      <c r="A21" s="774"/>
      <c r="B21" s="775"/>
      <c r="C21" s="775"/>
      <c r="D21" s="775"/>
      <c r="E21" s="775"/>
      <c r="F21" s="775"/>
      <c r="G21" s="775"/>
      <c r="H21" s="775"/>
      <c r="I21" s="775"/>
      <c r="J21" s="775"/>
      <c r="K21" s="775"/>
      <c r="L21" s="775"/>
      <c r="M21" s="775"/>
      <c r="N21" s="775"/>
      <c r="O21" s="775"/>
      <c r="P21" s="775"/>
      <c r="Q21" s="775"/>
      <c r="R21" s="775"/>
      <c r="S21" s="775"/>
      <c r="T21" s="775"/>
      <c r="U21" s="775"/>
      <c r="V21" s="775"/>
      <c r="W21" s="775"/>
      <c r="X21" s="775"/>
      <c r="Y21" s="775"/>
      <c r="Z21" s="775"/>
      <c r="AA21" s="775"/>
      <c r="AB21" s="775"/>
      <c r="AC21" s="775"/>
      <c r="AD21" s="776"/>
    </row>
    <row r="22" spans="1:30" ht="20.100000000000001" customHeight="1">
      <c r="A22" s="244" t="s">
        <v>385</v>
      </c>
      <c r="B22" s="245"/>
      <c r="C22" s="245"/>
      <c r="D22" s="245"/>
      <c r="E22" s="245"/>
      <c r="F22" s="245"/>
      <c r="G22" s="245"/>
      <c r="H22" s="245"/>
      <c r="I22" s="245"/>
      <c r="J22" s="245"/>
      <c r="K22" s="245"/>
      <c r="L22" s="245"/>
      <c r="M22" s="245"/>
      <c r="N22" s="245"/>
      <c r="O22" s="245"/>
      <c r="P22" s="245"/>
      <c r="Q22" s="245"/>
      <c r="R22" s="245"/>
      <c r="S22" s="245"/>
      <c r="T22" s="245"/>
      <c r="U22" s="245"/>
      <c r="V22" s="245"/>
      <c r="W22" s="245"/>
      <c r="X22" s="245"/>
      <c r="Y22" s="102"/>
      <c r="Z22" s="245" t="s">
        <v>51</v>
      </c>
      <c r="AA22" s="245"/>
      <c r="AB22" s="102"/>
      <c r="AC22" s="245" t="s">
        <v>52</v>
      </c>
      <c r="AD22" s="246"/>
    </row>
    <row r="23" spans="1:30" ht="45" customHeight="1" thickBot="1">
      <c r="A23" s="774"/>
      <c r="B23" s="775"/>
      <c r="C23" s="775"/>
      <c r="D23" s="775"/>
      <c r="E23" s="775"/>
      <c r="F23" s="775"/>
      <c r="G23" s="775"/>
      <c r="H23" s="775"/>
      <c r="I23" s="775"/>
      <c r="J23" s="775"/>
      <c r="K23" s="775"/>
      <c r="L23" s="775"/>
      <c r="M23" s="775"/>
      <c r="N23" s="775"/>
      <c r="O23" s="775"/>
      <c r="P23" s="775"/>
      <c r="Q23" s="775"/>
      <c r="R23" s="775"/>
      <c r="S23" s="775"/>
      <c r="T23" s="775"/>
      <c r="U23" s="775"/>
      <c r="V23" s="775"/>
      <c r="W23" s="775"/>
      <c r="X23" s="775"/>
      <c r="Y23" s="775"/>
      <c r="Z23" s="775"/>
      <c r="AA23" s="775"/>
      <c r="AB23" s="775"/>
      <c r="AC23" s="775"/>
      <c r="AD23" s="776"/>
    </row>
    <row r="24" spans="1:30" ht="20.100000000000001" customHeight="1" thickBot="1"/>
    <row r="25" spans="1:30" ht="20.100000000000001" customHeight="1" thickBot="1">
      <c r="A25" s="740" t="s">
        <v>386</v>
      </c>
      <c r="B25" s="741"/>
      <c r="C25" s="741"/>
      <c r="D25" s="741"/>
      <c r="E25" s="741"/>
      <c r="F25" s="741"/>
      <c r="G25" s="741"/>
      <c r="H25" s="741"/>
      <c r="I25" s="741"/>
      <c r="J25" s="741"/>
      <c r="K25" s="741"/>
      <c r="L25" s="741"/>
      <c r="M25" s="741"/>
      <c r="N25" s="741"/>
      <c r="O25" s="741"/>
      <c r="P25" s="741"/>
      <c r="Q25" s="741"/>
      <c r="R25" s="741"/>
      <c r="S25" s="741"/>
      <c r="T25" s="741"/>
      <c r="U25" s="741"/>
      <c r="V25" s="741"/>
      <c r="W25" s="741"/>
      <c r="X25" s="741"/>
      <c r="Y25" s="741"/>
      <c r="Z25" s="741"/>
      <c r="AA25" s="741"/>
      <c r="AB25" s="741"/>
      <c r="AC25" s="741"/>
      <c r="AD25" s="742"/>
    </row>
    <row r="26" spans="1:30" ht="20.100000000000001" customHeight="1">
      <c r="A26" s="244" t="s">
        <v>387</v>
      </c>
      <c r="B26" s="245"/>
      <c r="C26" s="245"/>
      <c r="D26" s="245"/>
      <c r="E26" s="245"/>
      <c r="F26" s="245"/>
      <c r="G26" s="245"/>
      <c r="H26" s="245"/>
      <c r="I26" s="245"/>
      <c r="J26" s="245"/>
      <c r="K26" s="245"/>
      <c r="L26" s="245"/>
      <c r="M26" s="245"/>
      <c r="N26" s="245"/>
      <c r="O26" s="245"/>
      <c r="P26" s="245"/>
      <c r="Q26" s="245"/>
      <c r="R26" s="245"/>
      <c r="S26" s="245"/>
      <c r="T26" s="245"/>
      <c r="U26" s="245"/>
      <c r="V26" s="245"/>
      <c r="W26" s="245"/>
      <c r="X26" s="245"/>
      <c r="Y26" s="245"/>
      <c r="Z26" s="245"/>
      <c r="AA26" s="245"/>
      <c r="AB26" s="245"/>
      <c r="AC26" s="245"/>
      <c r="AD26" s="246"/>
    </row>
    <row r="27" spans="1:30" ht="60" customHeight="1" thickBot="1">
      <c r="A27" s="774"/>
      <c r="B27" s="775"/>
      <c r="C27" s="775"/>
      <c r="D27" s="775"/>
      <c r="E27" s="775"/>
      <c r="F27" s="775"/>
      <c r="G27" s="775"/>
      <c r="H27" s="775"/>
      <c r="I27" s="775"/>
      <c r="J27" s="775"/>
      <c r="K27" s="775"/>
      <c r="L27" s="775"/>
      <c r="M27" s="775"/>
      <c r="N27" s="775"/>
      <c r="O27" s="775"/>
      <c r="P27" s="775"/>
      <c r="Q27" s="775"/>
      <c r="R27" s="775"/>
      <c r="S27" s="775"/>
      <c r="T27" s="775"/>
      <c r="U27" s="775"/>
      <c r="V27" s="775"/>
      <c r="W27" s="775"/>
      <c r="X27" s="775"/>
      <c r="Y27" s="775"/>
      <c r="Z27" s="775"/>
      <c r="AA27" s="775"/>
      <c r="AB27" s="775"/>
      <c r="AC27" s="775"/>
      <c r="AD27" s="776"/>
    </row>
    <row r="28" spans="1:30" ht="20.100000000000001" customHeight="1">
      <c r="A28" s="244" t="s">
        <v>388</v>
      </c>
      <c r="B28" s="245"/>
      <c r="C28" s="245"/>
      <c r="D28" s="245"/>
      <c r="E28" s="245"/>
      <c r="F28" s="245"/>
      <c r="G28" s="245"/>
      <c r="H28" s="245"/>
      <c r="I28" s="245"/>
      <c r="J28" s="245"/>
      <c r="K28" s="245"/>
      <c r="L28" s="245"/>
      <c r="M28" s="245"/>
      <c r="N28" s="245"/>
      <c r="O28" s="245"/>
      <c r="P28" s="245"/>
      <c r="Q28" s="245"/>
      <c r="R28" s="245"/>
      <c r="S28" s="245"/>
      <c r="T28" s="245"/>
      <c r="U28" s="245"/>
      <c r="V28" s="245"/>
      <c r="W28" s="245"/>
      <c r="X28" s="245"/>
      <c r="Y28" s="102"/>
      <c r="Z28" s="245" t="s">
        <v>51</v>
      </c>
      <c r="AA28" s="245"/>
      <c r="AB28" s="102"/>
      <c r="AC28" s="245" t="s">
        <v>52</v>
      </c>
      <c r="AD28" s="246"/>
    </row>
    <row r="29" spans="1:30" ht="45" customHeight="1" thickBot="1">
      <c r="A29" s="774"/>
      <c r="B29" s="775"/>
      <c r="C29" s="775"/>
      <c r="D29" s="775"/>
      <c r="E29" s="775"/>
      <c r="F29" s="775"/>
      <c r="G29" s="775"/>
      <c r="H29" s="775"/>
      <c r="I29" s="775"/>
      <c r="J29" s="775"/>
      <c r="K29" s="775"/>
      <c r="L29" s="775"/>
      <c r="M29" s="775"/>
      <c r="N29" s="775"/>
      <c r="O29" s="775"/>
      <c r="P29" s="775"/>
      <c r="Q29" s="775"/>
      <c r="R29" s="775"/>
      <c r="S29" s="775"/>
      <c r="T29" s="775"/>
      <c r="U29" s="775"/>
      <c r="V29" s="775"/>
      <c r="W29" s="775"/>
      <c r="X29" s="775"/>
      <c r="Y29" s="775"/>
      <c r="Z29" s="775"/>
      <c r="AA29" s="775"/>
      <c r="AB29" s="775"/>
      <c r="AC29" s="775"/>
      <c r="AD29" s="776"/>
    </row>
  </sheetData>
  <sheetProtection algorithmName="SHA-512" hashValue="iBmG2NHAhO/BR6Z8lxfMaB0jK5jz4hPtFTTtjGM3ijWASgnvrDvJ029JtNYkgJZPUj/rQjw2KWNU08qvK2UBYQ==" saltValue="fJMzXRvzNCf+o7vPLkVKOQ==" spinCount="100000" sheet="1" objects="1" scenarios="1"/>
  <mergeCells count="47">
    <mergeCell ref="A5:O6"/>
    <mergeCell ref="P1:AD4"/>
    <mergeCell ref="A7:F7"/>
    <mergeCell ref="G7:O7"/>
    <mergeCell ref="P7:T7"/>
    <mergeCell ref="U7:AD7"/>
    <mergeCell ref="P5:T5"/>
    <mergeCell ref="U5:AD5"/>
    <mergeCell ref="P6:T6"/>
    <mergeCell ref="U6:AD6"/>
    <mergeCell ref="A9:F9"/>
    <mergeCell ref="G9:O9"/>
    <mergeCell ref="P9:T9"/>
    <mergeCell ref="U9:AD9"/>
    <mergeCell ref="A8:F8"/>
    <mergeCell ref="G8:O8"/>
    <mergeCell ref="P8:T8"/>
    <mergeCell ref="U8:AD8"/>
    <mergeCell ref="A16:X16"/>
    <mergeCell ref="A20:X20"/>
    <mergeCell ref="Z20:AA20"/>
    <mergeCell ref="AC20:AD20"/>
    <mergeCell ref="A15:AD15"/>
    <mergeCell ref="A17:AD17"/>
    <mergeCell ref="A19:AD19"/>
    <mergeCell ref="Z16:AA16"/>
    <mergeCell ref="AC16:AD16"/>
    <mergeCell ref="A18:X18"/>
    <mergeCell ref="Z18:AA18"/>
    <mergeCell ref="AC18:AD18"/>
    <mergeCell ref="A11:AD12"/>
    <mergeCell ref="A13:AD13"/>
    <mergeCell ref="Z14:AA14"/>
    <mergeCell ref="AC14:AD14"/>
    <mergeCell ref="A14:X14"/>
    <mergeCell ref="A29:AD29"/>
    <mergeCell ref="A21:AD21"/>
    <mergeCell ref="A27:AD27"/>
    <mergeCell ref="A28:X28"/>
    <mergeCell ref="Z28:AA28"/>
    <mergeCell ref="AC28:AD28"/>
    <mergeCell ref="A26:AD26"/>
    <mergeCell ref="A22:X22"/>
    <mergeCell ref="Z22:AA22"/>
    <mergeCell ref="AC22:AD22"/>
    <mergeCell ref="A23:AD23"/>
    <mergeCell ref="A25:AD25"/>
  </mergeCells>
  <printOptions horizontalCentered="1" verticalCentered="1"/>
  <pageMargins left="0.23622047244094488" right="0.23622047244094488" top="0.23622047244094488" bottom="0.23622047244094488" header="0.31496062992125984" footer="0.31496062992125984"/>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B6647-3B02-43F7-AB32-7C1C0E05DDC0}">
  <sheetPr codeName="Feuil16">
    <tabColor theme="8" tint="0.59999389629810485"/>
    <pageSetUpPr fitToPage="1"/>
  </sheetPr>
  <dimension ref="A1:AK42"/>
  <sheetViews>
    <sheetView view="pageBreakPreview" zoomScaleNormal="100" zoomScaleSheetLayoutView="100" workbookViewId="0">
      <selection activeCell="AK4" sqref="AK4"/>
    </sheetView>
  </sheetViews>
  <sheetFormatPr baseColWidth="10" defaultColWidth="11.42578125" defaultRowHeight="15"/>
  <cols>
    <col min="1" max="36" width="3.28515625" customWidth="1"/>
  </cols>
  <sheetData>
    <row r="1" spans="1:30" ht="14.1" customHeight="1">
      <c r="P1" s="357" t="s">
        <v>389</v>
      </c>
      <c r="Q1" s="357"/>
      <c r="R1" s="357"/>
      <c r="S1" s="357"/>
      <c r="T1" s="357"/>
      <c r="U1" s="357"/>
      <c r="V1" s="357"/>
      <c r="W1" s="357"/>
      <c r="X1" s="357"/>
      <c r="Y1" s="357"/>
      <c r="Z1" s="357"/>
      <c r="AA1" s="357"/>
      <c r="AB1" s="357"/>
      <c r="AC1" s="357"/>
      <c r="AD1" s="357"/>
    </row>
    <row r="2" spans="1:30" ht="14.1" customHeight="1">
      <c r="P2" s="358"/>
      <c r="Q2" s="358"/>
      <c r="R2" s="358"/>
      <c r="S2" s="358"/>
      <c r="T2" s="358"/>
      <c r="U2" s="358"/>
      <c r="V2" s="358"/>
      <c r="W2" s="358"/>
      <c r="X2" s="358"/>
      <c r="Y2" s="358"/>
      <c r="Z2" s="358"/>
      <c r="AA2" s="358"/>
      <c r="AB2" s="358"/>
      <c r="AC2" s="358"/>
      <c r="AD2" s="358"/>
    </row>
    <row r="3" spans="1:30" ht="14.1" customHeight="1">
      <c r="P3" s="358"/>
      <c r="Q3" s="358"/>
      <c r="R3" s="358"/>
      <c r="S3" s="358"/>
      <c r="T3" s="358"/>
      <c r="U3" s="358"/>
      <c r="V3" s="358"/>
      <c r="W3" s="358"/>
      <c r="X3" s="358"/>
      <c r="Y3" s="358"/>
      <c r="Z3" s="358"/>
      <c r="AA3" s="358"/>
      <c r="AB3" s="358"/>
      <c r="AC3" s="358"/>
      <c r="AD3" s="358"/>
    </row>
    <row r="4" spans="1:30" ht="14.1" customHeight="1" thickBot="1">
      <c r="P4" s="359"/>
      <c r="Q4" s="359"/>
      <c r="R4" s="359"/>
      <c r="S4" s="359"/>
      <c r="T4" s="359"/>
      <c r="U4" s="359"/>
      <c r="V4" s="359"/>
      <c r="W4" s="359"/>
      <c r="X4" s="359"/>
      <c r="Y4" s="359"/>
      <c r="Z4" s="359"/>
      <c r="AA4" s="359"/>
      <c r="AB4" s="359"/>
      <c r="AC4" s="359"/>
      <c r="AD4" s="359"/>
    </row>
    <row r="5" spans="1:30" ht="14.1" customHeight="1">
      <c r="A5" s="360" t="s">
        <v>1</v>
      </c>
      <c r="B5" s="361"/>
      <c r="C5" s="361"/>
      <c r="D5" s="361"/>
      <c r="E5" s="361"/>
      <c r="F5" s="361"/>
      <c r="G5" s="361"/>
      <c r="H5" s="361"/>
      <c r="I5" s="361"/>
      <c r="J5" s="361"/>
      <c r="K5" s="361"/>
      <c r="L5" s="361"/>
      <c r="M5" s="361"/>
      <c r="N5" s="361"/>
      <c r="O5" s="362"/>
      <c r="P5" s="275" t="s">
        <v>2</v>
      </c>
      <c r="Q5" s="276"/>
      <c r="R5" s="276"/>
      <c r="S5" s="276"/>
      <c r="T5" s="277"/>
      <c r="U5" s="634">
        <f>Client</f>
        <v>0</v>
      </c>
      <c r="V5" s="635"/>
      <c r="W5" s="635"/>
      <c r="X5" s="635"/>
      <c r="Y5" s="635"/>
      <c r="Z5" s="635"/>
      <c r="AA5" s="635"/>
      <c r="AB5" s="635"/>
      <c r="AC5" s="635"/>
      <c r="AD5" s="636"/>
    </row>
    <row r="6" spans="1:30" ht="14.1" customHeight="1" thickBot="1">
      <c r="A6" s="363"/>
      <c r="B6" s="364"/>
      <c r="C6" s="364"/>
      <c r="D6" s="364"/>
      <c r="E6" s="364"/>
      <c r="F6" s="364"/>
      <c r="G6" s="364"/>
      <c r="H6" s="364"/>
      <c r="I6" s="364"/>
      <c r="J6" s="364"/>
      <c r="K6" s="364"/>
      <c r="L6" s="364"/>
      <c r="M6" s="364"/>
      <c r="N6" s="364"/>
      <c r="O6" s="365"/>
      <c r="P6" s="151" t="s">
        <v>3</v>
      </c>
      <c r="Q6" s="152"/>
      <c r="R6" s="152"/>
      <c r="S6" s="152"/>
      <c r="T6" s="153"/>
      <c r="U6" s="287">
        <f>Num_Devis</f>
        <v>0</v>
      </c>
      <c r="V6" s="632"/>
      <c r="W6" s="632"/>
      <c r="X6" s="632"/>
      <c r="Y6" s="632"/>
      <c r="Z6" s="632"/>
      <c r="AA6" s="632"/>
      <c r="AB6" s="632"/>
      <c r="AC6" s="632"/>
      <c r="AD6" s="633"/>
    </row>
    <row r="7" spans="1:30" ht="27.95" customHeight="1">
      <c r="A7" s="372" t="s">
        <v>4</v>
      </c>
      <c r="B7" s="373"/>
      <c r="C7" s="373"/>
      <c r="D7" s="373"/>
      <c r="E7" s="373"/>
      <c r="F7" s="374"/>
      <c r="G7" s="509">
        <f>Commercial</f>
        <v>0</v>
      </c>
      <c r="H7" s="509"/>
      <c r="I7" s="509"/>
      <c r="J7" s="509"/>
      <c r="K7" s="509"/>
      <c r="L7" s="509"/>
      <c r="M7" s="509"/>
      <c r="N7" s="509"/>
      <c r="O7" s="510"/>
      <c r="P7" s="149" t="s">
        <v>5</v>
      </c>
      <c r="Q7" s="150"/>
      <c r="R7" s="150"/>
      <c r="S7" s="150"/>
      <c r="T7" s="207"/>
      <c r="U7" s="287">
        <f>Code_Client_Divalto</f>
        <v>0</v>
      </c>
      <c r="V7" s="632"/>
      <c r="W7" s="632"/>
      <c r="X7" s="632"/>
      <c r="Y7" s="632"/>
      <c r="Z7" s="632"/>
      <c r="AA7" s="632"/>
      <c r="AB7" s="632"/>
      <c r="AC7" s="632"/>
      <c r="AD7" s="633"/>
    </row>
    <row r="8" spans="1:30"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0"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0" ht="20.100000000000001" customHeight="1" thickBot="1">
      <c r="A10" s="918" t="s">
        <v>390</v>
      </c>
      <c r="B10" s="919"/>
      <c r="C10" s="919"/>
      <c r="D10" s="919"/>
      <c r="E10" s="874" t="s">
        <v>391</v>
      </c>
      <c r="F10" s="874"/>
      <c r="G10" s="874"/>
      <c r="H10" s="874"/>
      <c r="I10" s="874"/>
      <c r="J10" s="874"/>
      <c r="K10" s="919" t="s">
        <v>392</v>
      </c>
      <c r="L10" s="919"/>
      <c r="M10" s="919"/>
      <c r="N10" s="919"/>
      <c r="O10" s="874">
        <v>4</v>
      </c>
      <c r="P10" s="874"/>
      <c r="Q10" s="874"/>
      <c r="R10" s="874"/>
      <c r="S10" s="874"/>
      <c r="T10" s="874"/>
      <c r="U10" s="919" t="s">
        <v>368</v>
      </c>
      <c r="V10" s="919"/>
      <c r="W10" s="919"/>
      <c r="X10" s="919"/>
      <c r="Y10" s="872">
        <v>44046</v>
      </c>
      <c r="Z10" s="872"/>
      <c r="AA10" s="872"/>
      <c r="AB10" s="872"/>
      <c r="AC10" s="872"/>
      <c r="AD10" s="873"/>
    </row>
    <row r="11" spans="1:30" ht="15.75" thickBot="1"/>
    <row r="12" spans="1:30" ht="20.100000000000001" customHeight="1" thickBot="1">
      <c r="A12" s="861" t="s">
        <v>393</v>
      </c>
      <c r="B12" s="862"/>
      <c r="C12" s="862"/>
      <c r="D12" s="862"/>
      <c r="E12" s="862"/>
      <c r="F12" s="862"/>
      <c r="G12" s="862"/>
      <c r="H12" s="862"/>
      <c r="I12" s="862"/>
      <c r="J12" s="862"/>
      <c r="K12" s="862"/>
      <c r="L12" s="862"/>
      <c r="M12" s="862"/>
      <c r="N12" s="862"/>
      <c r="O12" s="862"/>
      <c r="P12" s="862"/>
      <c r="Q12" s="862"/>
      <c r="R12" s="862"/>
      <c r="S12" s="862"/>
      <c r="T12" s="862"/>
      <c r="U12" s="862"/>
      <c r="V12" s="862"/>
      <c r="W12" s="862"/>
      <c r="X12" s="862"/>
      <c r="Y12" s="862"/>
      <c r="Z12" s="862"/>
      <c r="AA12" s="862"/>
      <c r="AB12" s="862"/>
      <c r="AC12" s="862"/>
      <c r="AD12" s="863"/>
    </row>
    <row r="13" spans="1:30" ht="20.100000000000001" customHeight="1">
      <c r="A13" s="875" t="s">
        <v>394</v>
      </c>
      <c r="B13" s="876"/>
      <c r="C13" s="876"/>
      <c r="D13" s="876"/>
      <c r="E13" s="876"/>
      <c r="F13" s="877"/>
      <c r="G13" s="878"/>
      <c r="H13" s="878"/>
      <c r="I13" s="878"/>
      <c r="J13" s="878"/>
      <c r="K13" s="878"/>
      <c r="L13" s="878"/>
      <c r="M13" s="878"/>
      <c r="N13" s="878"/>
      <c r="O13" s="879"/>
      <c r="P13" s="880" t="s">
        <v>2</v>
      </c>
      <c r="Q13" s="880"/>
      <c r="R13" s="880"/>
      <c r="S13" s="881">
        <f>Client</f>
        <v>0</v>
      </c>
      <c r="T13" s="881"/>
      <c r="U13" s="881"/>
      <c r="V13" s="881"/>
      <c r="W13" s="881"/>
      <c r="X13" s="881"/>
      <c r="Y13" s="881"/>
      <c r="Z13" s="881"/>
      <c r="AA13" s="881"/>
      <c r="AB13" s="881"/>
      <c r="AC13" s="881"/>
      <c r="AD13" s="882"/>
    </row>
    <row r="14" spans="1:30" ht="20.100000000000001" customHeight="1" thickBot="1">
      <c r="A14" s="869" t="s">
        <v>395</v>
      </c>
      <c r="B14" s="870"/>
      <c r="C14" s="870"/>
      <c r="D14" s="870"/>
      <c r="E14" s="870"/>
      <c r="F14" s="871">
        <v>44573</v>
      </c>
      <c r="G14" s="826"/>
      <c r="H14" s="826"/>
      <c r="I14" s="826"/>
      <c r="J14" s="826"/>
      <c r="K14" s="826"/>
      <c r="L14" s="826"/>
      <c r="M14" s="826"/>
      <c r="N14" s="826"/>
      <c r="O14" s="827"/>
      <c r="P14" s="883" t="s">
        <v>396</v>
      </c>
      <c r="Q14" s="883"/>
      <c r="R14" s="883"/>
      <c r="S14" s="884">
        <f>ChargéAF</f>
        <v>0</v>
      </c>
      <c r="T14" s="884"/>
      <c r="U14" s="884"/>
      <c r="V14" s="884"/>
      <c r="W14" s="884"/>
      <c r="X14" s="884"/>
      <c r="Y14" s="884"/>
      <c r="Z14" s="884"/>
      <c r="AA14" s="884"/>
      <c r="AB14" s="884"/>
      <c r="AC14" s="884"/>
      <c r="AD14" s="885"/>
    </row>
    <row r="15" spans="1:30" ht="20.100000000000001" customHeight="1" thickBot="1"/>
    <row r="16" spans="1:30" ht="18.75" thickBot="1">
      <c r="A16" s="861" t="s">
        <v>397</v>
      </c>
      <c r="B16" s="862"/>
      <c r="C16" s="862"/>
      <c r="D16" s="862"/>
      <c r="E16" s="862"/>
      <c r="F16" s="862"/>
      <c r="G16" s="862"/>
      <c r="H16" s="862"/>
      <c r="I16" s="862"/>
      <c r="J16" s="862"/>
      <c r="K16" s="862"/>
      <c r="L16" s="862"/>
      <c r="M16" s="862"/>
      <c r="N16" s="862"/>
      <c r="O16" s="862"/>
      <c r="P16" s="862"/>
      <c r="Q16" s="862"/>
      <c r="R16" s="862"/>
      <c r="S16" s="862"/>
      <c r="T16" s="862"/>
      <c r="U16" s="862"/>
      <c r="V16" s="862"/>
      <c r="W16" s="862"/>
      <c r="X16" s="862"/>
      <c r="Y16" s="862"/>
      <c r="Z16" s="862"/>
      <c r="AA16" s="862"/>
      <c r="AB16" s="862"/>
      <c r="AC16" s="862"/>
      <c r="AD16" s="863"/>
    </row>
    <row r="17" spans="1:37">
      <c r="A17" s="875" t="s">
        <v>398</v>
      </c>
      <c r="B17" s="876"/>
      <c r="C17" s="876"/>
      <c r="D17" s="876"/>
      <c r="E17" s="797"/>
      <c r="F17" s="893"/>
      <c r="G17" s="894"/>
      <c r="H17" s="894"/>
      <c r="I17" s="894"/>
      <c r="J17" s="894"/>
      <c r="K17" s="894"/>
      <c r="L17" s="894"/>
      <c r="M17" s="894"/>
      <c r="N17" s="894"/>
      <c r="O17" s="895"/>
      <c r="P17" s="892" t="s">
        <v>399</v>
      </c>
      <c r="Q17" s="880"/>
      <c r="R17" s="880"/>
      <c r="S17" s="881"/>
      <c r="T17" s="881"/>
      <c r="U17" s="881"/>
      <c r="V17" s="881"/>
      <c r="W17" s="881"/>
      <c r="X17" s="881"/>
      <c r="Y17" s="881"/>
      <c r="Z17" s="881"/>
      <c r="AA17" s="881"/>
      <c r="AB17" s="881"/>
      <c r="AC17" s="881"/>
      <c r="AD17" s="882"/>
    </row>
    <row r="18" spans="1:37" ht="50.1" customHeight="1">
      <c r="A18" s="864" t="s">
        <v>11</v>
      </c>
      <c r="B18" s="865"/>
      <c r="C18" s="865"/>
      <c r="D18" s="865"/>
      <c r="E18" s="865"/>
      <c r="F18" s="904" t="str">
        <f>IFERROR(VLOOKUP(F13,Information!U3:V8,2,FALSE),"")</f>
        <v/>
      </c>
      <c r="G18" s="905"/>
      <c r="H18" s="905"/>
      <c r="I18" s="905"/>
      <c r="J18" s="905"/>
      <c r="K18" s="905"/>
      <c r="L18" s="905"/>
      <c r="M18" s="905"/>
      <c r="N18" s="905"/>
      <c r="O18" s="905"/>
      <c r="P18" s="867"/>
      <c r="Q18" s="867"/>
      <c r="R18" s="867"/>
      <c r="S18" s="867"/>
      <c r="T18" s="867"/>
      <c r="U18" s="867"/>
      <c r="V18" s="867"/>
      <c r="W18" s="867"/>
      <c r="X18" s="867"/>
      <c r="Y18" s="867"/>
      <c r="Z18" s="867"/>
      <c r="AA18" s="867"/>
      <c r="AB18" s="867"/>
      <c r="AC18" s="867"/>
      <c r="AD18" s="868"/>
    </row>
    <row r="19" spans="1:37" ht="15.75" thickBot="1">
      <c r="A19" s="869" t="s">
        <v>400</v>
      </c>
      <c r="B19" s="870"/>
      <c r="C19" s="870"/>
      <c r="D19" s="870"/>
      <c r="E19" s="870"/>
      <c r="F19" s="871"/>
      <c r="G19" s="826"/>
      <c r="H19" s="826"/>
      <c r="I19" s="826"/>
      <c r="J19" s="826"/>
      <c r="K19" s="826"/>
      <c r="L19" s="826"/>
      <c r="M19" s="826"/>
      <c r="N19" s="826"/>
      <c r="O19" s="827"/>
      <c r="P19" s="883" t="s">
        <v>401</v>
      </c>
      <c r="Q19" s="883"/>
      <c r="R19" s="883"/>
      <c r="S19" s="884"/>
      <c r="T19" s="884"/>
      <c r="U19" s="884"/>
      <c r="V19" s="884"/>
      <c r="W19" s="884"/>
      <c r="X19" s="884"/>
      <c r="Y19" s="884"/>
      <c r="Z19" s="884"/>
      <c r="AA19" s="884"/>
      <c r="AB19" s="884"/>
      <c r="AC19" s="884"/>
      <c r="AD19" s="885"/>
    </row>
    <row r="20" spans="1:37" ht="15.75" thickBot="1"/>
    <row r="21" spans="1:37" ht="20.100000000000001" customHeight="1" thickBot="1">
      <c r="A21" s="861" t="s">
        <v>402</v>
      </c>
      <c r="B21" s="862"/>
      <c r="C21" s="862"/>
      <c r="D21" s="862"/>
      <c r="E21" s="862"/>
      <c r="F21" s="862"/>
      <c r="G21" s="862"/>
      <c r="H21" s="862"/>
      <c r="I21" s="862"/>
      <c r="J21" s="862"/>
      <c r="K21" s="862"/>
      <c r="L21" s="862"/>
      <c r="M21" s="862"/>
      <c r="N21" s="862"/>
      <c r="O21" s="862"/>
      <c r="P21" s="862"/>
      <c r="Q21" s="862"/>
      <c r="R21" s="862"/>
      <c r="S21" s="862"/>
      <c r="T21" s="862"/>
      <c r="U21" s="862"/>
      <c r="V21" s="862"/>
      <c r="W21" s="862"/>
      <c r="X21" s="862"/>
      <c r="Y21" s="862"/>
      <c r="Z21" s="862"/>
      <c r="AA21" s="862"/>
      <c r="AB21" s="862"/>
      <c r="AC21" s="862"/>
      <c r="AD21" s="863"/>
    </row>
    <row r="22" spans="1:37" ht="20.100000000000001" customHeight="1" thickBot="1">
      <c r="A22" s="875" t="s">
        <v>398</v>
      </c>
      <c r="B22" s="876"/>
      <c r="C22" s="876"/>
      <c r="D22" s="876"/>
      <c r="E22" s="876"/>
      <c r="F22" s="889"/>
      <c r="G22" s="890"/>
      <c r="H22" s="890"/>
      <c r="I22" s="890"/>
      <c r="J22" s="890"/>
      <c r="K22" s="890"/>
      <c r="L22" s="890"/>
      <c r="M22" s="890"/>
      <c r="N22" s="890"/>
      <c r="O22" s="891"/>
      <c r="P22" s="880" t="s">
        <v>399</v>
      </c>
      <c r="Q22" s="880"/>
      <c r="R22" s="880"/>
      <c r="S22" s="881"/>
      <c r="T22" s="881"/>
      <c r="U22" s="881"/>
      <c r="V22" s="881"/>
      <c r="W22" s="881"/>
      <c r="X22" s="881"/>
      <c r="Y22" s="881"/>
      <c r="Z22" s="881"/>
      <c r="AA22" s="881"/>
      <c r="AB22" s="881"/>
      <c r="AC22" s="881"/>
      <c r="AD22" s="882"/>
      <c r="AF22" s="886" t="s">
        <v>403</v>
      </c>
      <c r="AG22" s="887"/>
      <c r="AH22" s="887"/>
      <c r="AI22" s="887"/>
      <c r="AJ22" s="888"/>
      <c r="AK22" s="123" t="s">
        <v>404</v>
      </c>
    </row>
    <row r="23" spans="1:37" ht="50.1" customHeight="1">
      <c r="A23" s="864" t="s">
        <v>11</v>
      </c>
      <c r="B23" s="865"/>
      <c r="C23" s="865"/>
      <c r="D23" s="865"/>
      <c r="E23" s="865"/>
      <c r="F23" s="866" t="str">
        <f>IFERROR(VLOOKUP(AF22,Information!U3:V8,2,FALSE),Projet!R16&amp;CHAR(10)&amp;Projet!R17&amp;CHAR(10)&amp;Projet!R18&amp;CHAR(10)&amp;Projet!R19&amp;" "&amp;Projet!X19)</f>
        <v>ZI Pompelle
31 Rue du Val Clair
51100 Reims</v>
      </c>
      <c r="G23" s="867"/>
      <c r="H23" s="867"/>
      <c r="I23" s="867"/>
      <c r="J23" s="867"/>
      <c r="K23" s="867"/>
      <c r="L23" s="867"/>
      <c r="M23" s="867"/>
      <c r="N23" s="867"/>
      <c r="O23" s="867"/>
      <c r="P23" s="867"/>
      <c r="Q23" s="867"/>
      <c r="R23" s="867"/>
      <c r="S23" s="867"/>
      <c r="T23" s="867"/>
      <c r="U23" s="867"/>
      <c r="V23" s="867"/>
      <c r="W23" s="867"/>
      <c r="X23" s="867"/>
      <c r="Y23" s="867"/>
      <c r="Z23" s="867"/>
      <c r="AA23" s="867"/>
      <c r="AB23" s="867"/>
      <c r="AC23" s="867"/>
      <c r="AD23" s="868"/>
    </row>
    <row r="24" spans="1:37" ht="20.100000000000001" customHeight="1" thickBot="1">
      <c r="A24" s="869" t="s">
        <v>400</v>
      </c>
      <c r="B24" s="870"/>
      <c r="C24" s="870"/>
      <c r="D24" s="870"/>
      <c r="E24" s="870"/>
      <c r="F24" s="871"/>
      <c r="G24" s="826"/>
      <c r="H24" s="826"/>
      <c r="I24" s="826"/>
      <c r="J24" s="826"/>
      <c r="K24" s="826"/>
      <c r="L24" s="826"/>
      <c r="M24" s="826"/>
      <c r="N24" s="826"/>
      <c r="O24" s="827"/>
      <c r="P24" s="883" t="s">
        <v>401</v>
      </c>
      <c r="Q24" s="883"/>
      <c r="R24" s="883"/>
      <c r="S24" s="884"/>
      <c r="T24" s="884"/>
      <c r="U24" s="884"/>
      <c r="V24" s="884"/>
      <c r="W24" s="884"/>
      <c r="X24" s="884"/>
      <c r="Y24" s="884"/>
      <c r="Z24" s="884"/>
      <c r="AA24" s="884"/>
      <c r="AB24" s="884"/>
      <c r="AC24" s="884"/>
      <c r="AD24" s="885"/>
    </row>
    <row r="25" spans="1:37" ht="15.75" thickBot="1"/>
    <row r="26" spans="1:37" ht="20.100000000000001" customHeight="1" thickBot="1">
      <c r="A26" s="861" t="s">
        <v>405</v>
      </c>
      <c r="B26" s="862"/>
      <c r="C26" s="862"/>
      <c r="D26" s="862"/>
      <c r="E26" s="862"/>
      <c r="F26" s="862"/>
      <c r="G26" s="862"/>
      <c r="H26" s="862"/>
      <c r="I26" s="862"/>
      <c r="J26" s="862"/>
      <c r="K26" s="862"/>
      <c r="L26" s="862"/>
      <c r="M26" s="862"/>
      <c r="N26" s="862"/>
      <c r="O26" s="862"/>
      <c r="P26" s="862"/>
      <c r="Q26" s="862"/>
      <c r="R26" s="862"/>
      <c r="S26" s="862"/>
      <c r="T26" s="862"/>
      <c r="U26" s="862"/>
      <c r="V26" s="862"/>
      <c r="W26" s="862"/>
      <c r="X26" s="862"/>
      <c r="Y26" s="862"/>
      <c r="Z26" s="862"/>
      <c r="AA26" s="862"/>
      <c r="AB26" s="862"/>
      <c r="AC26" s="862"/>
      <c r="AD26" s="863"/>
    </row>
    <row r="27" spans="1:37">
      <c r="A27" s="896" t="s">
        <v>406</v>
      </c>
      <c r="B27" s="897"/>
      <c r="C27" s="897"/>
      <c r="D27" s="897"/>
      <c r="E27" s="897"/>
      <c r="F27" s="897"/>
      <c r="G27" s="897"/>
      <c r="H27" s="897"/>
      <c r="I27" s="897"/>
      <c r="J27" s="897"/>
      <c r="K27" s="897"/>
      <c r="L27" s="897"/>
      <c r="M27" s="897"/>
      <c r="N27" s="897"/>
      <c r="O27" s="898"/>
      <c r="P27" s="899" t="s">
        <v>407</v>
      </c>
      <c r="Q27" s="900"/>
      <c r="R27" s="900"/>
      <c r="S27" s="900"/>
      <c r="T27" s="900"/>
      <c r="U27" s="900"/>
      <c r="V27" s="900"/>
      <c r="W27" s="900"/>
      <c r="X27" s="900"/>
      <c r="Y27" s="900"/>
      <c r="Z27" s="892"/>
      <c r="AA27" s="901"/>
      <c r="AB27" s="902"/>
      <c r="AC27" s="902"/>
      <c r="AD27" s="903"/>
    </row>
    <row r="28" spans="1:37" ht="63.75" customHeight="1">
      <c r="A28" s="857" t="s">
        <v>408</v>
      </c>
      <c r="B28" s="858"/>
      <c r="C28" s="858"/>
      <c r="D28" s="858"/>
      <c r="E28" s="858"/>
      <c r="F28" s="858"/>
      <c r="G28" s="858"/>
      <c r="H28" s="858"/>
      <c r="I28" s="858"/>
      <c r="J28" s="858"/>
      <c r="K28" s="859"/>
      <c r="L28" s="859"/>
      <c r="M28" s="859"/>
      <c r="N28" s="859"/>
      <c r="O28" s="859"/>
      <c r="P28" s="859"/>
      <c r="Q28" s="859"/>
      <c r="R28" s="859"/>
      <c r="S28" s="859"/>
      <c r="T28" s="859"/>
      <c r="U28" s="859"/>
      <c r="V28" s="859"/>
      <c r="W28" s="859"/>
      <c r="X28" s="859"/>
      <c r="Y28" s="859"/>
      <c r="Z28" s="859"/>
      <c r="AA28" s="859"/>
      <c r="AB28" s="859"/>
      <c r="AC28" s="859"/>
      <c r="AD28" s="860"/>
    </row>
    <row r="29" spans="1:37" ht="27.75" customHeight="1">
      <c r="A29" s="911" t="s">
        <v>409</v>
      </c>
      <c r="B29" s="910"/>
      <c r="C29" s="910"/>
      <c r="D29" s="910"/>
      <c r="E29" s="910"/>
      <c r="F29" s="909" t="s">
        <v>410</v>
      </c>
      <c r="G29" s="909"/>
      <c r="H29" s="909"/>
      <c r="I29" s="909"/>
      <c r="J29" s="909"/>
      <c r="K29" s="909"/>
      <c r="L29" s="909"/>
      <c r="M29" s="909"/>
      <c r="N29" s="909"/>
      <c r="O29" s="909"/>
      <c r="P29" s="909"/>
      <c r="Q29" s="909"/>
      <c r="R29" s="910" t="s">
        <v>124</v>
      </c>
      <c r="S29" s="910"/>
      <c r="T29" s="910" t="s">
        <v>411</v>
      </c>
      <c r="U29" s="910"/>
      <c r="V29" s="910"/>
      <c r="W29" s="910"/>
      <c r="X29" s="910"/>
      <c r="Y29" s="910" t="s">
        <v>412</v>
      </c>
      <c r="Z29" s="910"/>
      <c r="AA29" s="910"/>
      <c r="AB29" s="910" t="s">
        <v>413</v>
      </c>
      <c r="AC29" s="910"/>
      <c r="AD29" s="912"/>
    </row>
    <row r="30" spans="1:37" ht="20.100000000000001" customHeight="1">
      <c r="A30" s="908"/>
      <c r="B30" s="906"/>
      <c r="C30" s="906"/>
      <c r="D30" s="906"/>
      <c r="E30" s="906"/>
      <c r="F30" s="906"/>
      <c r="G30" s="906"/>
      <c r="H30" s="906"/>
      <c r="I30" s="906"/>
      <c r="J30" s="906"/>
      <c r="K30" s="906"/>
      <c r="L30" s="906"/>
      <c r="M30" s="906"/>
      <c r="N30" s="906"/>
      <c r="O30" s="906"/>
      <c r="P30" s="906"/>
      <c r="Q30" s="906"/>
      <c r="R30" s="906"/>
      <c r="S30" s="906"/>
      <c r="T30" s="906"/>
      <c r="U30" s="906"/>
      <c r="V30" s="906"/>
      <c r="W30" s="906"/>
      <c r="X30" s="906"/>
      <c r="Y30" s="906"/>
      <c r="Z30" s="906"/>
      <c r="AA30" s="906"/>
      <c r="AB30" s="906"/>
      <c r="AC30" s="906"/>
      <c r="AD30" s="907"/>
    </row>
    <row r="31" spans="1:37" ht="20.100000000000001" customHeight="1">
      <c r="A31" s="908"/>
      <c r="B31" s="906"/>
      <c r="C31" s="906"/>
      <c r="D31" s="906"/>
      <c r="E31" s="906"/>
      <c r="F31" s="906"/>
      <c r="G31" s="906"/>
      <c r="H31" s="906"/>
      <c r="I31" s="906"/>
      <c r="J31" s="906"/>
      <c r="K31" s="906"/>
      <c r="L31" s="906"/>
      <c r="M31" s="906"/>
      <c r="N31" s="906"/>
      <c r="O31" s="906"/>
      <c r="P31" s="906"/>
      <c r="Q31" s="906"/>
      <c r="R31" s="906"/>
      <c r="S31" s="906"/>
      <c r="T31" s="906"/>
      <c r="U31" s="906"/>
      <c r="V31" s="906"/>
      <c r="W31" s="906"/>
      <c r="X31" s="906"/>
      <c r="Y31" s="906"/>
      <c r="Z31" s="906"/>
      <c r="AA31" s="906"/>
      <c r="AB31" s="906"/>
      <c r="AC31" s="906"/>
      <c r="AD31" s="907"/>
    </row>
    <row r="32" spans="1:37" ht="20.100000000000001" customHeight="1">
      <c r="A32" s="908"/>
      <c r="B32" s="906"/>
      <c r="C32" s="906"/>
      <c r="D32" s="906"/>
      <c r="E32" s="906"/>
      <c r="F32" s="906"/>
      <c r="G32" s="906"/>
      <c r="H32" s="906"/>
      <c r="I32" s="906"/>
      <c r="J32" s="906"/>
      <c r="K32" s="906"/>
      <c r="L32" s="906"/>
      <c r="M32" s="906"/>
      <c r="N32" s="906"/>
      <c r="O32" s="906"/>
      <c r="P32" s="906"/>
      <c r="Q32" s="906"/>
      <c r="R32" s="906"/>
      <c r="S32" s="906"/>
      <c r="T32" s="906"/>
      <c r="U32" s="906"/>
      <c r="V32" s="906"/>
      <c r="W32" s="906"/>
      <c r="X32" s="906"/>
      <c r="Y32" s="906"/>
      <c r="Z32" s="906"/>
      <c r="AA32" s="906"/>
      <c r="AB32" s="906"/>
      <c r="AC32" s="906"/>
      <c r="AD32" s="907"/>
    </row>
    <row r="33" spans="1:30" ht="20.100000000000001" customHeight="1">
      <c r="A33" s="908"/>
      <c r="B33" s="906"/>
      <c r="C33" s="906"/>
      <c r="D33" s="906"/>
      <c r="E33" s="906"/>
      <c r="F33" s="906"/>
      <c r="G33" s="906"/>
      <c r="H33" s="906"/>
      <c r="I33" s="906"/>
      <c r="J33" s="906"/>
      <c r="K33" s="906"/>
      <c r="L33" s="906"/>
      <c r="M33" s="906"/>
      <c r="N33" s="906"/>
      <c r="O33" s="906"/>
      <c r="P33" s="906"/>
      <c r="Q33" s="906"/>
      <c r="R33" s="906"/>
      <c r="S33" s="906"/>
      <c r="T33" s="906"/>
      <c r="U33" s="906"/>
      <c r="V33" s="906"/>
      <c r="W33" s="906"/>
      <c r="X33" s="906"/>
      <c r="Y33" s="906"/>
      <c r="Z33" s="906"/>
      <c r="AA33" s="906"/>
      <c r="AB33" s="906"/>
      <c r="AC33" s="906"/>
      <c r="AD33" s="907"/>
    </row>
    <row r="34" spans="1:30" ht="20.100000000000001" customHeight="1">
      <c r="A34" s="908"/>
      <c r="B34" s="906"/>
      <c r="C34" s="906"/>
      <c r="D34" s="906"/>
      <c r="E34" s="906"/>
      <c r="F34" s="906"/>
      <c r="G34" s="906"/>
      <c r="H34" s="906"/>
      <c r="I34" s="906"/>
      <c r="J34" s="906"/>
      <c r="K34" s="906"/>
      <c r="L34" s="906"/>
      <c r="M34" s="906"/>
      <c r="N34" s="906"/>
      <c r="O34" s="906"/>
      <c r="P34" s="906"/>
      <c r="Q34" s="906"/>
      <c r="R34" s="906"/>
      <c r="S34" s="906"/>
      <c r="T34" s="906"/>
      <c r="U34" s="906"/>
      <c r="V34" s="906"/>
      <c r="W34" s="906"/>
      <c r="X34" s="906"/>
      <c r="Y34" s="906"/>
      <c r="Z34" s="906"/>
      <c r="AA34" s="906"/>
      <c r="AB34" s="906"/>
      <c r="AC34" s="906"/>
      <c r="AD34" s="907"/>
    </row>
    <row r="35" spans="1:30" ht="20.100000000000001" customHeight="1" thickBot="1">
      <c r="A35" s="921"/>
      <c r="B35" s="922"/>
      <c r="C35" s="922"/>
      <c r="D35" s="922"/>
      <c r="E35" s="922"/>
      <c r="F35" s="922"/>
      <c r="G35" s="922"/>
      <c r="H35" s="922"/>
      <c r="I35" s="922"/>
      <c r="J35" s="922"/>
      <c r="K35" s="922"/>
      <c r="L35" s="922"/>
      <c r="M35" s="922"/>
      <c r="N35" s="922"/>
      <c r="O35" s="922"/>
      <c r="P35" s="922"/>
      <c r="Q35" s="922"/>
      <c r="R35" s="922"/>
      <c r="S35" s="922"/>
      <c r="T35" s="922"/>
      <c r="U35" s="922"/>
      <c r="V35" s="922"/>
      <c r="W35" s="922"/>
      <c r="X35" s="922"/>
      <c r="Y35" s="922"/>
      <c r="Z35" s="922"/>
      <c r="AA35" s="922"/>
      <c r="AB35" s="922"/>
      <c r="AC35" s="922"/>
      <c r="AD35" s="923"/>
    </row>
    <row r="36" spans="1:30" ht="15.75" thickBot="1"/>
    <row r="37" spans="1:30" ht="18">
      <c r="A37" s="861" t="s">
        <v>405</v>
      </c>
      <c r="B37" s="862"/>
      <c r="C37" s="862"/>
      <c r="D37" s="862"/>
      <c r="E37" s="862"/>
      <c r="F37" s="862"/>
      <c r="G37" s="862"/>
      <c r="H37" s="862"/>
      <c r="I37" s="862"/>
      <c r="J37" s="862"/>
      <c r="K37" s="862"/>
      <c r="L37" s="862"/>
      <c r="M37" s="862"/>
      <c r="N37" s="862"/>
      <c r="O37" s="862"/>
      <c r="P37" s="862"/>
      <c r="Q37" s="862"/>
      <c r="R37" s="862"/>
      <c r="S37" s="862"/>
      <c r="T37" s="862"/>
      <c r="U37" s="862"/>
      <c r="V37" s="862"/>
      <c r="W37" s="862"/>
      <c r="X37" s="862"/>
      <c r="Y37" s="862"/>
      <c r="Z37" s="862"/>
      <c r="AA37" s="862"/>
      <c r="AB37" s="862"/>
      <c r="AC37" s="862"/>
      <c r="AD37" s="863"/>
    </row>
    <row r="38" spans="1:30" ht="20.100000000000001" customHeight="1">
      <c r="A38" s="920" t="s">
        <v>414</v>
      </c>
      <c r="B38" s="920"/>
      <c r="C38" s="920"/>
      <c r="D38" s="920"/>
      <c r="E38" s="920"/>
      <c r="F38" s="920"/>
      <c r="G38" s="920"/>
      <c r="H38" s="906"/>
      <c r="I38" s="906"/>
      <c r="J38" s="906"/>
      <c r="K38" s="906"/>
      <c r="L38" s="906"/>
      <c r="M38" s="906"/>
      <c r="N38" s="906"/>
      <c r="O38" s="906"/>
      <c r="P38" s="906"/>
      <c r="Q38" s="906"/>
      <c r="R38" s="906"/>
      <c r="S38" s="906"/>
      <c r="T38" s="906"/>
      <c r="U38" s="906"/>
      <c r="V38" s="906"/>
      <c r="W38" s="906"/>
      <c r="X38" s="906"/>
      <c r="Y38" s="906"/>
      <c r="Z38" s="906"/>
      <c r="AA38" s="906"/>
      <c r="AB38" s="906"/>
      <c r="AC38" s="906"/>
      <c r="AD38" s="906"/>
    </row>
    <row r="39" spans="1:30" ht="20.100000000000001" customHeight="1">
      <c r="A39" s="920" t="s">
        <v>415</v>
      </c>
      <c r="B39" s="920"/>
      <c r="C39" s="920"/>
      <c r="D39" s="920"/>
      <c r="E39" s="920"/>
      <c r="F39" s="920"/>
      <c r="G39" s="920"/>
      <c r="H39" s="906"/>
      <c r="I39" s="906"/>
      <c r="J39" s="906"/>
      <c r="K39" s="906"/>
      <c r="L39" s="906"/>
      <c r="M39" s="906"/>
      <c r="N39" s="906"/>
      <c r="O39" s="906"/>
      <c r="P39" s="906"/>
      <c r="Q39" s="906"/>
      <c r="R39" s="906"/>
      <c r="S39" s="906"/>
      <c r="T39" s="906"/>
      <c r="U39" s="906"/>
      <c r="V39" s="906"/>
      <c r="W39" s="906"/>
      <c r="X39" s="906"/>
      <c r="Y39" s="906"/>
      <c r="Z39" s="906"/>
      <c r="AA39" s="906"/>
      <c r="AB39" s="906"/>
      <c r="AC39" s="906"/>
      <c r="AD39" s="906"/>
    </row>
    <row r="40" spans="1:30" ht="20.100000000000001" customHeight="1">
      <c r="A40" s="920" t="s">
        <v>416</v>
      </c>
      <c r="B40" s="920"/>
      <c r="C40" s="920"/>
      <c r="D40" s="920"/>
      <c r="E40" s="920"/>
      <c r="F40" s="920"/>
      <c r="G40" s="920"/>
      <c r="H40" s="906"/>
      <c r="I40" s="906"/>
      <c r="J40" s="906"/>
      <c r="K40" s="906"/>
      <c r="L40" s="906"/>
      <c r="M40" s="906"/>
      <c r="N40" s="906"/>
      <c r="O40" s="906"/>
      <c r="P40" s="906"/>
      <c r="Q40" s="906"/>
      <c r="R40" s="906"/>
      <c r="S40" s="906"/>
      <c r="T40" s="906"/>
      <c r="U40" s="906"/>
      <c r="V40" s="906"/>
      <c r="W40" s="906"/>
      <c r="X40" s="906"/>
      <c r="Y40" s="906"/>
      <c r="Z40" s="906"/>
      <c r="AA40" s="906"/>
      <c r="AB40" s="906"/>
      <c r="AC40" s="906"/>
      <c r="AD40" s="906"/>
    </row>
    <row r="41" spans="1:30" ht="15.75" thickBot="1"/>
    <row r="42" spans="1:30" ht="15.75" thickBot="1">
      <c r="A42" s="913" t="s">
        <v>417</v>
      </c>
      <c r="B42" s="914"/>
      <c r="C42" s="914"/>
      <c r="D42" s="914"/>
      <c r="E42" s="914"/>
      <c r="F42" s="914"/>
      <c r="G42" s="914"/>
      <c r="H42" s="915"/>
      <c r="I42" s="916"/>
      <c r="J42" s="916"/>
      <c r="K42" s="917"/>
    </row>
  </sheetData>
  <sheetProtection algorithmName="SHA-512" hashValue="6LYQ7Yd7zoSnFTrl7qCV7sq5QDarsDL0IYwFOTT9AHT2UYwUnJirMM2JXPjzKmxw9n2m1v6wJUecykkeNAmdMA==" saltValue="KV8FQEsSCTLiOcyQPag/jg==" spinCount="100000" sheet="1" objects="1" scenarios="1"/>
  <dataConsolidate/>
  <mergeCells count="113">
    <mergeCell ref="A42:G42"/>
    <mergeCell ref="H42:K42"/>
    <mergeCell ref="A10:D10"/>
    <mergeCell ref="K10:N10"/>
    <mergeCell ref="U10:X10"/>
    <mergeCell ref="A37:AD37"/>
    <mergeCell ref="A38:G38"/>
    <mergeCell ref="A39:G39"/>
    <mergeCell ref="A40:G40"/>
    <mergeCell ref="H38:AD38"/>
    <mergeCell ref="H39:AD39"/>
    <mergeCell ref="H40:AD40"/>
    <mergeCell ref="A35:E35"/>
    <mergeCell ref="F35:Q35"/>
    <mergeCell ref="R35:S35"/>
    <mergeCell ref="T35:X35"/>
    <mergeCell ref="Y35:AA35"/>
    <mergeCell ref="AB35:AD35"/>
    <mergeCell ref="A34:E34"/>
    <mergeCell ref="F34:Q34"/>
    <mergeCell ref="R34:S34"/>
    <mergeCell ref="T34:X34"/>
    <mergeCell ref="Y34:AA34"/>
    <mergeCell ref="AB34:AD34"/>
    <mergeCell ref="A33:E33"/>
    <mergeCell ref="F33:Q33"/>
    <mergeCell ref="R33:S33"/>
    <mergeCell ref="T33:X33"/>
    <mergeCell ref="Y33:AA33"/>
    <mergeCell ref="AB33:AD33"/>
    <mergeCell ref="A32:E32"/>
    <mergeCell ref="F32:Q32"/>
    <mergeCell ref="R32:S32"/>
    <mergeCell ref="T32:X32"/>
    <mergeCell ref="Y32:AA32"/>
    <mergeCell ref="AB32:AD32"/>
    <mergeCell ref="Y30:AA30"/>
    <mergeCell ref="AB30:AD30"/>
    <mergeCell ref="A31:E31"/>
    <mergeCell ref="F31:Q31"/>
    <mergeCell ref="R31:S31"/>
    <mergeCell ref="T31:X31"/>
    <mergeCell ref="Y31:AA31"/>
    <mergeCell ref="AB31:AD31"/>
    <mergeCell ref="F29:Q29"/>
    <mergeCell ref="A30:E30"/>
    <mergeCell ref="F30:Q30"/>
    <mergeCell ref="R29:S29"/>
    <mergeCell ref="T29:X29"/>
    <mergeCell ref="R30:S30"/>
    <mergeCell ref="T30:X30"/>
    <mergeCell ref="A29:E29"/>
    <mergeCell ref="AB29:AD29"/>
    <mergeCell ref="Y29:AA29"/>
    <mergeCell ref="P24:R24"/>
    <mergeCell ref="S24:AD24"/>
    <mergeCell ref="A27:O27"/>
    <mergeCell ref="P27:Z27"/>
    <mergeCell ref="AA27:AD27"/>
    <mergeCell ref="A18:E18"/>
    <mergeCell ref="F18:AD18"/>
    <mergeCell ref="A21:AD21"/>
    <mergeCell ref="A22:E22"/>
    <mergeCell ref="P22:R22"/>
    <mergeCell ref="S22:AD22"/>
    <mergeCell ref="AF22:AJ22"/>
    <mergeCell ref="F22:O22"/>
    <mergeCell ref="A17:E17"/>
    <mergeCell ref="P17:R17"/>
    <mergeCell ref="S17:AD17"/>
    <mergeCell ref="A19:E19"/>
    <mergeCell ref="F19:O19"/>
    <mergeCell ref="P19:R19"/>
    <mergeCell ref="S19:AD19"/>
    <mergeCell ref="F17:O17"/>
    <mergeCell ref="A28:J28"/>
    <mergeCell ref="K28:AD28"/>
    <mergeCell ref="A26:AD26"/>
    <mergeCell ref="A23:E23"/>
    <mergeCell ref="F23:AD23"/>
    <mergeCell ref="A24:E24"/>
    <mergeCell ref="F24:O24"/>
    <mergeCell ref="A9:F9"/>
    <mergeCell ref="G9:O9"/>
    <mergeCell ref="P9:T9"/>
    <mergeCell ref="U9:AD9"/>
    <mergeCell ref="A12:AD12"/>
    <mergeCell ref="Y10:AD10"/>
    <mergeCell ref="E10:J10"/>
    <mergeCell ref="O10:T10"/>
    <mergeCell ref="A16:AD16"/>
    <mergeCell ref="A13:E13"/>
    <mergeCell ref="F13:O13"/>
    <mergeCell ref="F14:O14"/>
    <mergeCell ref="P13:R13"/>
    <mergeCell ref="S13:AD13"/>
    <mergeCell ref="P14:R14"/>
    <mergeCell ref="S14:AD14"/>
    <mergeCell ref="A14:E14"/>
    <mergeCell ref="A7:F7"/>
    <mergeCell ref="G7:O7"/>
    <mergeCell ref="P7:T7"/>
    <mergeCell ref="U7:AD7"/>
    <mergeCell ref="A8:F8"/>
    <mergeCell ref="G8:O8"/>
    <mergeCell ref="P8:T8"/>
    <mergeCell ref="U8:AD8"/>
    <mergeCell ref="P1:AD4"/>
    <mergeCell ref="A5:O6"/>
    <mergeCell ref="P5:T5"/>
    <mergeCell ref="U5:AD5"/>
    <mergeCell ref="P6:T6"/>
    <mergeCell ref="U6:AD6"/>
  </mergeCells>
  <dataValidations count="3">
    <dataValidation type="list" allowBlank="1" sqref="F13:O13 AF22" xr:uid="{0BCDB762-6585-4D61-9525-069501FFEF3F}">
      <formula1>L_Agence</formula1>
    </dataValidation>
    <dataValidation type="list" allowBlank="1" sqref="F18:AD18 F23:AD23" xr:uid="{2F74477B-E08F-48F6-BC59-6017617047A1}">
      <formula1>L_Adresses</formula1>
    </dataValidation>
    <dataValidation type="list" allowBlank="1" showInputMessage="1" showErrorMessage="1" sqref="AA27:AD27 H42:K42" xr:uid="{5C7A75D2-81A1-4872-A56F-98F6EADCA384}">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99" r:id="rId4" name="Button 23">
              <controlPr defaultSize="0" print="0" autoFill="0" autoPict="0" macro="[0]!RemiseFormule">
                <anchor moveWithCells="1" sizeWithCells="1">
                  <from>
                    <xdr:col>37</xdr:col>
                    <xdr:colOff>571500</xdr:colOff>
                    <xdr:row>17</xdr:row>
                    <xdr:rowOff>95250</xdr:rowOff>
                  </from>
                  <to>
                    <xdr:col>40</xdr:col>
                    <xdr:colOff>466725</xdr:colOff>
                    <xdr:row>19</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9B6DA-86E0-4270-B4A8-828062DF713F}">
  <sheetPr codeName="Feuil19">
    <tabColor theme="8" tint="0.59999389629810485"/>
    <pageSetUpPr fitToPage="1"/>
  </sheetPr>
  <dimension ref="A1:AD37"/>
  <sheetViews>
    <sheetView view="pageBreakPreview" zoomScaleNormal="100" zoomScaleSheetLayoutView="100" workbookViewId="0">
      <selection activeCell="AM7" sqref="AM7"/>
    </sheetView>
  </sheetViews>
  <sheetFormatPr baseColWidth="10" defaultColWidth="11.42578125" defaultRowHeight="15"/>
  <cols>
    <col min="1" max="38" width="3.28515625" customWidth="1"/>
  </cols>
  <sheetData>
    <row r="1" spans="1:30" ht="14.1" customHeight="1">
      <c r="P1" s="357" t="s">
        <v>389</v>
      </c>
      <c r="Q1" s="357"/>
      <c r="R1" s="357"/>
      <c r="S1" s="357"/>
      <c r="T1" s="357"/>
      <c r="U1" s="357"/>
      <c r="V1" s="357"/>
      <c r="W1" s="357"/>
      <c r="X1" s="357"/>
      <c r="Y1" s="357"/>
      <c r="Z1" s="357"/>
      <c r="AA1" s="357"/>
      <c r="AB1" s="357"/>
      <c r="AC1" s="357"/>
      <c r="AD1" s="357"/>
    </row>
    <row r="2" spans="1:30" ht="14.1" customHeight="1">
      <c r="P2" s="358"/>
      <c r="Q2" s="358"/>
      <c r="R2" s="358"/>
      <c r="S2" s="358"/>
      <c r="T2" s="358"/>
      <c r="U2" s="358"/>
      <c r="V2" s="358"/>
      <c r="W2" s="358"/>
      <c r="X2" s="358"/>
      <c r="Y2" s="358"/>
      <c r="Z2" s="358"/>
      <c r="AA2" s="358"/>
      <c r="AB2" s="358"/>
      <c r="AC2" s="358"/>
      <c r="AD2" s="358"/>
    </row>
    <row r="3" spans="1:30" ht="14.1" customHeight="1">
      <c r="P3" s="358"/>
      <c r="Q3" s="358"/>
      <c r="R3" s="358"/>
      <c r="S3" s="358"/>
      <c r="T3" s="358"/>
      <c r="U3" s="358"/>
      <c r="V3" s="358"/>
      <c r="W3" s="358"/>
      <c r="X3" s="358"/>
      <c r="Y3" s="358"/>
      <c r="Z3" s="358"/>
      <c r="AA3" s="358"/>
      <c r="AB3" s="358"/>
      <c r="AC3" s="358"/>
      <c r="AD3" s="358"/>
    </row>
    <row r="4" spans="1:30" ht="14.1" customHeight="1" thickBot="1">
      <c r="P4" s="359"/>
      <c r="Q4" s="359"/>
      <c r="R4" s="359"/>
      <c r="S4" s="359"/>
      <c r="T4" s="359"/>
      <c r="U4" s="359"/>
      <c r="V4" s="359"/>
      <c r="W4" s="359"/>
      <c r="X4" s="359"/>
      <c r="Y4" s="359"/>
      <c r="Z4" s="359"/>
      <c r="AA4" s="359"/>
      <c r="AB4" s="359"/>
      <c r="AC4" s="359"/>
      <c r="AD4" s="359"/>
    </row>
    <row r="5" spans="1:30" ht="14.1" customHeight="1">
      <c r="A5" s="360" t="s">
        <v>1</v>
      </c>
      <c r="B5" s="361"/>
      <c r="C5" s="361"/>
      <c r="D5" s="361"/>
      <c r="E5" s="361"/>
      <c r="F5" s="361"/>
      <c r="G5" s="361"/>
      <c r="H5" s="361"/>
      <c r="I5" s="361"/>
      <c r="J5" s="361"/>
      <c r="K5" s="361"/>
      <c r="L5" s="361"/>
      <c r="M5" s="361"/>
      <c r="N5" s="361"/>
      <c r="O5" s="362"/>
      <c r="P5" s="275" t="s">
        <v>2</v>
      </c>
      <c r="Q5" s="276"/>
      <c r="R5" s="276"/>
      <c r="S5" s="276"/>
      <c r="T5" s="277"/>
      <c r="U5" s="634">
        <f>Client</f>
        <v>0</v>
      </c>
      <c r="V5" s="635"/>
      <c r="W5" s="635"/>
      <c r="X5" s="635"/>
      <c r="Y5" s="635"/>
      <c r="Z5" s="635"/>
      <c r="AA5" s="635"/>
      <c r="AB5" s="635"/>
      <c r="AC5" s="635"/>
      <c r="AD5" s="636"/>
    </row>
    <row r="6" spans="1:30" ht="14.1" customHeight="1" thickBot="1">
      <c r="A6" s="363"/>
      <c r="B6" s="364"/>
      <c r="C6" s="364"/>
      <c r="D6" s="364"/>
      <c r="E6" s="364"/>
      <c r="F6" s="364"/>
      <c r="G6" s="364"/>
      <c r="H6" s="364"/>
      <c r="I6" s="364"/>
      <c r="J6" s="364"/>
      <c r="K6" s="364"/>
      <c r="L6" s="364"/>
      <c r="M6" s="364"/>
      <c r="N6" s="364"/>
      <c r="O6" s="365"/>
      <c r="P6" s="151" t="s">
        <v>3</v>
      </c>
      <c r="Q6" s="152"/>
      <c r="R6" s="152"/>
      <c r="S6" s="152"/>
      <c r="T6" s="153"/>
      <c r="U6" s="287">
        <f>Num_Devis</f>
        <v>0</v>
      </c>
      <c r="V6" s="632"/>
      <c r="W6" s="632"/>
      <c r="X6" s="632"/>
      <c r="Y6" s="632"/>
      <c r="Z6" s="632"/>
      <c r="AA6" s="632"/>
      <c r="AB6" s="632"/>
      <c r="AC6" s="632"/>
      <c r="AD6" s="633"/>
    </row>
    <row r="7" spans="1:30" ht="27.95" customHeight="1">
      <c r="A7" s="372" t="s">
        <v>4</v>
      </c>
      <c r="B7" s="373"/>
      <c r="C7" s="373"/>
      <c r="D7" s="373"/>
      <c r="E7" s="373"/>
      <c r="F7" s="374"/>
      <c r="G7" s="509">
        <f>Commercial</f>
        <v>0</v>
      </c>
      <c r="H7" s="509"/>
      <c r="I7" s="509"/>
      <c r="J7" s="509"/>
      <c r="K7" s="509"/>
      <c r="L7" s="509"/>
      <c r="M7" s="509"/>
      <c r="N7" s="509"/>
      <c r="O7" s="510"/>
      <c r="P7" s="149" t="s">
        <v>5</v>
      </c>
      <c r="Q7" s="150"/>
      <c r="R7" s="150"/>
      <c r="S7" s="150"/>
      <c r="T7" s="207"/>
      <c r="U7" s="287">
        <f>Code_Client_Divalto</f>
        <v>0</v>
      </c>
      <c r="V7" s="632"/>
      <c r="W7" s="632"/>
      <c r="X7" s="632"/>
      <c r="Y7" s="632"/>
      <c r="Z7" s="632"/>
      <c r="AA7" s="632"/>
      <c r="AB7" s="632"/>
      <c r="AC7" s="632"/>
      <c r="AD7" s="633"/>
    </row>
    <row r="8" spans="1:30"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0"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0" ht="15.75" thickBot="1"/>
    <row r="11" spans="1:30" ht="20.100000000000001" customHeight="1">
      <c r="A11" s="861" t="s">
        <v>402</v>
      </c>
      <c r="B11" s="862"/>
      <c r="C11" s="862"/>
      <c r="D11" s="862"/>
      <c r="E11" s="862"/>
      <c r="F11" s="862"/>
      <c r="G11" s="862"/>
      <c r="H11" s="862"/>
      <c r="I11" s="862"/>
      <c r="J11" s="862"/>
      <c r="K11" s="862"/>
      <c r="L11" s="862"/>
      <c r="M11" s="862"/>
      <c r="N11" s="862"/>
      <c r="O11" s="862"/>
      <c r="P11" s="862"/>
      <c r="Q11" s="862"/>
      <c r="R11" s="862"/>
      <c r="S11" s="862"/>
      <c r="T11" s="862"/>
      <c r="U11" s="862"/>
      <c r="V11" s="862"/>
      <c r="W11" s="862"/>
      <c r="X11" s="862"/>
      <c r="Y11" s="862"/>
      <c r="Z11" s="862"/>
      <c r="AA11" s="862"/>
      <c r="AB11" s="862"/>
      <c r="AC11" s="862"/>
      <c r="AD11" s="863"/>
    </row>
    <row r="12" spans="1:30" ht="50.1" customHeight="1">
      <c r="A12" s="864" t="s">
        <v>11</v>
      </c>
      <c r="B12" s="865"/>
      <c r="C12" s="865"/>
      <c r="D12" s="865"/>
      <c r="E12" s="865"/>
      <c r="F12" s="866" t="str">
        <f>IFERROR(VLOOKUP(#REF!,Information!U2:V7,2,FALSE),Projet!R16&amp;CHAR(10)&amp;Projet!R17&amp;CHAR(10)&amp;Projet!R18&amp;CHAR(10)&amp;Projet!R19&amp;" "&amp;Projet!X19)</f>
        <v xml:space="preserve">
 </v>
      </c>
      <c r="G12" s="867"/>
      <c r="H12" s="867"/>
      <c r="I12" s="867"/>
      <c r="J12" s="867"/>
      <c r="K12" s="867"/>
      <c r="L12" s="867"/>
      <c r="M12" s="867"/>
      <c r="N12" s="867"/>
      <c r="O12" s="867"/>
      <c r="P12" s="867"/>
      <c r="Q12" s="867"/>
      <c r="R12" s="867"/>
      <c r="S12" s="867"/>
      <c r="T12" s="867"/>
      <c r="U12" s="867"/>
      <c r="V12" s="867"/>
      <c r="W12" s="867"/>
      <c r="X12" s="867"/>
      <c r="Y12" s="867"/>
      <c r="Z12" s="867"/>
      <c r="AA12" s="867"/>
      <c r="AB12" s="867"/>
      <c r="AC12" s="867"/>
      <c r="AD12" s="868"/>
    </row>
    <row r="13" spans="1:30" ht="50.1" customHeight="1">
      <c r="A13" s="924" t="s">
        <v>418</v>
      </c>
      <c r="B13" s="925"/>
      <c r="C13" s="925"/>
      <c r="D13" s="925"/>
      <c r="E13" s="925"/>
      <c r="F13" s="866"/>
      <c r="G13" s="867"/>
      <c r="H13" s="867"/>
      <c r="I13" s="867"/>
      <c r="J13" s="867"/>
      <c r="K13" s="867"/>
      <c r="L13" s="867"/>
      <c r="M13" s="867"/>
      <c r="N13" s="867"/>
      <c r="O13" s="867"/>
      <c r="P13" s="867"/>
      <c r="Q13" s="867"/>
      <c r="R13" s="867"/>
      <c r="S13" s="867"/>
      <c r="T13" s="867"/>
      <c r="U13" s="867"/>
      <c r="V13" s="867"/>
      <c r="W13" s="867"/>
      <c r="X13" s="867"/>
      <c r="Y13" s="867"/>
      <c r="Z13" s="867"/>
      <c r="AA13" s="867"/>
      <c r="AB13" s="867"/>
      <c r="AC13" s="867"/>
      <c r="AD13" s="868"/>
    </row>
    <row r="14" spans="1:30" ht="20.100000000000001" customHeight="1" thickBot="1">
      <c r="A14" s="869" t="s">
        <v>400</v>
      </c>
      <c r="B14" s="870"/>
      <c r="C14" s="870"/>
      <c r="D14" s="870"/>
      <c r="E14" s="870"/>
      <c r="F14" s="825">
        <f>Interlocuteur</f>
        <v>0</v>
      </c>
      <c r="G14" s="826"/>
      <c r="H14" s="826"/>
      <c r="I14" s="826"/>
      <c r="J14" s="826"/>
      <c r="K14" s="826"/>
      <c r="L14" s="826"/>
      <c r="M14" s="826"/>
      <c r="N14" s="826"/>
      <c r="O14" s="827"/>
      <c r="P14" s="883" t="s">
        <v>401</v>
      </c>
      <c r="Q14" s="883"/>
      <c r="R14" s="883"/>
      <c r="S14" s="884">
        <f>Projet!F13</f>
        <v>0</v>
      </c>
      <c r="T14" s="884"/>
      <c r="U14" s="884"/>
      <c r="V14" s="884"/>
      <c r="W14" s="884"/>
      <c r="X14" s="884"/>
      <c r="Y14" s="884"/>
      <c r="Z14" s="884"/>
      <c r="AA14" s="884"/>
      <c r="AB14" s="884"/>
      <c r="AC14" s="884"/>
      <c r="AD14" s="885"/>
    </row>
    <row r="15" spans="1:30" ht="15.75" thickBot="1"/>
    <row r="16" spans="1:30" ht="20.100000000000001" customHeight="1">
      <c r="A16" s="861" t="s">
        <v>405</v>
      </c>
      <c r="B16" s="862"/>
      <c r="C16" s="862"/>
      <c r="D16" s="862"/>
      <c r="E16" s="862"/>
      <c r="F16" s="862"/>
      <c r="G16" s="862"/>
      <c r="H16" s="862"/>
      <c r="I16" s="862"/>
      <c r="J16" s="862"/>
      <c r="K16" s="862"/>
      <c r="L16" s="862"/>
      <c r="M16" s="862"/>
      <c r="N16" s="862"/>
      <c r="O16" s="862"/>
      <c r="P16" s="862"/>
      <c r="Q16" s="862"/>
      <c r="R16" s="862"/>
      <c r="S16" s="862"/>
      <c r="T16" s="862"/>
      <c r="U16" s="862"/>
      <c r="V16" s="862"/>
      <c r="W16" s="862"/>
      <c r="X16" s="862"/>
      <c r="Y16" s="862"/>
      <c r="Z16" s="862"/>
      <c r="AA16" s="862"/>
      <c r="AB16" s="862"/>
      <c r="AC16" s="862"/>
      <c r="AD16" s="863"/>
    </row>
    <row r="17" spans="1:30" ht="63.75" customHeight="1">
      <c r="A17" s="857" t="s">
        <v>419</v>
      </c>
      <c r="B17" s="858"/>
      <c r="C17" s="858"/>
      <c r="D17" s="858"/>
      <c r="E17" s="858"/>
      <c r="F17" s="858"/>
      <c r="G17" s="858"/>
      <c r="H17" s="858"/>
      <c r="I17" s="858"/>
      <c r="J17" s="858"/>
      <c r="K17" s="859"/>
      <c r="L17" s="859"/>
      <c r="M17" s="859"/>
      <c r="N17" s="859"/>
      <c r="O17" s="859"/>
      <c r="P17" s="859"/>
      <c r="Q17" s="859"/>
      <c r="R17" s="859"/>
      <c r="S17" s="859"/>
      <c r="T17" s="859"/>
      <c r="U17" s="859"/>
      <c r="V17" s="859"/>
      <c r="W17" s="859"/>
      <c r="X17" s="859"/>
      <c r="Y17" s="859"/>
      <c r="Z17" s="859"/>
      <c r="AA17" s="859"/>
      <c r="AB17" s="859"/>
      <c r="AC17" s="859"/>
      <c r="AD17" s="860"/>
    </row>
    <row r="18" spans="1:30" ht="27.75" customHeight="1">
      <c r="A18" s="911" t="s">
        <v>409</v>
      </c>
      <c r="B18" s="910"/>
      <c r="C18" s="910"/>
      <c r="D18" s="910"/>
      <c r="E18" s="910"/>
      <c r="F18" s="909" t="s">
        <v>410</v>
      </c>
      <c r="G18" s="909"/>
      <c r="H18" s="909"/>
      <c r="I18" s="909"/>
      <c r="J18" s="909"/>
      <c r="K18" s="909"/>
      <c r="L18" s="909"/>
      <c r="M18" s="909"/>
      <c r="N18" s="909"/>
      <c r="O18" s="909"/>
      <c r="P18" s="909"/>
      <c r="Q18" s="909"/>
      <c r="R18" s="910" t="s">
        <v>124</v>
      </c>
      <c r="S18" s="910"/>
      <c r="T18" s="910" t="s">
        <v>411</v>
      </c>
      <c r="U18" s="910"/>
      <c r="V18" s="910"/>
      <c r="W18" s="910"/>
      <c r="X18" s="910"/>
      <c r="Y18" s="910" t="s">
        <v>412</v>
      </c>
      <c r="Z18" s="910"/>
      <c r="AA18" s="910"/>
      <c r="AB18" s="910" t="s">
        <v>420</v>
      </c>
      <c r="AC18" s="910"/>
      <c r="AD18" s="912"/>
    </row>
    <row r="19" spans="1:30" ht="20.100000000000001" customHeight="1">
      <c r="A19" s="908"/>
      <c r="B19" s="906"/>
      <c r="C19" s="906"/>
      <c r="D19" s="906"/>
      <c r="E19" s="906"/>
      <c r="F19" s="906"/>
      <c r="G19" s="906"/>
      <c r="H19" s="906"/>
      <c r="I19" s="906"/>
      <c r="J19" s="906"/>
      <c r="K19" s="906"/>
      <c r="L19" s="906"/>
      <c r="M19" s="906"/>
      <c r="N19" s="906"/>
      <c r="O19" s="906"/>
      <c r="P19" s="906"/>
      <c r="Q19" s="906"/>
      <c r="R19" s="906"/>
      <c r="S19" s="906"/>
      <c r="T19" s="906"/>
      <c r="U19" s="906"/>
      <c r="V19" s="906"/>
      <c r="W19" s="906"/>
      <c r="X19" s="906"/>
      <c r="Y19" s="906"/>
      <c r="Z19" s="906"/>
      <c r="AA19" s="906"/>
      <c r="AB19" s="906"/>
      <c r="AC19" s="906"/>
      <c r="AD19" s="907"/>
    </row>
    <row r="20" spans="1:30" ht="20.100000000000001" customHeight="1">
      <c r="A20" s="908"/>
      <c r="B20" s="906"/>
      <c r="C20" s="906"/>
      <c r="D20" s="906"/>
      <c r="E20" s="906"/>
      <c r="F20" s="906"/>
      <c r="G20" s="906"/>
      <c r="H20" s="906"/>
      <c r="I20" s="906"/>
      <c r="J20" s="906"/>
      <c r="K20" s="906"/>
      <c r="L20" s="906"/>
      <c r="M20" s="906"/>
      <c r="N20" s="906"/>
      <c r="O20" s="906"/>
      <c r="P20" s="906"/>
      <c r="Q20" s="906"/>
      <c r="R20" s="906"/>
      <c r="S20" s="906"/>
      <c r="T20" s="906"/>
      <c r="U20" s="906"/>
      <c r="V20" s="906"/>
      <c r="W20" s="906"/>
      <c r="X20" s="906"/>
      <c r="Y20" s="906"/>
      <c r="Z20" s="906"/>
      <c r="AA20" s="906"/>
      <c r="AB20" s="906"/>
      <c r="AC20" s="906"/>
      <c r="AD20" s="907"/>
    </row>
    <row r="21" spans="1:30" ht="20.100000000000001" customHeight="1">
      <c r="A21" s="908"/>
      <c r="B21" s="906"/>
      <c r="C21" s="906"/>
      <c r="D21" s="906"/>
      <c r="E21" s="906"/>
      <c r="F21" s="906"/>
      <c r="G21" s="906"/>
      <c r="H21" s="906"/>
      <c r="I21" s="906"/>
      <c r="J21" s="906"/>
      <c r="K21" s="906"/>
      <c r="L21" s="906"/>
      <c r="M21" s="906"/>
      <c r="N21" s="906"/>
      <c r="O21" s="906"/>
      <c r="P21" s="906"/>
      <c r="Q21" s="906"/>
      <c r="R21" s="906"/>
      <c r="S21" s="906"/>
      <c r="T21" s="906"/>
      <c r="U21" s="906"/>
      <c r="V21" s="906"/>
      <c r="W21" s="906"/>
      <c r="X21" s="906"/>
      <c r="Y21" s="906"/>
      <c r="Z21" s="906"/>
      <c r="AA21" s="906"/>
      <c r="AB21" s="906"/>
      <c r="AC21" s="906"/>
      <c r="AD21" s="907"/>
    </row>
    <row r="22" spans="1:30" ht="20.100000000000001" customHeight="1">
      <c r="A22" s="908"/>
      <c r="B22" s="906"/>
      <c r="C22" s="906"/>
      <c r="D22" s="906"/>
      <c r="E22" s="906"/>
      <c r="F22" s="906"/>
      <c r="G22" s="906"/>
      <c r="H22" s="906"/>
      <c r="I22" s="906"/>
      <c r="J22" s="906"/>
      <c r="K22" s="906"/>
      <c r="L22" s="906"/>
      <c r="M22" s="906"/>
      <c r="N22" s="906"/>
      <c r="O22" s="906"/>
      <c r="P22" s="906"/>
      <c r="Q22" s="906"/>
      <c r="R22" s="906"/>
      <c r="S22" s="906"/>
      <c r="T22" s="906"/>
      <c r="U22" s="906"/>
      <c r="V22" s="906"/>
      <c r="W22" s="906"/>
      <c r="X22" s="906"/>
      <c r="Y22" s="906"/>
      <c r="Z22" s="906"/>
      <c r="AA22" s="906"/>
      <c r="AB22" s="906"/>
      <c r="AC22" s="906"/>
      <c r="AD22" s="907"/>
    </row>
    <row r="23" spans="1:30" ht="20.100000000000001" customHeight="1">
      <c r="A23" s="908"/>
      <c r="B23" s="906"/>
      <c r="C23" s="906"/>
      <c r="D23" s="906"/>
      <c r="E23" s="906"/>
      <c r="F23" s="906"/>
      <c r="G23" s="906"/>
      <c r="H23" s="906"/>
      <c r="I23" s="906"/>
      <c r="J23" s="906"/>
      <c r="K23" s="906"/>
      <c r="L23" s="906"/>
      <c r="M23" s="906"/>
      <c r="N23" s="906"/>
      <c r="O23" s="906"/>
      <c r="P23" s="906"/>
      <c r="Q23" s="906"/>
      <c r="R23" s="906"/>
      <c r="S23" s="906"/>
      <c r="T23" s="906"/>
      <c r="U23" s="906"/>
      <c r="V23" s="906"/>
      <c r="W23" s="906"/>
      <c r="X23" s="906"/>
      <c r="Y23" s="906"/>
      <c r="Z23" s="906"/>
      <c r="AA23" s="906"/>
      <c r="AB23" s="906"/>
      <c r="AC23" s="906"/>
      <c r="AD23" s="907"/>
    </row>
    <row r="24" spans="1:30" ht="20.100000000000001" customHeight="1" thickBot="1">
      <c r="A24" s="921"/>
      <c r="B24" s="922"/>
      <c r="C24" s="922"/>
      <c r="D24" s="922"/>
      <c r="E24" s="922"/>
      <c r="F24" s="922"/>
      <c r="G24" s="922"/>
      <c r="H24" s="922"/>
      <c r="I24" s="922"/>
      <c r="J24" s="922"/>
      <c r="K24" s="922"/>
      <c r="L24" s="922"/>
      <c r="M24" s="922"/>
      <c r="N24" s="922"/>
      <c r="O24" s="922"/>
      <c r="P24" s="922"/>
      <c r="Q24" s="922"/>
      <c r="R24" s="922"/>
      <c r="S24" s="922"/>
      <c r="T24" s="922"/>
      <c r="U24" s="922"/>
      <c r="V24" s="922"/>
      <c r="W24" s="922"/>
      <c r="X24" s="922"/>
      <c r="Y24" s="922"/>
      <c r="Z24" s="922"/>
      <c r="AA24" s="922"/>
      <c r="AB24" s="922"/>
      <c r="AC24" s="922"/>
      <c r="AD24" s="923"/>
    </row>
    <row r="25" spans="1:30" ht="15.75" thickBot="1"/>
    <row r="26" spans="1:30" ht="18">
      <c r="A26" s="861" t="s">
        <v>421</v>
      </c>
      <c r="B26" s="862"/>
      <c r="C26" s="862"/>
      <c r="D26" s="862"/>
      <c r="E26" s="862"/>
      <c r="F26" s="862"/>
      <c r="G26" s="862"/>
      <c r="H26" s="862"/>
      <c r="I26" s="862"/>
      <c r="J26" s="862"/>
      <c r="K26" s="862"/>
      <c r="L26" s="862"/>
      <c r="M26" s="862"/>
      <c r="N26" s="862"/>
      <c r="O26" s="862"/>
      <c r="P26" s="862"/>
      <c r="Q26" s="862"/>
      <c r="R26" s="862"/>
      <c r="S26" s="862"/>
      <c r="T26" s="862"/>
      <c r="U26" s="862"/>
      <c r="V26" s="862"/>
      <c r="W26" s="862"/>
      <c r="X26" s="862"/>
      <c r="Y26" s="862"/>
      <c r="Z26" s="862"/>
      <c r="AA26" s="862"/>
      <c r="AB26" s="862"/>
      <c r="AC26" s="862"/>
      <c r="AD26" s="863"/>
    </row>
    <row r="27" spans="1:30" ht="20.100000000000001" customHeight="1">
      <c r="A27" s="926" t="s">
        <v>422</v>
      </c>
      <c r="B27" s="927"/>
      <c r="C27" s="927"/>
      <c r="D27" s="927"/>
      <c r="E27" s="927"/>
      <c r="F27" s="927"/>
      <c r="G27" s="927"/>
      <c r="H27" s="927"/>
      <c r="I27" s="927"/>
      <c r="J27" s="927"/>
      <c r="K27" s="927"/>
      <c r="L27" s="927"/>
      <c r="M27" s="927"/>
      <c r="N27" s="927"/>
      <c r="O27" s="927"/>
      <c r="P27" s="927"/>
      <c r="Q27" s="927"/>
      <c r="R27" s="927"/>
      <c r="S27" s="927"/>
      <c r="T27" s="927"/>
      <c r="U27" s="927"/>
      <c r="V27" s="927"/>
      <c r="W27" s="927"/>
      <c r="X27" s="927"/>
      <c r="Y27" s="927"/>
      <c r="Z27" s="928"/>
      <c r="AA27" s="893" t="s">
        <v>51</v>
      </c>
      <c r="AB27" s="894"/>
      <c r="AC27" s="894"/>
      <c r="AD27" s="895"/>
    </row>
    <row r="28" spans="1:30" ht="20.100000000000001" customHeight="1">
      <c r="A28" s="926" t="s">
        <v>423</v>
      </c>
      <c r="B28" s="927"/>
      <c r="C28" s="927"/>
      <c r="D28" s="927"/>
      <c r="E28" s="927"/>
      <c r="F28" s="927"/>
      <c r="G28" s="927"/>
      <c r="H28" s="927"/>
      <c r="I28" s="927"/>
      <c r="J28" s="927"/>
      <c r="K28" s="927"/>
      <c r="L28" s="927"/>
      <c r="M28" s="927"/>
      <c r="N28" s="927"/>
      <c r="O28" s="927"/>
      <c r="P28" s="927"/>
      <c r="Q28" s="927"/>
      <c r="R28" s="927"/>
      <c r="S28" s="927"/>
      <c r="T28" s="927"/>
      <c r="U28" s="927"/>
      <c r="V28" s="927"/>
      <c r="W28" s="927"/>
      <c r="X28" s="927"/>
      <c r="Y28" s="927"/>
      <c r="Z28" s="928"/>
      <c r="AA28" s="893" t="s">
        <v>51</v>
      </c>
      <c r="AB28" s="894"/>
      <c r="AC28" s="894"/>
      <c r="AD28" s="895"/>
    </row>
    <row r="29" spans="1:30" ht="20.100000000000001" customHeight="1">
      <c r="A29" s="926" t="s">
        <v>424</v>
      </c>
      <c r="B29" s="927"/>
      <c r="C29" s="927"/>
      <c r="D29" s="927"/>
      <c r="E29" s="927"/>
      <c r="F29" s="927"/>
      <c r="G29" s="927"/>
      <c r="H29" s="927"/>
      <c r="I29" s="927"/>
      <c r="J29" s="927"/>
      <c r="K29" s="927"/>
      <c r="L29" s="927"/>
      <c r="M29" s="927"/>
      <c r="N29" s="927"/>
      <c r="O29" s="927"/>
      <c r="P29" s="927"/>
      <c r="Q29" s="927"/>
      <c r="R29" s="927"/>
      <c r="S29" s="927"/>
      <c r="T29" s="927"/>
      <c r="U29" s="927"/>
      <c r="V29" s="927"/>
      <c r="W29" s="927"/>
      <c r="X29" s="927"/>
      <c r="Y29" s="927"/>
      <c r="Z29" s="928"/>
      <c r="AA29" s="893" t="s">
        <v>51</v>
      </c>
      <c r="AB29" s="894"/>
      <c r="AC29" s="894"/>
      <c r="AD29" s="895"/>
    </row>
    <row r="30" spans="1:30" ht="31.5" customHeight="1">
      <c r="A30" s="929" t="s">
        <v>425</v>
      </c>
      <c r="B30" s="930"/>
      <c r="C30" s="930"/>
      <c r="D30" s="930"/>
      <c r="E30" s="930"/>
      <c r="F30" s="930"/>
      <c r="G30" s="930"/>
      <c r="H30" s="930"/>
      <c r="I30" s="930"/>
      <c r="J30" s="930"/>
      <c r="K30" s="930"/>
      <c r="L30" s="930"/>
      <c r="M30" s="930"/>
      <c r="N30" s="930"/>
      <c r="O30" s="930"/>
      <c r="P30" s="930"/>
      <c r="Q30" s="930"/>
      <c r="R30" s="930"/>
      <c r="S30" s="930"/>
      <c r="T30" s="930"/>
      <c r="U30" s="930"/>
      <c r="V30" s="930"/>
      <c r="W30" s="930"/>
      <c r="X30" s="930"/>
      <c r="Y30" s="930"/>
      <c r="Z30" s="930"/>
      <c r="AA30" s="930"/>
      <c r="AB30" s="930"/>
      <c r="AC30" s="930"/>
      <c r="AD30" s="931"/>
    </row>
    <row r="32" spans="1:30" ht="74.25" customHeight="1">
      <c r="A32" s="929" t="s">
        <v>426</v>
      </c>
      <c r="B32" s="930"/>
      <c r="C32" s="930"/>
      <c r="D32" s="930"/>
      <c r="E32" s="930"/>
      <c r="F32" s="930"/>
      <c r="G32" s="930"/>
      <c r="H32" s="930"/>
      <c r="I32" s="930"/>
      <c r="J32" s="930"/>
      <c r="K32" s="930"/>
      <c r="L32" s="930"/>
      <c r="M32" s="930"/>
      <c r="N32" s="930"/>
      <c r="O32" s="930"/>
      <c r="P32" s="930"/>
      <c r="Q32" s="930"/>
      <c r="R32" s="930"/>
      <c r="S32" s="930"/>
      <c r="T32" s="930"/>
      <c r="U32" s="930"/>
      <c r="V32" s="930"/>
      <c r="W32" s="930"/>
      <c r="X32" s="930"/>
      <c r="Y32" s="930"/>
      <c r="Z32" s="930"/>
      <c r="AA32" s="930"/>
      <c r="AB32" s="930"/>
      <c r="AC32" s="930"/>
      <c r="AD32" s="931"/>
    </row>
    <row r="33" spans="1:30" ht="15.75" thickBot="1"/>
    <row r="34" spans="1:30" ht="20.100000000000001" customHeight="1">
      <c r="A34" s="932" t="str">
        <f>_xlfn.CONCAT("Signature et date ",Client," :")</f>
        <v>Signature et date  :</v>
      </c>
      <c r="B34" s="933"/>
      <c r="C34" s="933"/>
      <c r="D34" s="933"/>
      <c r="E34" s="933"/>
      <c r="F34" s="933"/>
      <c r="G34" s="933"/>
      <c r="H34" s="933"/>
      <c r="I34" s="933"/>
      <c r="J34" s="933"/>
      <c r="K34" s="933" t="str">
        <f>_xlfn.CONCAT("Cachet Entreprise ",Client," :")</f>
        <v>Cachet Entreprise  :</v>
      </c>
      <c r="L34" s="933"/>
      <c r="M34" s="933"/>
      <c r="N34" s="933"/>
      <c r="O34" s="933"/>
      <c r="P34" s="933"/>
      <c r="Q34" s="933"/>
      <c r="R34" s="933"/>
      <c r="S34" s="933"/>
      <c r="T34" s="933"/>
      <c r="U34" s="933" t="s">
        <v>375</v>
      </c>
      <c r="V34" s="933"/>
      <c r="W34" s="933"/>
      <c r="X34" s="933"/>
      <c r="Y34" s="933"/>
      <c r="Z34" s="933"/>
      <c r="AA34" s="933"/>
      <c r="AB34" s="933"/>
      <c r="AC34" s="933"/>
      <c r="AD34" s="934"/>
    </row>
    <row r="35" spans="1:30" ht="20.100000000000001" customHeight="1">
      <c r="A35" s="935"/>
      <c r="B35" s="811"/>
      <c r="C35" s="811"/>
      <c r="D35" s="811"/>
      <c r="E35" s="811"/>
      <c r="F35" s="811"/>
      <c r="G35" s="811"/>
      <c r="H35" s="811"/>
      <c r="I35" s="811"/>
      <c r="J35" s="811"/>
      <c r="K35" s="811"/>
      <c r="L35" s="811"/>
      <c r="M35" s="811"/>
      <c r="N35" s="811"/>
      <c r="O35" s="811"/>
      <c r="P35" s="811"/>
      <c r="Q35" s="811"/>
      <c r="R35" s="811"/>
      <c r="S35" s="811"/>
      <c r="T35" s="811"/>
      <c r="U35" s="811">
        <f>Interlocuteur</f>
        <v>0</v>
      </c>
      <c r="V35" s="811"/>
      <c r="W35" s="811"/>
      <c r="X35" s="811"/>
      <c r="Y35" s="811"/>
      <c r="Z35" s="811"/>
      <c r="AA35" s="811"/>
      <c r="AB35" s="811"/>
      <c r="AC35" s="811"/>
      <c r="AD35" s="817"/>
    </row>
    <row r="36" spans="1:30" ht="20.100000000000001" customHeight="1">
      <c r="A36" s="818"/>
      <c r="B36" s="811"/>
      <c r="C36" s="811"/>
      <c r="D36" s="811"/>
      <c r="E36" s="811"/>
      <c r="F36" s="811"/>
      <c r="G36" s="811"/>
      <c r="H36" s="811"/>
      <c r="I36" s="811"/>
      <c r="J36" s="811"/>
      <c r="K36" s="811"/>
      <c r="L36" s="811"/>
      <c r="M36" s="811"/>
      <c r="N36" s="811"/>
      <c r="O36" s="811"/>
      <c r="P36" s="811"/>
      <c r="Q36" s="811"/>
      <c r="R36" s="811"/>
      <c r="S36" s="811"/>
      <c r="T36" s="811"/>
      <c r="U36" s="815" t="s">
        <v>376</v>
      </c>
      <c r="V36" s="815"/>
      <c r="W36" s="815"/>
      <c r="X36" s="815"/>
      <c r="Y36" s="815"/>
      <c r="Z36" s="815"/>
      <c r="AA36" s="815"/>
      <c r="AB36" s="815"/>
      <c r="AC36" s="815"/>
      <c r="AD36" s="816"/>
    </row>
    <row r="37" spans="1:30" ht="20.100000000000001" customHeight="1" thickBot="1">
      <c r="A37" s="840"/>
      <c r="B37" s="841"/>
      <c r="C37" s="841"/>
      <c r="D37" s="841"/>
      <c r="E37" s="841"/>
      <c r="F37" s="841"/>
      <c r="G37" s="841"/>
      <c r="H37" s="841"/>
      <c r="I37" s="841"/>
      <c r="J37" s="841"/>
      <c r="K37" s="841"/>
      <c r="L37" s="841"/>
      <c r="M37" s="841"/>
      <c r="N37" s="841"/>
      <c r="O37" s="841"/>
      <c r="P37" s="841"/>
      <c r="Q37" s="841"/>
      <c r="R37" s="841"/>
      <c r="S37" s="841"/>
      <c r="T37" s="841"/>
      <c r="U37" s="841">
        <f>Fonc_Interloc</f>
        <v>0</v>
      </c>
      <c r="V37" s="841"/>
      <c r="W37" s="841"/>
      <c r="X37" s="841"/>
      <c r="Y37" s="841"/>
      <c r="Z37" s="841"/>
      <c r="AA37" s="841"/>
      <c r="AB37" s="841"/>
      <c r="AC37" s="841"/>
      <c r="AD37" s="842"/>
    </row>
  </sheetData>
  <sheetProtection algorithmName="SHA-512" hashValue="nr7seBPF9LJePhf527QlxrqdKkjxismBuAXmqYtbM2XZt/lEX6r9GpyJc/nY5ZSVGT7qbJvrFftF1gPnGQ4XJg==" saltValue="Fy6o2tmv5XmKuiAMcCBnhQ==" spinCount="100000" sheet="1" objects="1" scenarios="1"/>
  <dataConsolidate/>
  <mergeCells count="89">
    <mergeCell ref="A30:AD30"/>
    <mergeCell ref="A34:J34"/>
    <mergeCell ref="K34:T34"/>
    <mergeCell ref="U34:AD34"/>
    <mergeCell ref="A35:J37"/>
    <mergeCell ref="K35:T37"/>
    <mergeCell ref="U35:AD35"/>
    <mergeCell ref="U36:AD36"/>
    <mergeCell ref="U37:AD37"/>
    <mergeCell ref="A32:AD32"/>
    <mergeCell ref="A27:Z27"/>
    <mergeCell ref="AA27:AD27"/>
    <mergeCell ref="AA28:AD28"/>
    <mergeCell ref="A28:Z28"/>
    <mergeCell ref="A29:Z29"/>
    <mergeCell ref="AA29:AD29"/>
    <mergeCell ref="A26:AD26"/>
    <mergeCell ref="A24:E24"/>
    <mergeCell ref="F24:Q24"/>
    <mergeCell ref="R24:S24"/>
    <mergeCell ref="T24:X24"/>
    <mergeCell ref="Y24:AA24"/>
    <mergeCell ref="AB24:AD24"/>
    <mergeCell ref="AB23:AD23"/>
    <mergeCell ref="A22:E22"/>
    <mergeCell ref="F22:Q22"/>
    <mergeCell ref="R22:S22"/>
    <mergeCell ref="T22:X22"/>
    <mergeCell ref="Y22:AA22"/>
    <mergeCell ref="AB22:AD22"/>
    <mergeCell ref="A23:E23"/>
    <mergeCell ref="F23:Q23"/>
    <mergeCell ref="R23:S23"/>
    <mergeCell ref="T23:X23"/>
    <mergeCell ref="Y23:AA23"/>
    <mergeCell ref="AB21:AD21"/>
    <mergeCell ref="A20:E20"/>
    <mergeCell ref="F20:Q20"/>
    <mergeCell ref="R20:S20"/>
    <mergeCell ref="T20:X20"/>
    <mergeCell ref="Y20:AA20"/>
    <mergeCell ref="AB20:AD20"/>
    <mergeCell ref="A21:E21"/>
    <mergeCell ref="F21:Q21"/>
    <mergeCell ref="R21:S21"/>
    <mergeCell ref="T21:X21"/>
    <mergeCell ref="Y21:AA21"/>
    <mergeCell ref="AB19:AD19"/>
    <mergeCell ref="A17:J17"/>
    <mergeCell ref="K17:AD17"/>
    <mergeCell ref="A18:E18"/>
    <mergeCell ref="F18:Q18"/>
    <mergeCell ref="R18:S18"/>
    <mergeCell ref="T18:X18"/>
    <mergeCell ref="Y18:AA18"/>
    <mergeCell ref="AB18:AD18"/>
    <mergeCell ref="A19:E19"/>
    <mergeCell ref="F19:Q19"/>
    <mergeCell ref="R19:S19"/>
    <mergeCell ref="T19:X19"/>
    <mergeCell ref="Y19:AA19"/>
    <mergeCell ref="A14:E14"/>
    <mergeCell ref="F14:O14"/>
    <mergeCell ref="P14:R14"/>
    <mergeCell ref="S14:AD14"/>
    <mergeCell ref="A16:AD16"/>
    <mergeCell ref="A11:AD11"/>
    <mergeCell ref="A12:E12"/>
    <mergeCell ref="F12:AD12"/>
    <mergeCell ref="A13:E13"/>
    <mergeCell ref="F13:AD13"/>
    <mergeCell ref="A9:F9"/>
    <mergeCell ref="G9:O9"/>
    <mergeCell ref="P9:T9"/>
    <mergeCell ref="U9:AD9"/>
    <mergeCell ref="A7:F7"/>
    <mergeCell ref="G7:O7"/>
    <mergeCell ref="P7:T7"/>
    <mergeCell ref="U7:AD7"/>
    <mergeCell ref="A8:F8"/>
    <mergeCell ref="G8:O8"/>
    <mergeCell ref="P8:T8"/>
    <mergeCell ref="U8:AD8"/>
    <mergeCell ref="P1:AD4"/>
    <mergeCell ref="A5:O6"/>
    <mergeCell ref="P5:T5"/>
    <mergeCell ref="U5:AD5"/>
    <mergeCell ref="P6:T6"/>
    <mergeCell ref="U6:AD6"/>
  </mergeCells>
  <dataValidations count="2">
    <dataValidation type="list" allowBlank="1" sqref="F12:AD12" xr:uid="{7DEED391-9AD3-44F7-B85B-312DB415D0E4}">
      <formula1>L_Adresses</formula1>
    </dataValidation>
    <dataValidation type="list" allowBlank="1" sqref="AA27:AD29" xr:uid="{7627BA27-1502-44C8-BD65-86F70C0B82D1}">
      <formula1>L_Oui_Non</formula1>
    </dataValidation>
  </dataValidations>
  <printOptions horizontalCentered="1" verticalCentered="1"/>
  <pageMargins left="0.23622047244094488" right="0.23622047244094488" top="0.23622047244094488" bottom="0.23622047244094488" header="0.31496062992125984" footer="0.31496062992125984"/>
  <pageSetup paperSize="9" scale="94"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39DA3-5B8A-44FB-9B5A-CC6B0C49A3F5}">
  <sheetPr codeName="Feuil20">
    <tabColor theme="8" tint="0.59999389629810485"/>
  </sheetPr>
  <dimension ref="A1:AD47"/>
  <sheetViews>
    <sheetView view="pageBreakPreview" topLeftCell="A30" zoomScale="115" zoomScaleNormal="70" zoomScaleSheetLayoutView="115" workbookViewId="0">
      <selection activeCell="AE12" sqref="AE12"/>
    </sheetView>
  </sheetViews>
  <sheetFormatPr baseColWidth="10" defaultColWidth="11.42578125" defaultRowHeight="15"/>
  <cols>
    <col min="1" max="1" width="3.7109375" style="118" customWidth="1"/>
    <col min="2" max="30" width="3.7109375" customWidth="1"/>
  </cols>
  <sheetData>
    <row r="1" spans="1:30" ht="39.950000000000003" customHeight="1" thickBot="1">
      <c r="A1" s="942" t="s">
        <v>427</v>
      </c>
      <c r="B1" s="943"/>
      <c r="C1" s="121" t="s">
        <v>428</v>
      </c>
      <c r="D1" s="945"/>
      <c r="E1" s="945"/>
      <c r="F1" s="945"/>
      <c r="G1" s="945"/>
      <c r="H1" s="945"/>
      <c r="I1" s="945"/>
      <c r="J1" s="945"/>
      <c r="K1" s="944" t="s">
        <v>429</v>
      </c>
      <c r="L1" s="944"/>
      <c r="M1" s="944"/>
      <c r="N1" s="944"/>
      <c r="O1" s="944"/>
      <c r="P1" s="946"/>
      <c r="Q1" s="947"/>
      <c r="R1" s="948"/>
      <c r="S1" s="116">
        <v>1</v>
      </c>
      <c r="T1" s="116">
        <v>2</v>
      </c>
      <c r="U1" s="116">
        <v>3</v>
      </c>
      <c r="V1" s="116">
        <v>4</v>
      </c>
      <c r="W1" s="116">
        <v>5</v>
      </c>
      <c r="X1" s="116">
        <v>6</v>
      </c>
      <c r="Y1" s="116">
        <v>7</v>
      </c>
      <c r="Z1" s="116">
        <v>8</v>
      </c>
      <c r="AA1" s="116">
        <v>9</v>
      </c>
      <c r="AB1" s="116">
        <v>10</v>
      </c>
      <c r="AC1" s="116">
        <v>11</v>
      </c>
      <c r="AD1" s="117">
        <v>12</v>
      </c>
    </row>
    <row r="2" spans="1:30" ht="20.100000000000001" customHeight="1">
      <c r="A2" s="967" t="s">
        <v>430</v>
      </c>
      <c r="B2" s="968"/>
      <c r="C2" s="968"/>
      <c r="D2" s="968"/>
      <c r="E2" s="968"/>
      <c r="F2" s="968"/>
      <c r="G2" s="968"/>
      <c r="H2" s="970">
        <f>Client</f>
        <v>0</v>
      </c>
      <c r="I2" s="970"/>
      <c r="J2" s="970"/>
      <c r="K2" s="970"/>
      <c r="L2" s="970"/>
      <c r="M2" s="970"/>
      <c r="N2" s="970"/>
      <c r="O2" s="970"/>
      <c r="P2" s="976" t="s">
        <v>431</v>
      </c>
      <c r="Q2" s="977"/>
      <c r="R2" s="977"/>
      <c r="S2" s="977"/>
      <c r="T2" s="977"/>
      <c r="U2" s="977"/>
      <c r="V2" s="977"/>
      <c r="W2" s="977"/>
      <c r="X2" s="977"/>
      <c r="Y2" s="977"/>
      <c r="Z2" s="977"/>
      <c r="AA2" s="977"/>
      <c r="AB2" s="977"/>
      <c r="AC2" s="977"/>
      <c r="AD2" s="978"/>
    </row>
    <row r="3" spans="1:30" ht="20.100000000000001" customHeight="1">
      <c r="A3" s="971" t="s">
        <v>432</v>
      </c>
      <c r="B3" s="972"/>
      <c r="C3" s="972"/>
      <c r="D3" s="972"/>
      <c r="E3" s="972"/>
      <c r="F3" s="972"/>
      <c r="G3" s="972"/>
      <c r="H3" s="890">
        <f>Interlocuteur</f>
        <v>0</v>
      </c>
      <c r="I3" s="890"/>
      <c r="J3" s="890"/>
      <c r="K3" s="890"/>
      <c r="L3" s="890"/>
      <c r="M3" s="890"/>
      <c r="N3" s="890"/>
      <c r="O3" s="890"/>
      <c r="P3" s="966" t="s">
        <v>342</v>
      </c>
      <c r="Q3" s="890"/>
      <c r="R3" s="890"/>
      <c r="S3" s="890"/>
      <c r="T3" s="890"/>
      <c r="U3" s="890"/>
      <c r="V3" s="890"/>
      <c r="W3" s="890"/>
      <c r="X3" s="119" t="s">
        <v>433</v>
      </c>
      <c r="Y3" s="890"/>
      <c r="Z3" s="890"/>
      <c r="AA3" s="890"/>
      <c r="AB3" s="890"/>
      <c r="AC3" s="890"/>
      <c r="AD3" s="969"/>
    </row>
    <row r="4" spans="1:30" ht="20.100000000000001" customHeight="1">
      <c r="A4" s="959" t="s">
        <v>434</v>
      </c>
      <c r="B4" s="960"/>
      <c r="C4" s="960"/>
      <c r="D4" s="960"/>
      <c r="E4" s="960"/>
      <c r="F4" s="960"/>
      <c r="G4" s="960"/>
      <c r="H4" s="960"/>
      <c r="I4" s="960"/>
      <c r="J4" s="960"/>
      <c r="K4" s="960"/>
      <c r="L4" s="960"/>
      <c r="M4" s="960"/>
      <c r="N4" s="960"/>
      <c r="O4" s="960"/>
      <c r="P4" s="962" t="s">
        <v>435</v>
      </c>
      <c r="Q4" s="963"/>
      <c r="R4" s="963"/>
      <c r="S4" s="963"/>
      <c r="T4" s="963"/>
      <c r="U4" s="963"/>
      <c r="V4" s="963"/>
      <c r="W4" s="963"/>
      <c r="X4" s="963"/>
      <c r="Y4" s="963"/>
      <c r="Z4" s="963"/>
      <c r="AA4" s="963"/>
      <c r="AB4" s="963"/>
      <c r="AC4" s="963"/>
      <c r="AD4" s="964"/>
    </row>
    <row r="5" spans="1:30" ht="20.100000000000001" customHeight="1">
      <c r="A5" s="965">
        <f>Projet!R11</f>
        <v>0</v>
      </c>
      <c r="B5" s="963"/>
      <c r="C5" s="963"/>
      <c r="D5" s="963"/>
      <c r="E5" s="963"/>
      <c r="F5" s="963"/>
      <c r="G5" s="963"/>
      <c r="H5" s="963"/>
      <c r="I5" s="963"/>
      <c r="J5" s="963"/>
      <c r="K5" s="963"/>
      <c r="L5" s="963"/>
      <c r="M5" s="963"/>
      <c r="N5" s="963"/>
      <c r="O5" s="963"/>
      <c r="P5" s="966" t="s">
        <v>342</v>
      </c>
      <c r="Q5" s="890"/>
      <c r="R5" s="890"/>
      <c r="S5" s="890"/>
      <c r="T5" s="890"/>
      <c r="U5" s="890"/>
      <c r="V5" s="890"/>
      <c r="W5" s="890"/>
      <c r="X5" s="119" t="s">
        <v>433</v>
      </c>
      <c r="Y5" s="890"/>
      <c r="Z5" s="890"/>
      <c r="AA5" s="890"/>
      <c r="AB5" s="890"/>
      <c r="AC5" s="890"/>
      <c r="AD5" s="969"/>
    </row>
    <row r="6" spans="1:30" ht="20.100000000000001" customHeight="1">
      <c r="A6" s="965">
        <f>Projet!R12</f>
        <v>0</v>
      </c>
      <c r="B6" s="963"/>
      <c r="C6" s="963"/>
      <c r="D6" s="963"/>
      <c r="E6" s="963"/>
      <c r="F6" s="963"/>
      <c r="G6" s="963"/>
      <c r="H6" s="963"/>
      <c r="I6" s="963"/>
      <c r="J6" s="963"/>
      <c r="K6" s="963"/>
      <c r="L6" s="963"/>
      <c r="M6" s="963"/>
      <c r="N6" s="963"/>
      <c r="O6" s="963"/>
      <c r="P6" s="962" t="s">
        <v>436</v>
      </c>
      <c r="Q6" s="963"/>
      <c r="R6" s="963"/>
      <c r="S6" s="963"/>
      <c r="T6" s="963"/>
      <c r="U6" s="963"/>
      <c r="V6" s="963"/>
      <c r="W6" s="963"/>
      <c r="X6" s="963"/>
      <c r="Y6" s="963"/>
      <c r="Z6" s="963"/>
      <c r="AA6" s="963"/>
      <c r="AB6" s="963"/>
      <c r="AC6" s="963"/>
      <c r="AD6" s="964"/>
    </row>
    <row r="7" spans="1:30" ht="20.100000000000001" customHeight="1">
      <c r="A7" s="965">
        <f>Projet!R13</f>
        <v>0</v>
      </c>
      <c r="B7" s="963"/>
      <c r="C7" s="963"/>
      <c r="D7" s="963"/>
      <c r="E7" s="963"/>
      <c r="F7" s="963"/>
      <c r="G7" s="963"/>
      <c r="H7" s="963"/>
      <c r="I7" s="963"/>
      <c r="J7" s="963"/>
      <c r="K7" s="963"/>
      <c r="L7" s="963"/>
      <c r="M7" s="963"/>
      <c r="N7" s="963"/>
      <c r="O7" s="963"/>
      <c r="P7" s="966" t="s">
        <v>342</v>
      </c>
      <c r="Q7" s="890"/>
      <c r="R7" s="890"/>
      <c r="S7" s="890"/>
      <c r="T7" s="890"/>
      <c r="U7" s="890"/>
      <c r="V7" s="890"/>
      <c r="W7" s="890"/>
      <c r="X7" s="119" t="s">
        <v>433</v>
      </c>
      <c r="Y7" s="890"/>
      <c r="Z7" s="890"/>
      <c r="AA7" s="890"/>
      <c r="AB7" s="890"/>
      <c r="AC7" s="890"/>
      <c r="AD7" s="969"/>
    </row>
    <row r="8" spans="1:30" ht="20.100000000000001" customHeight="1">
      <c r="A8" s="961">
        <f>Projet!R14</f>
        <v>0</v>
      </c>
      <c r="B8" s="890"/>
      <c r="C8" s="890"/>
      <c r="D8" s="890"/>
      <c r="E8" s="890">
        <f>Projet!X14</f>
        <v>0</v>
      </c>
      <c r="F8" s="890"/>
      <c r="G8" s="890"/>
      <c r="H8" s="890"/>
      <c r="I8" s="890"/>
      <c r="J8" s="890"/>
      <c r="K8" s="890"/>
      <c r="L8" s="890"/>
      <c r="M8" s="890"/>
      <c r="N8" s="890"/>
      <c r="O8" s="890"/>
      <c r="P8" s="953" t="s">
        <v>437</v>
      </c>
      <c r="Q8" s="954"/>
      <c r="R8" s="954"/>
      <c r="S8" s="954"/>
      <c r="T8" s="954"/>
      <c r="U8" s="954"/>
      <c r="V8" s="954"/>
      <c r="W8" s="954"/>
      <c r="X8" s="954"/>
      <c r="Y8" s="954"/>
      <c r="Z8" s="954"/>
      <c r="AA8" s="954"/>
      <c r="AB8" s="954"/>
      <c r="AC8" s="954"/>
      <c r="AD8" s="955"/>
    </row>
    <row r="9" spans="1:30" ht="20.100000000000001" customHeight="1">
      <c r="A9" s="959" t="s">
        <v>438</v>
      </c>
      <c r="B9" s="960"/>
      <c r="C9" s="960"/>
      <c r="D9" s="960"/>
      <c r="E9" s="960"/>
      <c r="F9" s="960"/>
      <c r="G9" s="960"/>
      <c r="H9" s="960"/>
      <c r="I9" s="960"/>
      <c r="J9" s="960"/>
      <c r="K9" s="960"/>
      <c r="L9" s="960"/>
      <c r="M9" s="960"/>
      <c r="N9" s="960"/>
      <c r="O9" s="960"/>
      <c r="P9" s="953"/>
      <c r="Q9" s="954"/>
      <c r="R9" s="954"/>
      <c r="S9" s="954"/>
      <c r="T9" s="954"/>
      <c r="U9" s="954"/>
      <c r="V9" s="954"/>
      <c r="W9" s="954"/>
      <c r="X9" s="954"/>
      <c r="Y9" s="954"/>
      <c r="Z9" s="954"/>
      <c r="AA9" s="954"/>
      <c r="AB9" s="954"/>
      <c r="AC9" s="954"/>
      <c r="AD9" s="955"/>
    </row>
    <row r="10" spans="1:30" ht="20.100000000000001" customHeight="1">
      <c r="A10" s="965">
        <f>Projet!R16</f>
        <v>0</v>
      </c>
      <c r="B10" s="963"/>
      <c r="C10" s="963"/>
      <c r="D10" s="963"/>
      <c r="E10" s="963"/>
      <c r="F10" s="963"/>
      <c r="G10" s="963"/>
      <c r="H10" s="963"/>
      <c r="I10" s="963"/>
      <c r="J10" s="963"/>
      <c r="K10" s="963"/>
      <c r="L10" s="963"/>
      <c r="M10" s="963"/>
      <c r="N10" s="963"/>
      <c r="O10" s="963"/>
      <c r="P10" s="953"/>
      <c r="Q10" s="954"/>
      <c r="R10" s="954"/>
      <c r="S10" s="954"/>
      <c r="T10" s="954"/>
      <c r="U10" s="954"/>
      <c r="V10" s="954"/>
      <c r="W10" s="954"/>
      <c r="X10" s="954"/>
      <c r="Y10" s="954"/>
      <c r="Z10" s="954"/>
      <c r="AA10" s="954"/>
      <c r="AB10" s="954"/>
      <c r="AC10" s="954"/>
      <c r="AD10" s="955"/>
    </row>
    <row r="11" spans="1:30" ht="20.100000000000001" customHeight="1">
      <c r="A11" s="965">
        <f>Projet!R17</f>
        <v>0</v>
      </c>
      <c r="B11" s="963"/>
      <c r="C11" s="963"/>
      <c r="D11" s="963"/>
      <c r="E11" s="963"/>
      <c r="F11" s="963"/>
      <c r="G11" s="963"/>
      <c r="H11" s="963"/>
      <c r="I11" s="963"/>
      <c r="J11" s="963"/>
      <c r="K11" s="963"/>
      <c r="L11" s="963"/>
      <c r="M11" s="963"/>
      <c r="N11" s="963"/>
      <c r="O11" s="963"/>
      <c r="P11" s="953"/>
      <c r="Q11" s="954"/>
      <c r="R11" s="954"/>
      <c r="S11" s="954"/>
      <c r="T11" s="954"/>
      <c r="U11" s="954"/>
      <c r="V11" s="954"/>
      <c r="W11" s="954"/>
      <c r="X11" s="954"/>
      <c r="Y11" s="954"/>
      <c r="Z11" s="954"/>
      <c r="AA11" s="954"/>
      <c r="AB11" s="954"/>
      <c r="AC11" s="954"/>
      <c r="AD11" s="955"/>
    </row>
    <row r="12" spans="1:30" ht="20.100000000000001" customHeight="1">
      <c r="A12" s="965">
        <f>Projet!R18</f>
        <v>0</v>
      </c>
      <c r="B12" s="963"/>
      <c r="C12" s="963"/>
      <c r="D12" s="963"/>
      <c r="E12" s="963"/>
      <c r="F12" s="963"/>
      <c r="G12" s="963"/>
      <c r="H12" s="963"/>
      <c r="I12" s="963"/>
      <c r="J12" s="963"/>
      <c r="K12" s="963"/>
      <c r="L12" s="963"/>
      <c r="M12" s="963"/>
      <c r="N12" s="963"/>
      <c r="O12" s="963"/>
      <c r="P12" s="953"/>
      <c r="Q12" s="954"/>
      <c r="R12" s="954"/>
      <c r="S12" s="954"/>
      <c r="T12" s="954"/>
      <c r="U12" s="954"/>
      <c r="V12" s="954"/>
      <c r="W12" s="954"/>
      <c r="X12" s="954"/>
      <c r="Y12" s="954"/>
      <c r="Z12" s="954"/>
      <c r="AA12" s="954"/>
      <c r="AB12" s="954"/>
      <c r="AC12" s="954"/>
      <c r="AD12" s="955"/>
    </row>
    <row r="13" spans="1:30" ht="20.100000000000001" customHeight="1">
      <c r="A13" s="961">
        <f>Projet!R19</f>
        <v>0</v>
      </c>
      <c r="B13" s="890"/>
      <c r="C13" s="890"/>
      <c r="D13" s="890"/>
      <c r="E13" s="890">
        <f>Projet!X19</f>
        <v>0</v>
      </c>
      <c r="F13" s="890"/>
      <c r="G13" s="890"/>
      <c r="H13" s="890"/>
      <c r="I13" s="890"/>
      <c r="J13" s="890"/>
      <c r="K13" s="890"/>
      <c r="L13" s="890"/>
      <c r="M13" s="890"/>
      <c r="N13" s="890"/>
      <c r="O13" s="890"/>
      <c r="P13" s="956"/>
      <c r="Q13" s="957"/>
      <c r="R13" s="957"/>
      <c r="S13" s="957"/>
      <c r="T13" s="957"/>
      <c r="U13" s="957"/>
      <c r="V13" s="957"/>
      <c r="W13" s="957"/>
      <c r="X13" s="957"/>
      <c r="Y13" s="957"/>
      <c r="Z13" s="957"/>
      <c r="AA13" s="957"/>
      <c r="AB13" s="957"/>
      <c r="AC13" s="957"/>
      <c r="AD13" s="958"/>
    </row>
    <row r="14" spans="1:30" ht="20.100000000000001" customHeight="1">
      <c r="A14" s="959" t="s">
        <v>439</v>
      </c>
      <c r="B14" s="960"/>
      <c r="C14" s="960"/>
      <c r="D14" s="960"/>
      <c r="E14" s="960"/>
      <c r="F14" s="960"/>
      <c r="G14" s="960"/>
      <c r="H14" s="960"/>
      <c r="I14" s="960"/>
      <c r="J14" s="960"/>
      <c r="K14" s="960"/>
      <c r="L14" s="960"/>
      <c r="M14" s="960"/>
      <c r="N14" s="960"/>
      <c r="O14" s="960"/>
      <c r="P14" s="973" t="s">
        <v>440</v>
      </c>
      <c r="Q14" s="960"/>
      <c r="R14" s="960"/>
      <c r="S14" s="960"/>
      <c r="T14" s="960"/>
      <c r="U14" s="960"/>
      <c r="V14" s="960"/>
      <c r="W14" s="960"/>
      <c r="X14" s="960"/>
      <c r="Y14" s="960"/>
      <c r="Z14" s="960"/>
      <c r="AA14" s="960"/>
      <c r="AB14" s="960"/>
      <c r="AC14" s="960"/>
      <c r="AD14" s="974"/>
    </row>
    <row r="15" spans="1:30" ht="35.1" customHeight="1" thickBot="1">
      <c r="A15" s="985" t="s">
        <v>420</v>
      </c>
      <c r="B15" s="950"/>
      <c r="C15" s="951">
        <v>44573</v>
      </c>
      <c r="D15" s="952"/>
      <c r="E15" s="952"/>
      <c r="F15" s="952"/>
      <c r="G15" s="952"/>
      <c r="H15" s="950" t="s">
        <v>441</v>
      </c>
      <c r="I15" s="950"/>
      <c r="J15" s="950"/>
      <c r="K15" s="950"/>
      <c r="L15" s="950"/>
      <c r="M15" s="950"/>
      <c r="N15" s="950"/>
      <c r="O15" s="950"/>
      <c r="P15" s="949" t="s">
        <v>420</v>
      </c>
      <c r="Q15" s="950"/>
      <c r="R15" s="951">
        <v>44573</v>
      </c>
      <c r="S15" s="952"/>
      <c r="T15" s="952"/>
      <c r="U15" s="952"/>
      <c r="V15" s="952"/>
      <c r="W15" s="950" t="s">
        <v>441</v>
      </c>
      <c r="X15" s="950"/>
      <c r="Y15" s="950"/>
      <c r="Z15" s="950"/>
      <c r="AA15" s="950"/>
      <c r="AB15" s="950"/>
      <c r="AC15" s="950"/>
      <c r="AD15" s="975"/>
    </row>
    <row r="16" spans="1:30" ht="15" customHeight="1" thickBot="1">
      <c r="A16"/>
    </row>
    <row r="17" spans="1:30" ht="39.950000000000003" customHeight="1" thickBot="1">
      <c r="A17" s="942" t="s">
        <v>442</v>
      </c>
      <c r="B17" s="943"/>
      <c r="C17" s="121" t="s">
        <v>428</v>
      </c>
      <c r="D17" s="945"/>
      <c r="E17" s="945"/>
      <c r="F17" s="945"/>
      <c r="G17" s="945"/>
      <c r="H17" s="945"/>
      <c r="I17" s="945"/>
      <c r="J17" s="945"/>
      <c r="K17" s="936" t="s">
        <v>443</v>
      </c>
      <c r="L17" s="937"/>
      <c r="M17" s="937"/>
      <c r="N17" s="937"/>
      <c r="O17" s="937"/>
      <c r="P17" s="937"/>
      <c r="Q17" s="937"/>
      <c r="R17" s="938"/>
      <c r="S17" s="116">
        <v>1</v>
      </c>
      <c r="T17" s="116">
        <v>2</v>
      </c>
      <c r="U17" s="116">
        <v>3</v>
      </c>
      <c r="V17" s="116">
        <v>4</v>
      </c>
      <c r="W17" s="116">
        <v>5</v>
      </c>
      <c r="X17" s="116">
        <v>6</v>
      </c>
      <c r="Y17" s="116">
        <v>7</v>
      </c>
      <c r="Z17" s="116">
        <v>8</v>
      </c>
      <c r="AA17" s="116">
        <v>9</v>
      </c>
      <c r="AB17" s="116">
        <v>10</v>
      </c>
      <c r="AC17" s="116">
        <v>11</v>
      </c>
      <c r="AD17" s="117">
        <v>12</v>
      </c>
    </row>
    <row r="18" spans="1:30" ht="20.100000000000001" customHeight="1">
      <c r="A18" s="967" t="s">
        <v>430</v>
      </c>
      <c r="B18" s="968"/>
      <c r="C18" s="968"/>
      <c r="D18" s="968"/>
      <c r="E18" s="968"/>
      <c r="F18" s="968"/>
      <c r="G18" s="968"/>
      <c r="H18" s="970">
        <f>Client</f>
        <v>0</v>
      </c>
      <c r="I18" s="970"/>
      <c r="J18" s="970"/>
      <c r="K18" s="970"/>
      <c r="L18" s="970"/>
      <c r="M18" s="970"/>
      <c r="N18" s="970"/>
      <c r="O18" s="970"/>
      <c r="P18" s="976" t="s">
        <v>431</v>
      </c>
      <c r="Q18" s="977"/>
      <c r="R18" s="977"/>
      <c r="S18" s="977"/>
      <c r="T18" s="977"/>
      <c r="U18" s="977"/>
      <c r="V18" s="977"/>
      <c r="W18" s="977"/>
      <c r="X18" s="977"/>
      <c r="Y18" s="977"/>
      <c r="Z18" s="977"/>
      <c r="AA18" s="977"/>
      <c r="AB18" s="977"/>
      <c r="AC18" s="977"/>
      <c r="AD18" s="978"/>
    </row>
    <row r="19" spans="1:30" ht="20.100000000000001" customHeight="1">
      <c r="A19" s="971" t="s">
        <v>432</v>
      </c>
      <c r="B19" s="972"/>
      <c r="C19" s="972"/>
      <c r="D19" s="972"/>
      <c r="E19" s="972"/>
      <c r="F19" s="972"/>
      <c r="G19" s="972"/>
      <c r="H19" s="890">
        <f>Interlocuteur</f>
        <v>0</v>
      </c>
      <c r="I19" s="890"/>
      <c r="J19" s="890"/>
      <c r="K19" s="890"/>
      <c r="L19" s="890"/>
      <c r="M19" s="890"/>
      <c r="N19" s="890"/>
      <c r="O19" s="890"/>
      <c r="P19" s="966" t="s">
        <v>342</v>
      </c>
      <c r="Q19" s="890"/>
      <c r="R19" s="890">
        <f>R3</f>
        <v>0</v>
      </c>
      <c r="S19" s="890"/>
      <c r="T19" s="890"/>
      <c r="U19" s="890"/>
      <c r="V19" s="890"/>
      <c r="W19" s="890"/>
      <c r="X19" s="119" t="s">
        <v>433</v>
      </c>
      <c r="Y19" s="890">
        <f>Y3</f>
        <v>0</v>
      </c>
      <c r="Z19" s="890"/>
      <c r="AA19" s="890"/>
      <c r="AB19" s="890"/>
      <c r="AC19" s="890"/>
      <c r="AD19" s="969"/>
    </row>
    <row r="20" spans="1:30" ht="20.100000000000001" customHeight="1">
      <c r="A20" s="959" t="s">
        <v>434</v>
      </c>
      <c r="B20" s="960"/>
      <c r="C20" s="960"/>
      <c r="D20" s="960"/>
      <c r="E20" s="960"/>
      <c r="F20" s="960"/>
      <c r="G20" s="960"/>
      <c r="H20" s="960"/>
      <c r="I20" s="960"/>
      <c r="J20" s="960"/>
      <c r="K20" s="960"/>
      <c r="L20" s="960"/>
      <c r="M20" s="960"/>
      <c r="N20" s="960"/>
      <c r="O20" s="960"/>
      <c r="P20" s="962" t="s">
        <v>435</v>
      </c>
      <c r="Q20" s="963"/>
      <c r="R20" s="963"/>
      <c r="S20" s="963"/>
      <c r="T20" s="963"/>
      <c r="U20" s="963"/>
      <c r="V20" s="963"/>
      <c r="W20" s="963"/>
      <c r="X20" s="963"/>
      <c r="Y20" s="963"/>
      <c r="Z20" s="963"/>
      <c r="AA20" s="963"/>
      <c r="AB20" s="963"/>
      <c r="AC20" s="963"/>
      <c r="AD20" s="964"/>
    </row>
    <row r="21" spans="1:30" ht="20.100000000000001" customHeight="1">
      <c r="A21" s="965">
        <f>Projet!R28</f>
        <v>0</v>
      </c>
      <c r="B21" s="963"/>
      <c r="C21" s="963"/>
      <c r="D21" s="963"/>
      <c r="E21" s="963"/>
      <c r="F21" s="963"/>
      <c r="G21" s="963"/>
      <c r="H21" s="963"/>
      <c r="I21" s="963"/>
      <c r="J21" s="963"/>
      <c r="K21" s="963"/>
      <c r="L21" s="963"/>
      <c r="M21" s="963"/>
      <c r="N21" s="963"/>
      <c r="O21" s="963"/>
      <c r="P21" s="966" t="s">
        <v>342</v>
      </c>
      <c r="Q21" s="890"/>
      <c r="R21" s="890">
        <f>R5</f>
        <v>0</v>
      </c>
      <c r="S21" s="890"/>
      <c r="T21" s="890"/>
      <c r="U21" s="890"/>
      <c r="V21" s="890"/>
      <c r="W21" s="890"/>
      <c r="X21" s="119" t="s">
        <v>433</v>
      </c>
      <c r="Y21" s="890">
        <f>Y5</f>
        <v>0</v>
      </c>
      <c r="Z21" s="890"/>
      <c r="AA21" s="890"/>
      <c r="AB21" s="890"/>
      <c r="AC21" s="890"/>
      <c r="AD21" s="969"/>
    </row>
    <row r="22" spans="1:30" ht="20.100000000000001" customHeight="1">
      <c r="A22" s="965">
        <f>Projet!R29</f>
        <v>0</v>
      </c>
      <c r="B22" s="963"/>
      <c r="C22" s="963"/>
      <c r="D22" s="963"/>
      <c r="E22" s="963"/>
      <c r="F22" s="963"/>
      <c r="G22" s="963"/>
      <c r="H22" s="963"/>
      <c r="I22" s="963"/>
      <c r="J22" s="963"/>
      <c r="K22" s="963"/>
      <c r="L22" s="963"/>
      <c r="M22" s="963"/>
      <c r="N22" s="963"/>
      <c r="O22" s="963"/>
      <c r="P22" s="962" t="s">
        <v>436</v>
      </c>
      <c r="Q22" s="963"/>
      <c r="R22" s="963"/>
      <c r="S22" s="963"/>
      <c r="T22" s="963"/>
      <c r="U22" s="963"/>
      <c r="V22" s="963"/>
      <c r="W22" s="963"/>
      <c r="X22" s="963"/>
      <c r="Y22" s="963"/>
      <c r="Z22" s="963"/>
      <c r="AA22" s="963"/>
      <c r="AB22" s="963"/>
      <c r="AC22" s="963"/>
      <c r="AD22" s="964"/>
    </row>
    <row r="23" spans="1:30" ht="20.100000000000001" customHeight="1">
      <c r="A23" s="965">
        <f>Projet!R30</f>
        <v>0</v>
      </c>
      <c r="B23" s="963"/>
      <c r="C23" s="963"/>
      <c r="D23" s="963"/>
      <c r="E23" s="963"/>
      <c r="F23" s="963"/>
      <c r="G23" s="963"/>
      <c r="H23" s="963"/>
      <c r="I23" s="963"/>
      <c r="J23" s="963"/>
      <c r="K23" s="963"/>
      <c r="L23" s="963"/>
      <c r="M23" s="963"/>
      <c r="N23" s="963"/>
      <c r="O23" s="963"/>
      <c r="P23" s="966" t="s">
        <v>342</v>
      </c>
      <c r="Q23" s="890"/>
      <c r="R23" s="890">
        <f>R7</f>
        <v>0</v>
      </c>
      <c r="S23" s="890"/>
      <c r="T23" s="890"/>
      <c r="U23" s="890"/>
      <c r="V23" s="890"/>
      <c r="W23" s="890"/>
      <c r="X23" s="119" t="s">
        <v>433</v>
      </c>
      <c r="Y23" s="890">
        <f>Y7</f>
        <v>0</v>
      </c>
      <c r="Z23" s="890"/>
      <c r="AA23" s="890"/>
      <c r="AB23" s="890"/>
      <c r="AC23" s="890"/>
      <c r="AD23" s="969"/>
    </row>
    <row r="24" spans="1:30" ht="20.100000000000001" customHeight="1">
      <c r="A24" s="961">
        <f>Projet!R31</f>
        <v>0</v>
      </c>
      <c r="B24" s="890"/>
      <c r="C24" s="890"/>
      <c r="D24" s="890"/>
      <c r="E24" s="890">
        <f>Projet!X31</f>
        <v>0</v>
      </c>
      <c r="F24" s="890"/>
      <c r="G24" s="890"/>
      <c r="H24" s="890"/>
      <c r="I24" s="890"/>
      <c r="J24" s="890"/>
      <c r="K24" s="890"/>
      <c r="L24" s="890"/>
      <c r="M24" s="890"/>
      <c r="N24" s="890"/>
      <c r="O24" s="890"/>
      <c r="P24" s="953" t="s">
        <v>437</v>
      </c>
      <c r="Q24" s="954"/>
      <c r="R24" s="954"/>
      <c r="S24" s="954"/>
      <c r="T24" s="954"/>
      <c r="U24" s="954"/>
      <c r="V24" s="954"/>
      <c r="W24" s="954"/>
      <c r="X24" s="954"/>
      <c r="Y24" s="954"/>
      <c r="Z24" s="954"/>
      <c r="AA24" s="954"/>
      <c r="AB24" s="954"/>
      <c r="AC24" s="954"/>
      <c r="AD24" s="955"/>
    </row>
    <row r="25" spans="1:30" ht="20.100000000000001" customHeight="1">
      <c r="A25" s="959" t="s">
        <v>438</v>
      </c>
      <c r="B25" s="960"/>
      <c r="C25" s="960"/>
      <c r="D25" s="960"/>
      <c r="E25" s="960"/>
      <c r="F25" s="960"/>
      <c r="G25" s="960"/>
      <c r="H25" s="960"/>
      <c r="I25" s="960"/>
      <c r="J25" s="960"/>
      <c r="K25" s="960"/>
      <c r="L25" s="960"/>
      <c r="M25" s="960"/>
      <c r="N25" s="960"/>
      <c r="O25" s="960"/>
      <c r="P25" s="953"/>
      <c r="Q25" s="954"/>
      <c r="R25" s="954"/>
      <c r="S25" s="954"/>
      <c r="T25" s="954"/>
      <c r="U25" s="954"/>
      <c r="V25" s="954"/>
      <c r="W25" s="954"/>
      <c r="X25" s="954"/>
      <c r="Y25" s="954"/>
      <c r="Z25" s="954"/>
      <c r="AA25" s="954"/>
      <c r="AB25" s="954"/>
      <c r="AC25" s="954"/>
      <c r="AD25" s="955"/>
    </row>
    <row r="26" spans="1:30" ht="20.100000000000001" customHeight="1">
      <c r="A26" s="965">
        <f>Projet!R33</f>
        <v>0</v>
      </c>
      <c r="B26" s="963"/>
      <c r="C26" s="963"/>
      <c r="D26" s="963"/>
      <c r="E26" s="963"/>
      <c r="F26" s="963"/>
      <c r="G26" s="963"/>
      <c r="H26" s="963"/>
      <c r="I26" s="963"/>
      <c r="J26" s="963"/>
      <c r="K26" s="963"/>
      <c r="L26" s="963"/>
      <c r="M26" s="963"/>
      <c r="N26" s="963"/>
      <c r="O26" s="963"/>
      <c r="P26" s="953"/>
      <c r="Q26" s="954"/>
      <c r="R26" s="954"/>
      <c r="S26" s="954"/>
      <c r="T26" s="954"/>
      <c r="U26" s="954"/>
      <c r="V26" s="954"/>
      <c r="W26" s="954"/>
      <c r="X26" s="954"/>
      <c r="Y26" s="954"/>
      <c r="Z26" s="954"/>
      <c r="AA26" s="954"/>
      <c r="AB26" s="954"/>
      <c r="AC26" s="954"/>
      <c r="AD26" s="955"/>
    </row>
    <row r="27" spans="1:30" ht="20.100000000000001" customHeight="1">
      <c r="A27" s="965">
        <f>Projet!R34</f>
        <v>0</v>
      </c>
      <c r="B27" s="963"/>
      <c r="C27" s="963"/>
      <c r="D27" s="963"/>
      <c r="E27" s="963"/>
      <c r="F27" s="963"/>
      <c r="G27" s="963"/>
      <c r="H27" s="963"/>
      <c r="I27" s="963"/>
      <c r="J27" s="963"/>
      <c r="K27" s="963"/>
      <c r="L27" s="963"/>
      <c r="M27" s="963"/>
      <c r="N27" s="963"/>
      <c r="O27" s="963"/>
      <c r="P27" s="953"/>
      <c r="Q27" s="954"/>
      <c r="R27" s="954"/>
      <c r="S27" s="954"/>
      <c r="T27" s="954"/>
      <c r="U27" s="954"/>
      <c r="V27" s="954"/>
      <c r="W27" s="954"/>
      <c r="X27" s="954"/>
      <c r="Y27" s="954"/>
      <c r="Z27" s="954"/>
      <c r="AA27" s="954"/>
      <c r="AB27" s="954"/>
      <c r="AC27" s="954"/>
      <c r="AD27" s="955"/>
    </row>
    <row r="28" spans="1:30" ht="20.100000000000001" customHeight="1">
      <c r="A28" s="965">
        <f>Projet!R35</f>
        <v>0</v>
      </c>
      <c r="B28" s="963"/>
      <c r="C28" s="963"/>
      <c r="D28" s="963"/>
      <c r="E28" s="963"/>
      <c r="F28" s="963"/>
      <c r="G28" s="963"/>
      <c r="H28" s="963"/>
      <c r="I28" s="963"/>
      <c r="J28" s="963"/>
      <c r="K28" s="963"/>
      <c r="L28" s="963"/>
      <c r="M28" s="963"/>
      <c r="N28" s="963"/>
      <c r="O28" s="963"/>
      <c r="P28" s="953"/>
      <c r="Q28" s="954"/>
      <c r="R28" s="954"/>
      <c r="S28" s="954"/>
      <c r="T28" s="954"/>
      <c r="U28" s="954"/>
      <c r="V28" s="954"/>
      <c r="W28" s="954"/>
      <c r="X28" s="954"/>
      <c r="Y28" s="954"/>
      <c r="Z28" s="954"/>
      <c r="AA28" s="954"/>
      <c r="AB28" s="954"/>
      <c r="AC28" s="954"/>
      <c r="AD28" s="955"/>
    </row>
    <row r="29" spans="1:30" ht="20.100000000000001" customHeight="1">
      <c r="A29" s="961">
        <f>Projet!R36</f>
        <v>0</v>
      </c>
      <c r="B29" s="890"/>
      <c r="C29" s="890"/>
      <c r="D29" s="890"/>
      <c r="E29" s="890">
        <f>Projet!X36</f>
        <v>0</v>
      </c>
      <c r="F29" s="890"/>
      <c r="G29" s="890"/>
      <c r="H29" s="890"/>
      <c r="I29" s="890"/>
      <c r="J29" s="890"/>
      <c r="K29" s="890"/>
      <c r="L29" s="890"/>
      <c r="M29" s="890"/>
      <c r="N29" s="890"/>
      <c r="O29" s="890"/>
      <c r="P29" s="956"/>
      <c r="Q29" s="957"/>
      <c r="R29" s="957"/>
      <c r="S29" s="957"/>
      <c r="T29" s="957"/>
      <c r="U29" s="957"/>
      <c r="V29" s="957"/>
      <c r="W29" s="957"/>
      <c r="X29" s="957"/>
      <c r="Y29" s="957"/>
      <c r="Z29" s="957"/>
      <c r="AA29" s="957"/>
      <c r="AB29" s="957"/>
      <c r="AC29" s="957"/>
      <c r="AD29" s="958"/>
    </row>
    <row r="30" spans="1:30" ht="20.100000000000001" customHeight="1">
      <c r="A30" s="959" t="s">
        <v>439</v>
      </c>
      <c r="B30" s="960"/>
      <c r="C30" s="960"/>
      <c r="D30" s="960"/>
      <c r="E30" s="960"/>
      <c r="F30" s="960"/>
      <c r="G30" s="960"/>
      <c r="H30" s="960"/>
      <c r="I30" s="960"/>
      <c r="J30" s="960"/>
      <c r="K30" s="960"/>
      <c r="L30" s="960"/>
      <c r="M30" s="960"/>
      <c r="N30" s="960"/>
      <c r="O30" s="960"/>
      <c r="P30" s="973" t="s">
        <v>440</v>
      </c>
      <c r="Q30" s="960"/>
      <c r="R30" s="960"/>
      <c r="S30" s="960"/>
      <c r="T30" s="960"/>
      <c r="U30" s="960"/>
      <c r="V30" s="960"/>
      <c r="W30" s="960"/>
      <c r="X30" s="960"/>
      <c r="Y30" s="960"/>
      <c r="Z30" s="960"/>
      <c r="AA30" s="960"/>
      <c r="AB30" s="960"/>
      <c r="AC30" s="960"/>
      <c r="AD30" s="974"/>
    </row>
    <row r="31" spans="1:30" ht="35.1" customHeight="1" thickBot="1">
      <c r="A31" s="985" t="s">
        <v>420</v>
      </c>
      <c r="B31" s="950"/>
      <c r="C31" s="951">
        <v>44573</v>
      </c>
      <c r="D31" s="952"/>
      <c r="E31" s="952"/>
      <c r="F31" s="952"/>
      <c r="G31" s="952"/>
      <c r="H31" s="950" t="s">
        <v>441</v>
      </c>
      <c r="I31" s="950"/>
      <c r="J31" s="950"/>
      <c r="K31" s="950"/>
      <c r="L31" s="950"/>
      <c r="M31" s="950"/>
      <c r="N31" s="950"/>
      <c r="O31" s="950"/>
      <c r="P31" s="949" t="s">
        <v>420</v>
      </c>
      <c r="Q31" s="950"/>
      <c r="R31" s="951">
        <v>44573</v>
      </c>
      <c r="S31" s="952"/>
      <c r="T31" s="952"/>
      <c r="U31" s="952"/>
      <c r="V31" s="952"/>
      <c r="W31" s="950" t="s">
        <v>441</v>
      </c>
      <c r="X31" s="950"/>
      <c r="Y31" s="950"/>
      <c r="Z31" s="950"/>
      <c r="AA31" s="950"/>
      <c r="AB31" s="950"/>
      <c r="AC31" s="950"/>
      <c r="AD31" s="975"/>
    </row>
    <row r="32" spans="1:30" ht="15" customHeight="1" thickBot="1">
      <c r="A32"/>
    </row>
    <row r="33" spans="1:30" ht="39.950000000000003" customHeight="1" thickBot="1">
      <c r="A33" s="942" t="s">
        <v>444</v>
      </c>
      <c r="B33" s="943"/>
      <c r="C33" s="121" t="s">
        <v>428</v>
      </c>
      <c r="D33" s="939">
        <f>D17</f>
        <v>0</v>
      </c>
      <c r="E33" s="940"/>
      <c r="F33" s="940"/>
      <c r="G33" s="940"/>
      <c r="H33" s="940"/>
      <c r="I33" s="941"/>
      <c r="J33" s="936" t="s">
        <v>445</v>
      </c>
      <c r="K33" s="937"/>
      <c r="L33" s="937"/>
      <c r="M33" s="937"/>
      <c r="N33" s="937"/>
      <c r="O33" s="937"/>
      <c r="P33" s="937"/>
      <c r="Q33" s="937"/>
      <c r="R33" s="938"/>
      <c r="S33" s="116">
        <v>1</v>
      </c>
      <c r="T33" s="116">
        <v>2</v>
      </c>
      <c r="U33" s="116">
        <v>3</v>
      </c>
      <c r="V33" s="116">
        <v>4</v>
      </c>
      <c r="W33" s="116">
        <v>5</v>
      </c>
      <c r="X33" s="116">
        <v>6</v>
      </c>
      <c r="Y33" s="116">
        <v>7</v>
      </c>
      <c r="Z33" s="116">
        <v>8</v>
      </c>
      <c r="AA33" s="116">
        <v>9</v>
      </c>
      <c r="AB33" s="116">
        <v>10</v>
      </c>
      <c r="AC33" s="116">
        <v>11</v>
      </c>
      <c r="AD33" s="117">
        <v>12</v>
      </c>
    </row>
    <row r="34" spans="1:30" ht="20.100000000000001" customHeight="1">
      <c r="A34" s="979" t="s">
        <v>446</v>
      </c>
      <c r="B34" s="980"/>
      <c r="C34" s="980"/>
      <c r="D34" s="980"/>
      <c r="E34" s="980"/>
      <c r="F34" s="980"/>
      <c r="G34" s="980"/>
      <c r="H34" s="980"/>
      <c r="I34" s="980"/>
      <c r="J34" s="980"/>
      <c r="K34" s="980"/>
      <c r="L34" s="980"/>
      <c r="M34" s="980"/>
      <c r="N34" s="980"/>
      <c r="O34" s="981"/>
      <c r="P34" s="976" t="s">
        <v>431</v>
      </c>
      <c r="Q34" s="977"/>
      <c r="R34" s="977"/>
      <c r="S34" s="977"/>
      <c r="T34" s="977"/>
      <c r="U34" s="977"/>
      <c r="V34" s="977"/>
      <c r="W34" s="977"/>
      <c r="X34" s="977"/>
      <c r="Y34" s="977"/>
      <c r="Z34" s="977"/>
      <c r="AA34" s="977"/>
      <c r="AB34" s="977"/>
      <c r="AC34" s="977"/>
      <c r="AD34" s="978"/>
    </row>
    <row r="35" spans="1:30" ht="20.100000000000001" customHeight="1">
      <c r="A35" s="982"/>
      <c r="B35" s="983"/>
      <c r="C35" s="983"/>
      <c r="D35" s="983"/>
      <c r="E35" s="983"/>
      <c r="F35" s="983"/>
      <c r="G35" s="983"/>
      <c r="H35" s="983"/>
      <c r="I35" s="983"/>
      <c r="J35" s="983"/>
      <c r="K35" s="983"/>
      <c r="L35" s="983"/>
      <c r="M35" s="983"/>
      <c r="N35" s="983"/>
      <c r="O35" s="984"/>
      <c r="P35" s="966" t="s">
        <v>342</v>
      </c>
      <c r="Q35" s="890"/>
      <c r="R35" s="890">
        <f>R19</f>
        <v>0</v>
      </c>
      <c r="S35" s="890"/>
      <c r="T35" s="890"/>
      <c r="U35" s="890"/>
      <c r="V35" s="890"/>
      <c r="W35" s="890"/>
      <c r="X35" s="119" t="s">
        <v>433</v>
      </c>
      <c r="Y35" s="890">
        <f>Y19</f>
        <v>0</v>
      </c>
      <c r="Z35" s="890"/>
      <c r="AA35" s="890"/>
      <c r="AB35" s="890"/>
      <c r="AC35" s="890"/>
      <c r="AD35" s="969"/>
    </row>
    <row r="36" spans="1:30" ht="20.100000000000001" customHeight="1">
      <c r="A36" s="982"/>
      <c r="B36" s="983"/>
      <c r="C36" s="983"/>
      <c r="D36" s="983"/>
      <c r="E36" s="983"/>
      <c r="F36" s="983"/>
      <c r="G36" s="983"/>
      <c r="H36" s="983"/>
      <c r="I36" s="983"/>
      <c r="J36" s="983"/>
      <c r="K36" s="983"/>
      <c r="L36" s="983"/>
      <c r="M36" s="983"/>
      <c r="N36" s="983"/>
      <c r="O36" s="984"/>
      <c r="P36" s="962" t="s">
        <v>435</v>
      </c>
      <c r="Q36" s="963"/>
      <c r="R36" s="963"/>
      <c r="S36" s="963"/>
      <c r="T36" s="963"/>
      <c r="U36" s="963"/>
      <c r="V36" s="963"/>
      <c r="W36" s="963"/>
      <c r="X36" s="963"/>
      <c r="Y36" s="963"/>
      <c r="Z36" s="963"/>
      <c r="AA36" s="963"/>
      <c r="AB36" s="963"/>
      <c r="AC36" s="963"/>
      <c r="AD36" s="964"/>
    </row>
    <row r="37" spans="1:30" ht="20.100000000000001" customHeight="1">
      <c r="A37" s="982"/>
      <c r="B37" s="983"/>
      <c r="C37" s="983"/>
      <c r="D37" s="983"/>
      <c r="E37" s="983"/>
      <c r="F37" s="983"/>
      <c r="G37" s="983"/>
      <c r="H37" s="983"/>
      <c r="I37" s="983"/>
      <c r="J37" s="983"/>
      <c r="K37" s="983"/>
      <c r="L37" s="983"/>
      <c r="M37" s="983"/>
      <c r="N37" s="983"/>
      <c r="O37" s="984"/>
      <c r="P37" s="966" t="s">
        <v>342</v>
      </c>
      <c r="Q37" s="890"/>
      <c r="R37" s="890">
        <f>R21</f>
        <v>0</v>
      </c>
      <c r="S37" s="890"/>
      <c r="T37" s="890"/>
      <c r="U37" s="890"/>
      <c r="V37" s="890"/>
      <c r="W37" s="890"/>
      <c r="X37" s="119" t="s">
        <v>433</v>
      </c>
      <c r="Y37" s="890">
        <f>Y21</f>
        <v>0</v>
      </c>
      <c r="Z37" s="890"/>
      <c r="AA37" s="890"/>
      <c r="AB37" s="890"/>
      <c r="AC37" s="890"/>
      <c r="AD37" s="969"/>
    </row>
    <row r="38" spans="1:30" ht="20.100000000000001" customHeight="1">
      <c r="A38" s="982"/>
      <c r="B38" s="983"/>
      <c r="C38" s="983"/>
      <c r="D38" s="983"/>
      <c r="E38" s="983"/>
      <c r="F38" s="983"/>
      <c r="G38" s="983"/>
      <c r="H38" s="983"/>
      <c r="I38" s="983"/>
      <c r="J38" s="983"/>
      <c r="K38" s="983"/>
      <c r="L38" s="983"/>
      <c r="M38" s="983"/>
      <c r="N38" s="983"/>
      <c r="O38" s="984"/>
      <c r="P38" s="962" t="s">
        <v>436</v>
      </c>
      <c r="Q38" s="963"/>
      <c r="R38" s="963"/>
      <c r="S38" s="963"/>
      <c r="T38" s="963"/>
      <c r="U38" s="963"/>
      <c r="V38" s="963"/>
      <c r="W38" s="963"/>
      <c r="X38" s="963"/>
      <c r="Y38" s="963"/>
      <c r="Z38" s="963"/>
      <c r="AA38" s="963"/>
      <c r="AB38" s="963"/>
      <c r="AC38" s="963"/>
      <c r="AD38" s="964"/>
    </row>
    <row r="39" spans="1:30" ht="20.100000000000001" customHeight="1">
      <c r="A39" s="982"/>
      <c r="B39" s="983"/>
      <c r="C39" s="983"/>
      <c r="D39" s="983"/>
      <c r="E39" s="983"/>
      <c r="F39" s="983"/>
      <c r="G39" s="983"/>
      <c r="H39" s="983"/>
      <c r="I39" s="983"/>
      <c r="J39" s="983"/>
      <c r="K39" s="983"/>
      <c r="L39" s="983"/>
      <c r="M39" s="983"/>
      <c r="N39" s="983"/>
      <c r="O39" s="984"/>
      <c r="P39" s="966" t="s">
        <v>342</v>
      </c>
      <c r="Q39" s="890"/>
      <c r="R39" s="890">
        <f>R23</f>
        <v>0</v>
      </c>
      <c r="S39" s="890"/>
      <c r="T39" s="890"/>
      <c r="U39" s="890"/>
      <c r="V39" s="890"/>
      <c r="W39" s="890"/>
      <c r="X39" s="119" t="s">
        <v>433</v>
      </c>
      <c r="Y39" s="890">
        <f>Y23</f>
        <v>0</v>
      </c>
      <c r="Z39" s="890"/>
      <c r="AA39" s="890"/>
      <c r="AB39" s="890"/>
      <c r="AC39" s="890"/>
      <c r="AD39" s="969"/>
    </row>
    <row r="40" spans="1:30" ht="20.100000000000001" customHeight="1">
      <c r="A40" s="982"/>
      <c r="B40" s="983"/>
      <c r="C40" s="983"/>
      <c r="D40" s="983"/>
      <c r="E40" s="983"/>
      <c r="F40" s="983"/>
      <c r="G40" s="983"/>
      <c r="H40" s="983"/>
      <c r="I40" s="983"/>
      <c r="J40" s="983"/>
      <c r="K40" s="983"/>
      <c r="L40" s="983"/>
      <c r="M40" s="983"/>
      <c r="N40" s="983"/>
      <c r="O40" s="984"/>
      <c r="P40" s="953" t="s">
        <v>437</v>
      </c>
      <c r="Q40" s="954"/>
      <c r="R40" s="954"/>
      <c r="S40" s="954"/>
      <c r="T40" s="954"/>
      <c r="U40" s="954"/>
      <c r="V40" s="954"/>
      <c r="W40" s="954"/>
      <c r="X40" s="954"/>
      <c r="Y40" s="954"/>
      <c r="Z40" s="954"/>
      <c r="AA40" s="954"/>
      <c r="AB40" s="954"/>
      <c r="AC40" s="954"/>
      <c r="AD40" s="955"/>
    </row>
    <row r="41" spans="1:30" ht="20.100000000000001" customHeight="1">
      <c r="A41" s="982"/>
      <c r="B41" s="983"/>
      <c r="C41" s="983"/>
      <c r="D41" s="983"/>
      <c r="E41" s="983"/>
      <c r="F41" s="983"/>
      <c r="G41" s="983"/>
      <c r="H41" s="983"/>
      <c r="I41" s="983"/>
      <c r="J41" s="983"/>
      <c r="K41" s="983"/>
      <c r="L41" s="983"/>
      <c r="M41" s="983"/>
      <c r="N41" s="983"/>
      <c r="O41" s="984"/>
      <c r="P41" s="953"/>
      <c r="Q41" s="954"/>
      <c r="R41" s="954"/>
      <c r="S41" s="954"/>
      <c r="T41" s="954"/>
      <c r="U41" s="954"/>
      <c r="V41" s="954"/>
      <c r="W41" s="954"/>
      <c r="X41" s="954"/>
      <c r="Y41" s="954"/>
      <c r="Z41" s="954"/>
      <c r="AA41" s="954"/>
      <c r="AB41" s="954"/>
      <c r="AC41" s="954"/>
      <c r="AD41" s="955"/>
    </row>
    <row r="42" spans="1:30" ht="20.100000000000001" customHeight="1">
      <c r="A42" s="982"/>
      <c r="B42" s="983"/>
      <c r="C42" s="983"/>
      <c r="D42" s="983"/>
      <c r="E42" s="983"/>
      <c r="F42" s="983"/>
      <c r="G42" s="983"/>
      <c r="H42" s="983"/>
      <c r="I42" s="983"/>
      <c r="J42" s="983"/>
      <c r="K42" s="983"/>
      <c r="L42" s="983"/>
      <c r="M42" s="983"/>
      <c r="N42" s="983"/>
      <c r="O42" s="984"/>
      <c r="P42" s="953"/>
      <c r="Q42" s="954"/>
      <c r="R42" s="954"/>
      <c r="S42" s="954"/>
      <c r="T42" s="954"/>
      <c r="U42" s="954"/>
      <c r="V42" s="954"/>
      <c r="W42" s="954"/>
      <c r="X42" s="954"/>
      <c r="Y42" s="954"/>
      <c r="Z42" s="954"/>
      <c r="AA42" s="954"/>
      <c r="AB42" s="954"/>
      <c r="AC42" s="954"/>
      <c r="AD42" s="955"/>
    </row>
    <row r="43" spans="1:30" ht="20.100000000000001" customHeight="1">
      <c r="A43" s="982"/>
      <c r="B43" s="983"/>
      <c r="C43" s="983"/>
      <c r="D43" s="983"/>
      <c r="E43" s="983"/>
      <c r="F43" s="983"/>
      <c r="G43" s="983"/>
      <c r="H43" s="983"/>
      <c r="I43" s="983"/>
      <c r="J43" s="983"/>
      <c r="K43" s="983"/>
      <c r="L43" s="983"/>
      <c r="M43" s="983"/>
      <c r="N43" s="983"/>
      <c r="O43" s="984"/>
      <c r="P43" s="953"/>
      <c r="Q43" s="954"/>
      <c r="R43" s="954"/>
      <c r="S43" s="954"/>
      <c r="T43" s="954"/>
      <c r="U43" s="954"/>
      <c r="V43" s="954"/>
      <c r="W43" s="954"/>
      <c r="X43" s="954"/>
      <c r="Y43" s="954"/>
      <c r="Z43" s="954"/>
      <c r="AA43" s="954"/>
      <c r="AB43" s="954"/>
      <c r="AC43" s="954"/>
      <c r="AD43" s="955"/>
    </row>
    <row r="44" spans="1:30" ht="20.100000000000001" customHeight="1">
      <c r="A44" s="982"/>
      <c r="B44" s="983"/>
      <c r="C44" s="983"/>
      <c r="D44" s="983"/>
      <c r="E44" s="983"/>
      <c r="F44" s="983"/>
      <c r="G44" s="983"/>
      <c r="H44" s="983"/>
      <c r="I44" s="983"/>
      <c r="J44" s="983"/>
      <c r="K44" s="983"/>
      <c r="L44" s="983"/>
      <c r="M44" s="983"/>
      <c r="N44" s="983"/>
      <c r="O44" s="984"/>
      <c r="P44" s="953"/>
      <c r="Q44" s="954"/>
      <c r="R44" s="954"/>
      <c r="S44" s="954"/>
      <c r="T44" s="954"/>
      <c r="U44" s="954"/>
      <c r="V44" s="954"/>
      <c r="W44" s="954"/>
      <c r="X44" s="954"/>
      <c r="Y44" s="954"/>
      <c r="Z44" s="954"/>
      <c r="AA44" s="954"/>
      <c r="AB44" s="954"/>
      <c r="AC44" s="954"/>
      <c r="AD44" s="955"/>
    </row>
    <row r="45" spans="1:30" ht="20.100000000000001" customHeight="1">
      <c r="A45" s="982"/>
      <c r="B45" s="983"/>
      <c r="C45" s="983"/>
      <c r="D45" s="983"/>
      <c r="E45" s="983"/>
      <c r="F45" s="983"/>
      <c r="G45" s="983"/>
      <c r="H45" s="983"/>
      <c r="I45" s="983"/>
      <c r="J45" s="983"/>
      <c r="K45" s="983"/>
      <c r="L45" s="983"/>
      <c r="M45" s="983"/>
      <c r="N45" s="983"/>
      <c r="O45" s="984"/>
      <c r="P45" s="956"/>
      <c r="Q45" s="957"/>
      <c r="R45" s="957"/>
      <c r="S45" s="957"/>
      <c r="T45" s="957"/>
      <c r="U45" s="957"/>
      <c r="V45" s="957"/>
      <c r="W45" s="957"/>
      <c r="X45" s="957"/>
      <c r="Y45" s="957"/>
      <c r="Z45" s="957"/>
      <c r="AA45" s="957"/>
      <c r="AB45" s="957"/>
      <c r="AC45" s="957"/>
      <c r="AD45" s="958"/>
    </row>
    <row r="46" spans="1:30" ht="20.100000000000001" customHeight="1">
      <c r="A46" s="982"/>
      <c r="B46" s="983"/>
      <c r="C46" s="983"/>
      <c r="D46" s="983"/>
      <c r="E46" s="983"/>
      <c r="F46" s="983"/>
      <c r="G46" s="983"/>
      <c r="H46" s="983"/>
      <c r="I46" s="983"/>
      <c r="J46" s="983"/>
      <c r="K46" s="983"/>
      <c r="L46" s="983"/>
      <c r="M46" s="983"/>
      <c r="N46" s="983"/>
      <c r="O46" s="984"/>
      <c r="P46" s="973" t="s">
        <v>440</v>
      </c>
      <c r="Q46" s="960"/>
      <c r="R46" s="960"/>
      <c r="S46" s="960"/>
      <c r="T46" s="960"/>
      <c r="U46" s="960"/>
      <c r="V46" s="960"/>
      <c r="W46" s="960"/>
      <c r="X46" s="960"/>
      <c r="Y46" s="960"/>
      <c r="Z46" s="960"/>
      <c r="AA46" s="960"/>
      <c r="AB46" s="960"/>
      <c r="AC46" s="960"/>
      <c r="AD46" s="974"/>
    </row>
    <row r="47" spans="1:30" ht="35.1" customHeight="1" thickBot="1">
      <c r="A47" s="982"/>
      <c r="B47" s="983"/>
      <c r="C47" s="983"/>
      <c r="D47" s="983"/>
      <c r="E47" s="983"/>
      <c r="F47" s="983"/>
      <c r="G47" s="983"/>
      <c r="H47" s="983"/>
      <c r="I47" s="983"/>
      <c r="J47" s="983"/>
      <c r="K47" s="983"/>
      <c r="L47" s="983"/>
      <c r="M47" s="983"/>
      <c r="N47" s="983"/>
      <c r="O47" s="983"/>
      <c r="P47" s="949" t="s">
        <v>420</v>
      </c>
      <c r="Q47" s="950"/>
      <c r="R47" s="951">
        <v>44573</v>
      </c>
      <c r="S47" s="952"/>
      <c r="T47" s="952"/>
      <c r="U47" s="952"/>
      <c r="V47" s="952"/>
      <c r="W47" s="950" t="s">
        <v>441</v>
      </c>
      <c r="X47" s="950"/>
      <c r="Y47" s="950"/>
      <c r="Z47" s="950"/>
      <c r="AA47" s="950"/>
      <c r="AB47" s="950"/>
      <c r="AC47" s="950"/>
      <c r="AD47" s="975"/>
    </row>
  </sheetData>
  <sheetProtection algorithmName="SHA-512" hashValue="Gx/06FAgj7peZgTy/cWXlL48HOl84qKdcV8KW8eFegCj+NIGjgZNLb8Z/i+tRXnprRmlpFduHQPQABPCTfBM2Q==" saltValue="bl/zTN369taPd3FKzMVzWQ==" spinCount="100000" sheet="1" objects="1" scenarios="1"/>
  <mergeCells count="102">
    <mergeCell ref="W47:AD47"/>
    <mergeCell ref="A34:O47"/>
    <mergeCell ref="A15:B15"/>
    <mergeCell ref="C15:G15"/>
    <mergeCell ref="P15:Q15"/>
    <mergeCell ref="R15:V15"/>
    <mergeCell ref="A31:B31"/>
    <mergeCell ref="C31:G31"/>
    <mergeCell ref="P31:Q31"/>
    <mergeCell ref="R31:V31"/>
    <mergeCell ref="P38:AD38"/>
    <mergeCell ref="P39:Q39"/>
    <mergeCell ref="R39:W39"/>
    <mergeCell ref="Y39:AD39"/>
    <mergeCell ref="P40:AD45"/>
    <mergeCell ref="P46:AD46"/>
    <mergeCell ref="P35:Q35"/>
    <mergeCell ref="R35:W35"/>
    <mergeCell ref="Y35:AD35"/>
    <mergeCell ref="P36:AD36"/>
    <mergeCell ref="P37:Q37"/>
    <mergeCell ref="R37:W37"/>
    <mergeCell ref="Y37:AD37"/>
    <mergeCell ref="P30:AD30"/>
    <mergeCell ref="H31:O31"/>
    <mergeCell ref="W31:AD31"/>
    <mergeCell ref="P34:AD34"/>
    <mergeCell ref="A26:O26"/>
    <mergeCell ref="A27:O27"/>
    <mergeCell ref="A28:O28"/>
    <mergeCell ref="A29:D29"/>
    <mergeCell ref="E29:O29"/>
    <mergeCell ref="A30:O30"/>
    <mergeCell ref="A33:B33"/>
    <mergeCell ref="J33:R33"/>
    <mergeCell ref="R21:W21"/>
    <mergeCell ref="Y21:AD21"/>
    <mergeCell ref="A22:O22"/>
    <mergeCell ref="P22:AD22"/>
    <mergeCell ref="A23:O23"/>
    <mergeCell ref="P23:Q23"/>
    <mergeCell ref="R23:W23"/>
    <mergeCell ref="Y23:AD23"/>
    <mergeCell ref="H18:O18"/>
    <mergeCell ref="P18:AD18"/>
    <mergeCell ref="A19:G19"/>
    <mergeCell ref="H19:O19"/>
    <mergeCell ref="P19:Q19"/>
    <mergeCell ref="R19:W19"/>
    <mergeCell ref="Y19:AD19"/>
    <mergeCell ref="P7:Q7"/>
    <mergeCell ref="R7:W7"/>
    <mergeCell ref="P14:AD14"/>
    <mergeCell ref="W15:AD15"/>
    <mergeCell ref="P8:AD13"/>
    <mergeCell ref="P2:AD2"/>
    <mergeCell ref="P4:AD4"/>
    <mergeCell ref="R3:W3"/>
    <mergeCell ref="Y3:AD3"/>
    <mergeCell ref="P3:Q3"/>
    <mergeCell ref="P5:Q5"/>
    <mergeCell ref="R5:W5"/>
    <mergeCell ref="P6:AD6"/>
    <mergeCell ref="Y5:AD5"/>
    <mergeCell ref="A11:O11"/>
    <mergeCell ref="A12:O12"/>
    <mergeCell ref="A13:D13"/>
    <mergeCell ref="E13:O13"/>
    <mergeCell ref="A14:O14"/>
    <mergeCell ref="H15:O15"/>
    <mergeCell ref="H2:O2"/>
    <mergeCell ref="A5:O5"/>
    <mergeCell ref="A4:O4"/>
    <mergeCell ref="A2:G2"/>
    <mergeCell ref="A3:G3"/>
    <mergeCell ref="H3:O3"/>
    <mergeCell ref="A7:O7"/>
    <mergeCell ref="A6:O6"/>
    <mergeCell ref="K17:R17"/>
    <mergeCell ref="D33:I33"/>
    <mergeCell ref="A1:B1"/>
    <mergeCell ref="K1:O1"/>
    <mergeCell ref="D1:J1"/>
    <mergeCell ref="P1:R1"/>
    <mergeCell ref="P47:Q47"/>
    <mergeCell ref="R47:V47"/>
    <mergeCell ref="P24:AD29"/>
    <mergeCell ref="A25:O25"/>
    <mergeCell ref="A24:D24"/>
    <mergeCell ref="E24:O24"/>
    <mergeCell ref="A20:O20"/>
    <mergeCell ref="P20:AD20"/>
    <mergeCell ref="A21:O21"/>
    <mergeCell ref="P21:Q21"/>
    <mergeCell ref="A17:B17"/>
    <mergeCell ref="D17:J17"/>
    <mergeCell ref="A18:G18"/>
    <mergeCell ref="A9:O9"/>
    <mergeCell ref="A10:O10"/>
    <mergeCell ref="E8:O8"/>
    <mergeCell ref="Y7:AD7"/>
    <mergeCell ref="A8:D8"/>
  </mergeCells>
  <pageMargins left="0.25" right="0.25" top="0.75" bottom="0.75" header="0.3" footer="0.3"/>
  <pageSetup paperSize="9" scale="73"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9AC90-2DC8-4177-9DAA-04819DC1C08B}">
  <sheetPr codeName="Feuil12">
    <tabColor rgb="FFFFC000"/>
    <pageSetUpPr fitToPage="1"/>
  </sheetPr>
  <dimension ref="A1:AM45"/>
  <sheetViews>
    <sheetView view="pageBreakPreview" topLeftCell="A26" zoomScaleNormal="100" zoomScaleSheetLayoutView="100" workbookViewId="0">
      <selection activeCell="L62" sqref="L62"/>
    </sheetView>
  </sheetViews>
  <sheetFormatPr baseColWidth="10" defaultColWidth="11.42578125" defaultRowHeight="15"/>
  <cols>
    <col min="1" max="34" width="3.28515625" customWidth="1"/>
  </cols>
  <sheetData>
    <row r="1" spans="1:35" ht="14.1" customHeight="1">
      <c r="P1" s="357" t="s">
        <v>447</v>
      </c>
      <c r="Q1" s="357"/>
      <c r="R1" s="357"/>
      <c r="S1" s="357"/>
      <c r="T1" s="357"/>
      <c r="U1" s="357"/>
      <c r="V1" s="357"/>
      <c r="W1" s="357"/>
      <c r="X1" s="357"/>
      <c r="Y1" s="357"/>
      <c r="Z1" s="357"/>
      <c r="AA1" s="357"/>
      <c r="AB1" s="357"/>
      <c r="AC1" s="357"/>
      <c r="AD1" s="357"/>
    </row>
    <row r="2" spans="1:35" ht="14.1" customHeight="1">
      <c r="P2" s="358"/>
      <c r="Q2" s="358"/>
      <c r="R2" s="358"/>
      <c r="S2" s="358"/>
      <c r="T2" s="358"/>
      <c r="U2" s="358"/>
      <c r="V2" s="358"/>
      <c r="W2" s="358"/>
      <c r="X2" s="358"/>
      <c r="Y2" s="358"/>
      <c r="Z2" s="358"/>
      <c r="AA2" s="358"/>
      <c r="AB2" s="358"/>
      <c r="AC2" s="358"/>
      <c r="AD2" s="358"/>
    </row>
    <row r="3" spans="1:35" ht="14.1" customHeight="1">
      <c r="P3" s="358"/>
      <c r="Q3" s="358"/>
      <c r="R3" s="358"/>
      <c r="S3" s="358"/>
      <c r="T3" s="358"/>
      <c r="U3" s="358"/>
      <c r="V3" s="358"/>
      <c r="W3" s="358"/>
      <c r="X3" s="358"/>
      <c r="Y3" s="358"/>
      <c r="Z3" s="358"/>
      <c r="AA3" s="358"/>
      <c r="AB3" s="358"/>
      <c r="AC3" s="358"/>
      <c r="AD3" s="358"/>
    </row>
    <row r="4" spans="1:35" ht="14.1" customHeight="1" thickBot="1">
      <c r="P4" s="359"/>
      <c r="Q4" s="359"/>
      <c r="R4" s="359"/>
      <c r="S4" s="359"/>
      <c r="T4" s="359"/>
      <c r="U4" s="359"/>
      <c r="V4" s="359"/>
      <c r="W4" s="359"/>
      <c r="X4" s="359"/>
      <c r="Y4" s="359"/>
      <c r="Z4" s="359"/>
      <c r="AA4" s="359"/>
      <c r="AB4" s="359"/>
      <c r="AC4" s="359"/>
      <c r="AD4" s="359"/>
    </row>
    <row r="5" spans="1:35" ht="14.1" customHeight="1">
      <c r="A5" s="360" t="s">
        <v>1</v>
      </c>
      <c r="B5" s="361"/>
      <c r="C5" s="361"/>
      <c r="D5" s="361"/>
      <c r="E5" s="361"/>
      <c r="F5" s="361"/>
      <c r="G5" s="361"/>
      <c r="H5" s="361"/>
      <c r="I5" s="361"/>
      <c r="J5" s="361"/>
      <c r="K5" s="361"/>
      <c r="L5" s="361"/>
      <c r="M5" s="361"/>
      <c r="N5" s="361"/>
      <c r="O5" s="362"/>
      <c r="P5" s="1005" t="s">
        <v>2</v>
      </c>
      <c r="Q5" s="1006"/>
      <c r="R5" s="1006"/>
      <c r="S5" s="1006"/>
      <c r="T5" s="1007"/>
      <c r="U5" s="994">
        <f>Client</f>
        <v>0</v>
      </c>
      <c r="V5" s="994"/>
      <c r="W5" s="994"/>
      <c r="X5" s="994"/>
      <c r="Y5" s="994"/>
      <c r="Z5" s="994"/>
      <c r="AA5" s="994"/>
      <c r="AB5" s="994"/>
      <c r="AC5" s="994"/>
      <c r="AD5" s="1008"/>
    </row>
    <row r="6" spans="1:35" ht="14.1" customHeight="1" thickBot="1">
      <c r="A6" s="363"/>
      <c r="B6" s="364"/>
      <c r="C6" s="364"/>
      <c r="D6" s="364"/>
      <c r="E6" s="364"/>
      <c r="F6" s="364"/>
      <c r="G6" s="364"/>
      <c r="H6" s="364"/>
      <c r="I6" s="364"/>
      <c r="J6" s="364"/>
      <c r="K6" s="364"/>
      <c r="L6" s="364"/>
      <c r="M6" s="364"/>
      <c r="N6" s="364"/>
      <c r="O6" s="365"/>
      <c r="P6" s="771"/>
      <c r="Q6" s="772"/>
      <c r="R6" s="772"/>
      <c r="S6" s="772"/>
      <c r="T6" s="773"/>
      <c r="U6" s="511"/>
      <c r="V6" s="511"/>
      <c r="W6" s="511"/>
      <c r="X6" s="511"/>
      <c r="Y6" s="511"/>
      <c r="Z6" s="511"/>
      <c r="AA6" s="511"/>
      <c r="AB6" s="511"/>
      <c r="AC6" s="511"/>
      <c r="AD6" s="512"/>
    </row>
    <row r="7" spans="1:35" ht="27.95" customHeight="1">
      <c r="A7" s="372" t="s">
        <v>4</v>
      </c>
      <c r="B7" s="373"/>
      <c r="C7" s="373"/>
      <c r="D7" s="373"/>
      <c r="E7" s="373"/>
      <c r="F7" s="374"/>
      <c r="G7" s="509">
        <f>Commercial</f>
        <v>0</v>
      </c>
      <c r="H7" s="509"/>
      <c r="I7" s="509"/>
      <c r="J7" s="509"/>
      <c r="K7" s="509"/>
      <c r="L7" s="509"/>
      <c r="M7" s="509"/>
      <c r="N7" s="509"/>
      <c r="O7" s="510"/>
      <c r="P7" s="1009" t="s">
        <v>448</v>
      </c>
      <c r="Q7" s="1010"/>
      <c r="R7" s="1010"/>
      <c r="S7" s="1010"/>
      <c r="T7" s="1011"/>
      <c r="U7" s="348">
        <f>Code_Client_Divalto</f>
        <v>0</v>
      </c>
      <c r="V7" s="349"/>
      <c r="W7" s="349"/>
      <c r="X7" s="349"/>
      <c r="Y7" s="349"/>
      <c r="Z7" s="349"/>
      <c r="AA7" s="349"/>
      <c r="AB7" s="349"/>
      <c r="AC7" s="349"/>
      <c r="AD7" s="350"/>
    </row>
    <row r="8" spans="1:35"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5"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5" ht="15" customHeight="1" thickBot="1"/>
    <row r="11" spans="1:35" ht="39.950000000000003" customHeight="1">
      <c r="A11" s="1012" t="s">
        <v>449</v>
      </c>
      <c r="B11" s="1013"/>
      <c r="C11" s="1013"/>
      <c r="D11" s="1013"/>
      <c r="E11" s="1013"/>
      <c r="F11" s="1013"/>
      <c r="G11" s="1013"/>
      <c r="H11" s="1013"/>
      <c r="I11" s="1013"/>
      <c r="J11" s="1013"/>
      <c r="K11" s="1013"/>
      <c r="L11" s="1013"/>
      <c r="M11" s="1013"/>
      <c r="N11" s="1013"/>
      <c r="O11" s="1013"/>
      <c r="P11" s="1013"/>
      <c r="Q11" s="1013"/>
      <c r="R11" s="1013"/>
      <c r="S11" s="1013"/>
      <c r="T11" s="1013"/>
      <c r="U11" s="1013"/>
      <c r="V11" s="1013"/>
      <c r="W11" s="1013"/>
      <c r="X11" s="1013"/>
      <c r="Y11" s="1013"/>
      <c r="Z11" s="1013"/>
      <c r="AA11" s="1013"/>
      <c r="AB11" s="1013"/>
      <c r="AC11" s="1013"/>
      <c r="AD11" s="1014"/>
    </row>
    <row r="12" spans="1:35" ht="35.1" customHeight="1" thickBot="1">
      <c r="A12" s="1015" t="s">
        <v>450</v>
      </c>
      <c r="B12" s="1016"/>
      <c r="C12" s="1016"/>
      <c r="D12" s="1016"/>
      <c r="E12" s="1016"/>
      <c r="F12" s="1016"/>
      <c r="G12" s="1016"/>
      <c r="H12" s="1016"/>
      <c r="I12" s="1016"/>
      <c r="J12" s="1016"/>
      <c r="K12" s="1016"/>
      <c r="L12" s="1016"/>
      <c r="M12" s="1016"/>
      <c r="N12" s="1016"/>
      <c r="O12" s="1016"/>
      <c r="P12" s="1016"/>
      <c r="Q12" s="1016"/>
      <c r="R12" s="1016"/>
      <c r="S12" s="1016"/>
      <c r="T12" s="1016"/>
      <c r="U12" s="1016"/>
      <c r="V12" s="1016"/>
      <c r="W12" s="1016"/>
      <c r="X12" s="1016"/>
      <c r="Y12" s="1016"/>
      <c r="Z12" s="1016"/>
      <c r="AA12" s="1016"/>
      <c r="AB12" s="1016"/>
      <c r="AC12" s="1016"/>
      <c r="AD12" s="1017"/>
    </row>
    <row r="13" spans="1:35" ht="20.100000000000001" customHeight="1" thickBot="1">
      <c r="A13" s="1018" t="s">
        <v>368</v>
      </c>
      <c r="B13" s="1019"/>
      <c r="C13" s="1020"/>
      <c r="D13" s="1021"/>
      <c r="E13" s="1022"/>
      <c r="F13" s="1022"/>
      <c r="G13" s="1022"/>
      <c r="H13" s="1023" t="s">
        <v>369</v>
      </c>
      <c r="I13" s="1019"/>
      <c r="J13" s="1019"/>
      <c r="K13" s="1019"/>
      <c r="L13" s="1019"/>
      <c r="M13" s="1020"/>
      <c r="N13" s="1024"/>
      <c r="O13" s="1025"/>
      <c r="P13" s="1025"/>
      <c r="Q13" s="1025"/>
      <c r="R13" s="1025"/>
      <c r="S13" s="1026"/>
      <c r="T13" s="1023" t="s">
        <v>370</v>
      </c>
      <c r="U13" s="1019"/>
      <c r="V13" s="1019"/>
      <c r="W13" s="1019"/>
      <c r="X13" s="1019"/>
      <c r="Y13" s="1019"/>
      <c r="Z13" s="1021">
        <f>'PV de Réception'!Z34</f>
        <v>0</v>
      </c>
      <c r="AA13" s="1022"/>
      <c r="AB13" s="1022"/>
      <c r="AC13" s="1022"/>
      <c r="AD13" s="1027"/>
    </row>
    <row r="14" spans="1:35" ht="21.95" customHeight="1">
      <c r="A14" s="986" t="s">
        <v>451</v>
      </c>
      <c r="B14" s="1035"/>
      <c r="C14" s="987"/>
      <c r="D14" s="1038" t="s">
        <v>452</v>
      </c>
      <c r="E14" s="1039"/>
      <c r="F14" s="1039"/>
      <c r="G14" s="1039"/>
      <c r="H14" s="1039"/>
      <c r="I14" s="1039"/>
      <c r="J14" s="1039"/>
      <c r="K14" s="1039"/>
      <c r="L14" s="1039"/>
      <c r="M14" s="1039"/>
      <c r="N14" s="1039"/>
      <c r="O14" s="1040"/>
      <c r="P14" s="345"/>
      <c r="Q14" s="1041"/>
      <c r="R14" s="1038" t="s">
        <v>453</v>
      </c>
      <c r="S14" s="1039"/>
      <c r="T14" s="1039"/>
      <c r="U14" s="1039"/>
      <c r="V14" s="1039"/>
      <c r="W14" s="1039"/>
      <c r="X14" s="1039"/>
      <c r="Y14" s="1039"/>
      <c r="Z14" s="1039"/>
      <c r="AA14" s="1039"/>
      <c r="AB14" s="1040"/>
      <c r="AC14" s="345"/>
      <c r="AD14" s="347"/>
      <c r="AI14" s="31"/>
    </row>
    <row r="15" spans="1:35" ht="21.95" customHeight="1">
      <c r="A15" s="988"/>
      <c r="B15" s="1036"/>
      <c r="C15" s="989"/>
      <c r="D15" s="1028" t="s">
        <v>454</v>
      </c>
      <c r="E15" s="1029"/>
      <c r="F15" s="1029"/>
      <c r="G15" s="1029"/>
      <c r="H15" s="1029"/>
      <c r="I15" s="1029"/>
      <c r="J15" s="1029"/>
      <c r="K15" s="1029"/>
      <c r="L15" s="1029"/>
      <c r="M15" s="1029"/>
      <c r="N15" s="1029"/>
      <c r="O15" s="1030"/>
      <c r="P15" s="348"/>
      <c r="Q15" s="1003"/>
      <c r="R15" s="1028" t="s">
        <v>455</v>
      </c>
      <c r="S15" s="1029"/>
      <c r="T15" s="1029"/>
      <c r="U15" s="1029"/>
      <c r="V15" s="1029"/>
      <c r="W15" s="1029"/>
      <c r="X15" s="1029"/>
      <c r="Y15" s="1029"/>
      <c r="Z15" s="1029"/>
      <c r="AA15" s="1029"/>
      <c r="AB15" s="1030"/>
      <c r="AC15" s="348"/>
      <c r="AD15" s="350"/>
      <c r="AI15" s="31"/>
    </row>
    <row r="16" spans="1:35" ht="21.95" customHeight="1">
      <c r="A16" s="988"/>
      <c r="B16" s="1036"/>
      <c r="C16" s="989"/>
      <c r="D16" s="1028" t="s">
        <v>456</v>
      </c>
      <c r="E16" s="1029"/>
      <c r="F16" s="1029"/>
      <c r="G16" s="1029"/>
      <c r="H16" s="1029"/>
      <c r="I16" s="1029"/>
      <c r="J16" s="1029"/>
      <c r="K16" s="1029"/>
      <c r="L16" s="1029"/>
      <c r="M16" s="1029"/>
      <c r="N16" s="1029"/>
      <c r="O16" s="1030"/>
      <c r="P16" s="348"/>
      <c r="Q16" s="1003"/>
      <c r="R16" s="1028" t="s">
        <v>457</v>
      </c>
      <c r="S16" s="1029"/>
      <c r="T16" s="1029"/>
      <c r="U16" s="1029"/>
      <c r="V16" s="1029"/>
      <c r="W16" s="1029"/>
      <c r="X16" s="1029"/>
      <c r="Y16" s="1029"/>
      <c r="Z16" s="1029"/>
      <c r="AA16" s="1029"/>
      <c r="AB16" s="1030"/>
      <c r="AC16" s="348"/>
      <c r="AD16" s="350"/>
      <c r="AI16" s="31"/>
    </row>
    <row r="17" spans="1:39" ht="21.95" customHeight="1" thickBot="1">
      <c r="A17" s="990"/>
      <c r="B17" s="1037"/>
      <c r="C17" s="991"/>
      <c r="D17" s="1031" t="s">
        <v>458</v>
      </c>
      <c r="E17" s="1032"/>
      <c r="F17" s="1032"/>
      <c r="G17" s="1032"/>
      <c r="H17" s="1032"/>
      <c r="I17" s="1032"/>
      <c r="J17" s="1032"/>
      <c r="K17" s="1032"/>
      <c r="L17" s="1032"/>
      <c r="M17" s="1032"/>
      <c r="N17" s="1032"/>
      <c r="O17" s="1033"/>
      <c r="P17" s="375"/>
      <c r="Q17" s="1034"/>
      <c r="R17" s="1031" t="s">
        <v>459</v>
      </c>
      <c r="S17" s="1032"/>
      <c r="T17" s="1032"/>
      <c r="U17" s="1032"/>
      <c r="V17" s="1032"/>
      <c r="W17" s="1032"/>
      <c r="X17" s="1032"/>
      <c r="Y17" s="1032"/>
      <c r="Z17" s="1032"/>
      <c r="AA17" s="1032"/>
      <c r="AB17" s="1033"/>
      <c r="AC17" s="375"/>
      <c r="AD17" s="377"/>
      <c r="AI17" s="30"/>
      <c r="AJ17" s="30"/>
      <c r="AK17" s="33"/>
      <c r="AL17" s="32"/>
      <c r="AM17" s="32"/>
    </row>
    <row r="18" spans="1:39" ht="20.100000000000001" customHeight="1" thickBot="1">
      <c r="AI18" s="32"/>
      <c r="AJ18" s="32"/>
      <c r="AK18" s="30"/>
      <c r="AL18" s="32"/>
      <c r="AM18" s="29"/>
    </row>
    <row r="19" spans="1:39">
      <c r="A19" s="986" t="s">
        <v>460</v>
      </c>
      <c r="B19" s="987"/>
      <c r="C19" s="992" t="s">
        <v>259</v>
      </c>
      <c r="D19" s="992"/>
      <c r="E19" s="992"/>
      <c r="F19" s="993" t="s">
        <v>298</v>
      </c>
      <c r="G19" s="993"/>
      <c r="H19" s="993"/>
      <c r="I19" s="993"/>
      <c r="J19" s="993"/>
      <c r="K19" s="993"/>
      <c r="L19" s="993"/>
      <c r="M19" s="992" t="s">
        <v>342</v>
      </c>
      <c r="N19" s="992"/>
      <c r="O19" s="994" t="s">
        <v>299</v>
      </c>
      <c r="P19" s="994"/>
      <c r="Q19" s="994"/>
      <c r="R19" s="994"/>
      <c r="S19" s="994"/>
      <c r="T19" s="994"/>
      <c r="U19" s="994"/>
      <c r="V19" s="994"/>
      <c r="W19" s="994"/>
      <c r="X19" s="992" t="s">
        <v>461</v>
      </c>
      <c r="Y19" s="992"/>
      <c r="Z19" s="992"/>
      <c r="AA19" s="994"/>
      <c r="AB19" s="994"/>
      <c r="AC19" s="994"/>
      <c r="AD19" s="1008"/>
    </row>
    <row r="20" spans="1:39">
      <c r="A20" s="988"/>
      <c r="B20" s="989"/>
      <c r="C20" s="170" t="s">
        <v>302</v>
      </c>
      <c r="D20" s="170"/>
      <c r="E20" s="170"/>
      <c r="F20" s="906"/>
      <c r="G20" s="893"/>
      <c r="H20" s="34" t="s">
        <v>303</v>
      </c>
      <c r="I20" s="1030" t="s">
        <v>462</v>
      </c>
      <c r="J20" s="366"/>
      <c r="K20" s="366"/>
      <c r="L20" s="366"/>
      <c r="M20" s="511"/>
      <c r="N20" s="511"/>
      <c r="O20" s="511"/>
      <c r="P20" s="366" t="s">
        <v>463</v>
      </c>
      <c r="Q20" s="366"/>
      <c r="R20" s="366"/>
      <c r="S20" s="366"/>
      <c r="T20" s="366"/>
      <c r="U20" s="511">
        <v>123</v>
      </c>
      <c r="V20" s="511"/>
      <c r="W20" s="511"/>
      <c r="X20" s="511"/>
      <c r="Y20" s="511"/>
      <c r="Z20" s="511"/>
      <c r="AA20" s="103" t="s">
        <v>263</v>
      </c>
      <c r="AB20" s="511"/>
      <c r="AC20" s="348"/>
      <c r="AD20" s="78" t="s">
        <v>262</v>
      </c>
      <c r="AF20" t="s">
        <v>464</v>
      </c>
    </row>
    <row r="21" spans="1:39">
      <c r="A21" s="988"/>
      <c r="B21" s="989"/>
      <c r="C21" s="366" t="s">
        <v>465</v>
      </c>
      <c r="D21" s="366"/>
      <c r="E21" s="366"/>
      <c r="F21" s="366"/>
      <c r="G21" s="366"/>
      <c r="H21" s="366"/>
      <c r="I21" s="366"/>
      <c r="J21" s="366"/>
      <c r="K21" s="366"/>
      <c r="L21" s="366"/>
      <c r="M21" s="366"/>
      <c r="N21" s="366"/>
      <c r="O21" s="511"/>
      <c r="P21" s="511"/>
      <c r="Q21" s="1028" t="s">
        <v>466</v>
      </c>
      <c r="R21" s="1029"/>
      <c r="S21" s="1029"/>
      <c r="T21" s="1029"/>
      <c r="U21" s="1029"/>
      <c r="V21" s="1029"/>
      <c r="W21" s="1030"/>
      <c r="X21" s="348"/>
      <c r="Y21" s="349"/>
      <c r="Z21" s="349"/>
      <c r="AA21" s="349"/>
      <c r="AB21" s="349"/>
      <c r="AC21" s="349"/>
      <c r="AD21" s="1003"/>
      <c r="AF21" t="s">
        <v>467</v>
      </c>
    </row>
    <row r="22" spans="1:39">
      <c r="A22" s="988"/>
      <c r="B22" s="989"/>
      <c r="C22" s="1028" t="s">
        <v>468</v>
      </c>
      <c r="D22" s="1029"/>
      <c r="E22" s="1029"/>
      <c r="F22" s="1029"/>
      <c r="G22" s="1029"/>
      <c r="H22" s="1029"/>
      <c r="I22" s="1030"/>
      <c r="J22" s="348"/>
      <c r="K22" s="349"/>
      <c r="L22" s="349"/>
      <c r="M22" s="349"/>
      <c r="N22" s="349"/>
      <c r="O22" s="349"/>
      <c r="P22" s="1003"/>
      <c r="Q22" s="1028" t="s">
        <v>469</v>
      </c>
      <c r="R22" s="1029"/>
      <c r="S22" s="1029"/>
      <c r="T22" s="1029"/>
      <c r="U22" s="1029"/>
      <c r="V22" s="1029"/>
      <c r="W22" s="1030"/>
      <c r="X22" s="348"/>
      <c r="Y22" s="349"/>
      <c r="Z22" s="349"/>
      <c r="AA22" s="349"/>
      <c r="AB22" s="349"/>
      <c r="AC22" s="349"/>
      <c r="AD22" s="1003"/>
      <c r="AF22" t="s">
        <v>470</v>
      </c>
    </row>
    <row r="23" spans="1:39">
      <c r="A23" s="988"/>
      <c r="B23" s="989"/>
      <c r="C23" s="366" t="s">
        <v>471</v>
      </c>
      <c r="D23" s="366"/>
      <c r="E23" s="366"/>
      <c r="F23" s="366"/>
      <c r="G23" s="366"/>
      <c r="H23" s="366"/>
      <c r="I23" s="366"/>
      <c r="J23" s="366"/>
      <c r="K23" s="366"/>
      <c r="L23" s="366"/>
      <c r="M23" s="366"/>
      <c r="N23" s="366"/>
      <c r="O23" s="511"/>
      <c r="P23" s="511"/>
      <c r="Q23" s="366" t="s">
        <v>472</v>
      </c>
      <c r="R23" s="366"/>
      <c r="S23" s="366"/>
      <c r="T23" s="366"/>
      <c r="U23" s="366"/>
      <c r="V23" s="366"/>
      <c r="W23" s="366"/>
      <c r="X23" s="366"/>
      <c r="Y23" s="366"/>
      <c r="Z23" s="366"/>
      <c r="AA23" s="366"/>
      <c r="AB23" s="366"/>
      <c r="AC23" s="511"/>
      <c r="AD23" s="512"/>
      <c r="AF23" t="s">
        <v>473</v>
      </c>
    </row>
    <row r="24" spans="1:39">
      <c r="A24" s="988"/>
      <c r="B24" s="989"/>
      <c r="C24" s="366" t="s">
        <v>474</v>
      </c>
      <c r="D24" s="366"/>
      <c r="E24" s="366"/>
      <c r="F24" s="366"/>
      <c r="G24" s="366"/>
      <c r="H24" s="366"/>
      <c r="I24" s="366"/>
      <c r="J24" s="366"/>
      <c r="K24" s="366"/>
      <c r="L24" s="366"/>
      <c r="M24" s="366"/>
      <c r="N24" s="366"/>
      <c r="O24" s="511"/>
      <c r="P24" s="511"/>
      <c r="Q24" s="366" t="s">
        <v>475</v>
      </c>
      <c r="R24" s="366"/>
      <c r="S24" s="366"/>
      <c r="T24" s="366"/>
      <c r="U24" s="366"/>
      <c r="V24" s="366"/>
      <c r="W24" s="366"/>
      <c r="X24" s="366"/>
      <c r="Y24" s="366"/>
      <c r="Z24" s="366"/>
      <c r="AA24" s="366"/>
      <c r="AB24" s="366"/>
      <c r="AC24" s="511"/>
      <c r="AD24" s="512"/>
      <c r="AF24" t="s">
        <v>476</v>
      </c>
    </row>
    <row r="25" spans="1:39">
      <c r="A25" s="988"/>
      <c r="B25" s="989"/>
      <c r="C25" s="1042"/>
      <c r="D25" s="1042"/>
      <c r="E25" s="1042"/>
      <c r="F25" s="1042"/>
      <c r="G25" s="366" t="s">
        <v>477</v>
      </c>
      <c r="H25" s="366"/>
      <c r="I25" s="366"/>
      <c r="J25" s="366"/>
      <c r="K25" s="366"/>
      <c r="L25" s="366"/>
      <c r="M25" s="366"/>
      <c r="N25" s="366"/>
      <c r="O25" s="366"/>
      <c r="P25" s="366"/>
      <c r="Q25" s="366"/>
      <c r="R25" s="366"/>
      <c r="S25" s="366" t="s">
        <v>478</v>
      </c>
      <c r="T25" s="366"/>
      <c r="U25" s="366"/>
      <c r="V25" s="366"/>
      <c r="W25" s="366"/>
      <c r="X25" s="366"/>
      <c r="Y25" s="366"/>
      <c r="Z25" s="366"/>
      <c r="AA25" s="366"/>
      <c r="AB25" s="366"/>
      <c r="AC25" s="366"/>
      <c r="AD25" s="1043"/>
    </row>
    <row r="26" spans="1:39">
      <c r="A26" s="988"/>
      <c r="B26" s="989"/>
      <c r="C26" s="1042"/>
      <c r="D26" s="1042"/>
      <c r="E26" s="1042"/>
      <c r="F26" s="1042"/>
      <c r="G26" s="366" t="s">
        <v>479</v>
      </c>
      <c r="H26" s="366"/>
      <c r="I26" s="366"/>
      <c r="J26" s="366"/>
      <c r="K26" s="366"/>
      <c r="L26" s="366"/>
      <c r="M26" s="366" t="s">
        <v>480</v>
      </c>
      <c r="N26" s="366"/>
      <c r="O26" s="366"/>
      <c r="P26" s="366"/>
      <c r="Q26" s="366"/>
      <c r="R26" s="366"/>
      <c r="S26" s="366" t="s">
        <v>479</v>
      </c>
      <c r="T26" s="366"/>
      <c r="U26" s="366"/>
      <c r="V26" s="366"/>
      <c r="W26" s="366"/>
      <c r="X26" s="366"/>
      <c r="Y26" s="366" t="s">
        <v>480</v>
      </c>
      <c r="Z26" s="366"/>
      <c r="AA26" s="366"/>
      <c r="AB26" s="366"/>
      <c r="AC26" s="366"/>
      <c r="AD26" s="1043"/>
    </row>
    <row r="27" spans="1:39">
      <c r="A27" s="988"/>
      <c r="B27" s="989"/>
      <c r="C27" s="170" t="s">
        <v>481</v>
      </c>
      <c r="D27" s="170"/>
      <c r="E27" s="170"/>
      <c r="F27" s="170"/>
      <c r="G27" s="1046"/>
      <c r="H27" s="1046"/>
      <c r="I27" s="1046"/>
      <c r="J27" s="1046"/>
      <c r="K27" s="1046"/>
      <c r="L27" s="1046"/>
      <c r="M27" s="1046"/>
      <c r="N27" s="1046"/>
      <c r="O27" s="1046"/>
      <c r="P27" s="1046"/>
      <c r="Q27" s="1046"/>
      <c r="R27" s="1046"/>
      <c r="S27" s="1044"/>
      <c r="T27" s="1044"/>
      <c r="U27" s="1044"/>
      <c r="V27" s="1044"/>
      <c r="W27" s="1044"/>
      <c r="X27" s="1044"/>
      <c r="Y27" s="1044"/>
      <c r="Z27" s="1044"/>
      <c r="AA27" s="1044"/>
      <c r="AB27" s="1044"/>
      <c r="AC27" s="1044"/>
      <c r="AD27" s="1045"/>
    </row>
    <row r="28" spans="1:39">
      <c r="A28" s="988"/>
      <c r="B28" s="989"/>
      <c r="C28" s="170" t="s">
        <v>482</v>
      </c>
      <c r="D28" s="170"/>
      <c r="E28" s="170"/>
      <c r="F28" s="170"/>
      <c r="G28" s="1046"/>
      <c r="H28" s="1046"/>
      <c r="I28" s="1046"/>
      <c r="J28" s="1046"/>
      <c r="K28" s="1046"/>
      <c r="L28" s="1046"/>
      <c r="M28" s="1046"/>
      <c r="N28" s="1046"/>
      <c r="O28" s="1046"/>
      <c r="P28" s="1046"/>
      <c r="Q28" s="1046"/>
      <c r="R28" s="1046"/>
      <c r="S28" s="1044"/>
      <c r="T28" s="1044"/>
      <c r="U28" s="1044"/>
      <c r="V28" s="1044"/>
      <c r="W28" s="1044"/>
      <c r="X28" s="1044"/>
      <c r="Y28" s="1044"/>
      <c r="Z28" s="1044"/>
      <c r="AA28" s="1044"/>
      <c r="AB28" s="1044"/>
      <c r="AC28" s="1044"/>
      <c r="AD28" s="1045"/>
    </row>
    <row r="29" spans="1:39">
      <c r="A29" s="988"/>
      <c r="B29" s="989"/>
      <c r="C29" s="170" t="s">
        <v>483</v>
      </c>
      <c r="D29" s="170"/>
      <c r="E29" s="170"/>
      <c r="F29" s="170"/>
      <c r="G29" s="1046"/>
      <c r="H29" s="1046"/>
      <c r="I29" s="1046"/>
      <c r="J29" s="1046"/>
      <c r="K29" s="1046"/>
      <c r="L29" s="1046"/>
      <c r="M29" s="1046"/>
      <c r="N29" s="1046"/>
      <c r="O29" s="1046"/>
      <c r="P29" s="1046"/>
      <c r="Q29" s="1046"/>
      <c r="R29" s="1046"/>
      <c r="S29" s="1044"/>
      <c r="T29" s="1044"/>
      <c r="U29" s="1044"/>
      <c r="V29" s="1044"/>
      <c r="W29" s="1044"/>
      <c r="X29" s="1044"/>
      <c r="Y29" s="1044"/>
      <c r="Z29" s="1044"/>
      <c r="AA29" s="1044"/>
      <c r="AB29" s="1044"/>
      <c r="AC29" s="1044"/>
      <c r="AD29" s="1045"/>
    </row>
    <row r="30" spans="1:39" ht="15.75" thickBot="1">
      <c r="A30" s="990"/>
      <c r="B30" s="991"/>
      <c r="C30" s="1047" t="s">
        <v>484</v>
      </c>
      <c r="D30" s="1047"/>
      <c r="E30" s="1047"/>
      <c r="F30" s="1047"/>
      <c r="G30" s="1047"/>
      <c r="H30" s="1047"/>
      <c r="I30" s="1047"/>
      <c r="J30" s="922"/>
      <c r="K30" s="922"/>
      <c r="L30" s="922"/>
      <c r="M30" s="922"/>
      <c r="N30" s="922"/>
      <c r="O30" s="922"/>
      <c r="P30" s="922"/>
      <c r="Q30" s="922"/>
      <c r="R30" s="922"/>
      <c r="S30" s="922"/>
      <c r="T30" s="922"/>
      <c r="U30" s="922"/>
      <c r="V30" s="922"/>
      <c r="W30" s="922"/>
      <c r="X30" s="922"/>
      <c r="Y30" s="922"/>
      <c r="Z30" s="922"/>
      <c r="AA30" s="922"/>
      <c r="AB30" s="922"/>
      <c r="AC30" s="922"/>
      <c r="AD30" s="923"/>
    </row>
    <row r="31" spans="1:39" ht="15.75" thickBot="1"/>
    <row r="32" spans="1:39">
      <c r="A32" s="986" t="s">
        <v>310</v>
      </c>
      <c r="B32" s="1035"/>
      <c r="C32" s="992" t="s">
        <v>259</v>
      </c>
      <c r="D32" s="992"/>
      <c r="E32" s="992"/>
      <c r="F32" s="993"/>
      <c r="G32" s="993"/>
      <c r="H32" s="993"/>
      <c r="I32" s="993"/>
      <c r="J32" s="993"/>
      <c r="K32" s="993"/>
      <c r="L32" s="992" t="s">
        <v>342</v>
      </c>
      <c r="M32" s="992"/>
      <c r="N32" s="994"/>
      <c r="O32" s="994"/>
      <c r="P32" s="994"/>
      <c r="Q32" s="994"/>
      <c r="R32" s="994"/>
      <c r="S32" s="994"/>
      <c r="T32" s="994"/>
      <c r="U32" s="994"/>
      <c r="V32" s="994"/>
      <c r="W32" s="1052" t="s">
        <v>462</v>
      </c>
      <c r="X32" s="1052"/>
      <c r="Y32" s="1052"/>
      <c r="Z32" s="1052"/>
      <c r="AA32" s="994"/>
      <c r="AB32" s="994"/>
      <c r="AC32" s="994"/>
      <c r="AD32" s="1008"/>
    </row>
    <row r="33" spans="1:32">
      <c r="A33" s="988"/>
      <c r="B33" s="1036"/>
      <c r="C33" s="366" t="s">
        <v>463</v>
      </c>
      <c r="D33" s="366"/>
      <c r="E33" s="366"/>
      <c r="F33" s="1053"/>
      <c r="G33" s="1053"/>
      <c r="H33" s="1054"/>
      <c r="I33" s="1055"/>
      <c r="J33" s="1055"/>
      <c r="K33" s="1055"/>
      <c r="L33" s="1056"/>
      <c r="M33" s="204" t="s">
        <v>265</v>
      </c>
      <c r="N33" s="204"/>
      <c r="O33" s="1001"/>
      <c r="P33" s="1002"/>
      <c r="Q33" s="204" t="s">
        <v>631</v>
      </c>
      <c r="R33" s="204"/>
      <c r="S33" s="204"/>
      <c r="T33" s="348"/>
      <c r="U33" s="349"/>
      <c r="V33" s="1003"/>
      <c r="W33" s="997" t="s">
        <v>632</v>
      </c>
      <c r="X33" s="152"/>
      <c r="Y33" s="152"/>
      <c r="Z33" s="152"/>
      <c r="AA33" s="153"/>
      <c r="AB33" s="543"/>
      <c r="AC33" s="544"/>
      <c r="AD33" s="1004"/>
      <c r="AF33" t="s">
        <v>486</v>
      </c>
    </row>
    <row r="34" spans="1:32">
      <c r="A34" s="988"/>
      <c r="B34" s="1036"/>
      <c r="C34" s="366" t="s">
        <v>634</v>
      </c>
      <c r="D34" s="366"/>
      <c r="E34" s="366"/>
      <c r="F34" s="366"/>
      <c r="G34" s="366"/>
      <c r="H34" s="366"/>
      <c r="I34" s="366"/>
      <c r="J34" s="366"/>
      <c r="K34" s="366"/>
      <c r="L34" s="366"/>
      <c r="M34" s="366"/>
      <c r="N34" s="366"/>
      <c r="O34" s="511"/>
      <c r="P34" s="511"/>
      <c r="Q34" s="366" t="s">
        <v>635</v>
      </c>
      <c r="R34" s="366"/>
      <c r="S34" s="366"/>
      <c r="T34" s="366"/>
      <c r="U34" s="366"/>
      <c r="V34" s="366"/>
      <c r="W34" s="366"/>
      <c r="X34" s="366"/>
      <c r="Y34" s="366"/>
      <c r="Z34" s="366"/>
      <c r="AA34" s="366"/>
      <c r="AB34" s="366"/>
      <c r="AC34" s="511"/>
      <c r="AD34" s="512"/>
    </row>
    <row r="35" spans="1:32">
      <c r="A35" s="988"/>
      <c r="B35" s="1036"/>
      <c r="C35" s="366" t="s">
        <v>636</v>
      </c>
      <c r="D35" s="366"/>
      <c r="E35" s="366"/>
      <c r="F35" s="366"/>
      <c r="G35" s="366"/>
      <c r="H35" s="366"/>
      <c r="I35" s="366"/>
      <c r="J35" s="366"/>
      <c r="K35" s="366"/>
      <c r="L35" s="366"/>
      <c r="M35" s="366"/>
      <c r="N35" s="366"/>
      <c r="O35" s="511"/>
      <c r="P35" s="511"/>
      <c r="Q35" s="366" t="s">
        <v>637</v>
      </c>
      <c r="R35" s="366"/>
      <c r="S35" s="366"/>
      <c r="T35" s="366"/>
      <c r="U35" s="366"/>
      <c r="V35" s="366"/>
      <c r="W35" s="366"/>
      <c r="X35" s="366"/>
      <c r="Y35" s="366"/>
      <c r="Z35" s="366"/>
      <c r="AA35" s="366"/>
      <c r="AB35" s="366"/>
      <c r="AC35" s="511"/>
      <c r="AD35" s="512"/>
    </row>
    <row r="36" spans="1:32" ht="15.75" thickBot="1">
      <c r="A36" s="990"/>
      <c r="B36" s="1037"/>
      <c r="C36" s="262" t="s">
        <v>113</v>
      </c>
      <c r="D36" s="262"/>
      <c r="E36" s="262"/>
      <c r="F36" s="262"/>
      <c r="G36" s="262"/>
      <c r="H36" s="262"/>
      <c r="I36" s="262"/>
      <c r="J36" s="513"/>
      <c r="K36" s="513"/>
      <c r="L36" s="513"/>
      <c r="M36" s="513"/>
      <c r="N36" s="513"/>
      <c r="O36" s="513"/>
      <c r="P36" s="513"/>
      <c r="Q36" s="262" t="s">
        <v>638</v>
      </c>
      <c r="R36" s="262"/>
      <c r="S36" s="262"/>
      <c r="T36" s="262"/>
      <c r="U36" s="262"/>
      <c r="V36" s="262"/>
      <c r="W36" s="262"/>
      <c r="X36" s="513"/>
      <c r="Y36" s="513"/>
      <c r="Z36" s="513"/>
      <c r="AA36" s="513"/>
      <c r="AB36" s="513"/>
      <c r="AC36" s="513"/>
      <c r="AD36" s="514"/>
    </row>
    <row r="37" spans="1:32" ht="15.75" thickBot="1">
      <c r="AF37" t="s">
        <v>490</v>
      </c>
    </row>
    <row r="38" spans="1:32">
      <c r="A38" s="986" t="s">
        <v>274</v>
      </c>
      <c r="B38" s="987"/>
      <c r="C38" s="992" t="s">
        <v>259</v>
      </c>
      <c r="D38" s="992"/>
      <c r="E38" s="992"/>
      <c r="F38" s="993"/>
      <c r="G38" s="993"/>
      <c r="H38" s="993"/>
      <c r="I38" s="993"/>
      <c r="J38" s="993"/>
      <c r="K38" s="993"/>
      <c r="L38" s="992" t="s">
        <v>342</v>
      </c>
      <c r="M38" s="992"/>
      <c r="N38" s="994"/>
      <c r="O38" s="994"/>
      <c r="P38" s="994"/>
      <c r="Q38" s="994"/>
      <c r="R38" s="994"/>
      <c r="S38" s="994"/>
      <c r="T38" s="994"/>
      <c r="U38" s="994"/>
      <c r="V38" s="994"/>
      <c r="W38" s="995" t="s">
        <v>277</v>
      </c>
      <c r="X38" s="276"/>
      <c r="Y38" s="277"/>
      <c r="Z38" s="996"/>
      <c r="AA38" s="970"/>
      <c r="AB38" s="970"/>
      <c r="AC38" s="970"/>
      <c r="AD38" s="79" t="s">
        <v>278</v>
      </c>
    </row>
    <row r="39" spans="1:32">
      <c r="A39" s="988"/>
      <c r="B39" s="989"/>
      <c r="C39" s="366" t="s">
        <v>463</v>
      </c>
      <c r="D39" s="366"/>
      <c r="E39" s="366"/>
      <c r="F39" s="366"/>
      <c r="G39" s="366"/>
      <c r="H39" s="511"/>
      <c r="I39" s="511"/>
      <c r="J39" s="511"/>
      <c r="K39" s="511"/>
      <c r="L39" s="511"/>
      <c r="M39" s="511"/>
      <c r="N39" s="511"/>
      <c r="O39" s="511"/>
      <c r="P39" s="511"/>
      <c r="Q39" s="997" t="s">
        <v>639</v>
      </c>
      <c r="R39" s="152"/>
      <c r="S39" s="152"/>
      <c r="T39" s="152"/>
      <c r="U39" s="152"/>
      <c r="V39" s="152"/>
      <c r="W39" s="152"/>
      <c r="X39" s="152"/>
      <c r="Y39" s="152"/>
      <c r="Z39" s="152"/>
      <c r="AA39" s="153"/>
      <c r="AB39" s="893"/>
      <c r="AC39" s="894"/>
      <c r="AD39" s="998"/>
    </row>
    <row r="40" spans="1:32" ht="15.75" thickBot="1">
      <c r="A40" s="990"/>
      <c r="B40" s="991"/>
      <c r="C40" s="999" t="s">
        <v>111</v>
      </c>
      <c r="D40" s="516"/>
      <c r="E40" s="516"/>
      <c r="F40" s="516"/>
      <c r="G40" s="516"/>
      <c r="H40" s="516"/>
      <c r="I40" s="516"/>
      <c r="J40" s="516"/>
      <c r="K40" s="516"/>
      <c r="L40" s="516"/>
      <c r="M40" s="517"/>
      <c r="N40" s="922"/>
      <c r="O40" s="1000"/>
      <c r="P40" s="80" t="s">
        <v>303</v>
      </c>
      <c r="Q40" s="999" t="s">
        <v>641</v>
      </c>
      <c r="R40" s="516"/>
      <c r="S40" s="516"/>
      <c r="T40" s="516"/>
      <c r="U40" s="516"/>
      <c r="V40" s="516"/>
      <c r="W40" s="516"/>
      <c r="X40" s="516"/>
      <c r="Y40" s="516"/>
      <c r="Z40" s="516"/>
      <c r="AA40" s="517"/>
      <c r="AB40" s="922"/>
      <c r="AC40" s="1000"/>
      <c r="AD40" s="81" t="s">
        <v>303</v>
      </c>
    </row>
    <row r="41" spans="1:32" ht="15.75" thickBot="1"/>
    <row r="42" spans="1:32" ht="21">
      <c r="A42" s="1048" t="s">
        <v>485</v>
      </c>
      <c r="B42" s="1049"/>
      <c r="C42" s="1049"/>
      <c r="D42" s="1049"/>
      <c r="E42" s="1049"/>
      <c r="F42" s="1049"/>
      <c r="G42" s="1049"/>
      <c r="H42" s="1049"/>
      <c r="I42" s="1049"/>
      <c r="J42" s="1049"/>
      <c r="K42" s="1049"/>
      <c r="L42" s="1049"/>
      <c r="M42" s="1049"/>
      <c r="N42" s="1049"/>
      <c r="O42" s="1049"/>
      <c r="P42" s="1049"/>
      <c r="Q42" s="1049"/>
      <c r="R42" s="1049"/>
      <c r="S42" s="1049"/>
      <c r="T42" s="1049"/>
      <c r="U42" s="1049"/>
      <c r="V42" s="1049"/>
      <c r="W42" s="1049"/>
      <c r="X42" s="1049"/>
      <c r="Y42" s="1049"/>
      <c r="Z42" s="1049"/>
      <c r="AA42" s="1049"/>
      <c r="AB42" s="1049"/>
      <c r="AC42" s="1049"/>
      <c r="AD42" s="1050"/>
    </row>
    <row r="43" spans="1:32">
      <c r="A43" s="1051" t="s">
        <v>487</v>
      </c>
      <c r="B43" s="1051"/>
      <c r="C43" s="1051"/>
      <c r="D43" s="1051"/>
      <c r="E43" s="170" t="s">
        <v>260</v>
      </c>
      <c r="F43" s="170"/>
      <c r="G43" s="170"/>
      <c r="H43" s="893"/>
      <c r="I43" s="894"/>
      <c r="J43" s="894"/>
      <c r="K43" s="894"/>
      <c r="L43" s="894"/>
      <c r="M43" s="894"/>
      <c r="N43" s="895"/>
      <c r="O43" s="997" t="s">
        <v>269</v>
      </c>
      <c r="P43" s="152"/>
      <c r="Q43" s="153"/>
      <c r="R43" s="893"/>
      <c r="S43" s="894"/>
      <c r="T43" s="894"/>
      <c r="U43" s="895"/>
      <c r="V43" s="170" t="s">
        <v>304</v>
      </c>
      <c r="W43" s="170"/>
      <c r="X43" s="170"/>
      <c r="Y43" s="906"/>
      <c r="Z43" s="906"/>
      <c r="AA43" s="906"/>
      <c r="AB43" s="906"/>
      <c r="AC43" s="906"/>
      <c r="AD43" s="906"/>
    </row>
    <row r="44" spans="1:32">
      <c r="A44" s="1051" t="s">
        <v>316</v>
      </c>
      <c r="B44" s="1051"/>
      <c r="C44" s="1051"/>
      <c r="D44" s="1051"/>
      <c r="E44" s="170" t="s">
        <v>259</v>
      </c>
      <c r="F44" s="170"/>
      <c r="G44" s="170"/>
      <c r="H44" s="906"/>
      <c r="I44" s="906"/>
      <c r="J44" s="906"/>
      <c r="K44" s="906"/>
      <c r="L44" s="170" t="s">
        <v>488</v>
      </c>
      <c r="M44" s="170"/>
      <c r="N44" s="170"/>
      <c r="O44" s="170"/>
      <c r="P44" s="906"/>
      <c r="Q44" s="906"/>
      <c r="R44" s="906"/>
      <c r="S44" s="906"/>
      <c r="T44" s="906"/>
      <c r="U44" s="906"/>
      <c r="V44" s="170" t="s">
        <v>307</v>
      </c>
      <c r="W44" s="170"/>
      <c r="X44" s="170"/>
      <c r="Y44" s="906"/>
      <c r="Z44" s="906"/>
      <c r="AA44" s="906"/>
      <c r="AB44" s="906"/>
      <c r="AC44" s="906"/>
      <c r="AD44" s="906"/>
    </row>
    <row r="45" spans="1:32" ht="15.75" thickBot="1">
      <c r="A45" s="1057" t="s">
        <v>489</v>
      </c>
      <c r="B45" s="1057"/>
      <c r="C45" s="1057"/>
      <c r="D45" s="1057"/>
      <c r="E45" s="262" t="s">
        <v>260</v>
      </c>
      <c r="F45" s="262"/>
      <c r="G45" s="262"/>
      <c r="H45" s="1000"/>
      <c r="I45" s="1058"/>
      <c r="J45" s="1058"/>
      <c r="K45" s="1058"/>
      <c r="L45" s="1058"/>
      <c r="M45" s="1058"/>
      <c r="N45" s="1058"/>
      <c r="O45" s="1058"/>
      <c r="P45" s="1058"/>
      <c r="Q45" s="1059"/>
      <c r="R45" s="999" t="s">
        <v>488</v>
      </c>
      <c r="S45" s="516"/>
      <c r="T45" s="516"/>
      <c r="U45" s="517"/>
      <c r="V45" s="1000"/>
      <c r="W45" s="1058"/>
      <c r="X45" s="1058"/>
      <c r="Y45" s="1058"/>
      <c r="Z45" s="1058"/>
      <c r="AA45" s="1058"/>
      <c r="AB45" s="1058"/>
      <c r="AC45" s="1058"/>
      <c r="AD45" s="1058"/>
    </row>
  </sheetData>
  <sheetProtection algorithmName="SHA-512" hashValue="jc33p/JmXZowI8LOK3xJ8t/DJk63rGtOAKya2aRVqN/hEWEWu85cLYghss1iSGjiyhQf48CMz8XaFElnSSuxtA==" saltValue="Ku4cbASW0hBiOhpsTutGxQ==" spinCount="100000" sheet="1" objects="1" scenarios="1"/>
  <mergeCells count="157">
    <mergeCell ref="A45:D45"/>
    <mergeCell ref="E45:G45"/>
    <mergeCell ref="H45:Q45"/>
    <mergeCell ref="R45:U45"/>
    <mergeCell ref="V45:AD45"/>
    <mergeCell ref="A44:D44"/>
    <mergeCell ref="E44:G44"/>
    <mergeCell ref="H44:K44"/>
    <mergeCell ref="L44:O44"/>
    <mergeCell ref="P44:U44"/>
    <mergeCell ref="V44:X44"/>
    <mergeCell ref="Y44:AD44"/>
    <mergeCell ref="C30:I30"/>
    <mergeCell ref="J30:AD30"/>
    <mergeCell ref="A19:B30"/>
    <mergeCell ref="X21:AD21"/>
    <mergeCell ref="A42:AD42"/>
    <mergeCell ref="A43:D43"/>
    <mergeCell ref="E43:G43"/>
    <mergeCell ref="H43:N43"/>
    <mergeCell ref="O43:Q43"/>
    <mergeCell ref="R43:U43"/>
    <mergeCell ref="V43:X43"/>
    <mergeCell ref="Y43:AD43"/>
    <mergeCell ref="A32:B36"/>
    <mergeCell ref="C32:E32"/>
    <mergeCell ref="F32:K32"/>
    <mergeCell ref="L32:M32"/>
    <mergeCell ref="N32:V32"/>
    <mergeCell ref="W32:Z32"/>
    <mergeCell ref="AA32:AD32"/>
    <mergeCell ref="C33:G33"/>
    <mergeCell ref="H33:L33"/>
    <mergeCell ref="C28:F28"/>
    <mergeCell ref="G28:L28"/>
    <mergeCell ref="M28:R28"/>
    <mergeCell ref="S28:X28"/>
    <mergeCell ref="Y28:AD28"/>
    <mergeCell ref="C29:F29"/>
    <mergeCell ref="G29:L29"/>
    <mergeCell ref="M29:R29"/>
    <mergeCell ref="S29:X29"/>
    <mergeCell ref="Y29:AD29"/>
    <mergeCell ref="Y26:AD26"/>
    <mergeCell ref="C27:F27"/>
    <mergeCell ref="G27:L27"/>
    <mergeCell ref="M27:R27"/>
    <mergeCell ref="S27:X27"/>
    <mergeCell ref="Y27:AD27"/>
    <mergeCell ref="C24:N24"/>
    <mergeCell ref="O24:P24"/>
    <mergeCell ref="Q24:AB24"/>
    <mergeCell ref="AC24:AD24"/>
    <mergeCell ref="C25:F26"/>
    <mergeCell ref="G25:R25"/>
    <mergeCell ref="S25:AD25"/>
    <mergeCell ref="G26:L26"/>
    <mergeCell ref="M26:R26"/>
    <mergeCell ref="S26:X26"/>
    <mergeCell ref="C22:I22"/>
    <mergeCell ref="J22:P22"/>
    <mergeCell ref="Q22:W22"/>
    <mergeCell ref="X22:AD22"/>
    <mergeCell ref="C23:N23"/>
    <mergeCell ref="O23:P23"/>
    <mergeCell ref="Q23:AB23"/>
    <mergeCell ref="AC23:AD23"/>
    <mergeCell ref="AA19:AD19"/>
    <mergeCell ref="C20:E20"/>
    <mergeCell ref="F20:G20"/>
    <mergeCell ref="I20:L20"/>
    <mergeCell ref="M20:O20"/>
    <mergeCell ref="P20:T20"/>
    <mergeCell ref="U20:Z20"/>
    <mergeCell ref="AB20:AC20"/>
    <mergeCell ref="C19:E19"/>
    <mergeCell ref="F19:L19"/>
    <mergeCell ref="M19:N19"/>
    <mergeCell ref="O19:W19"/>
    <mergeCell ref="X19:Z19"/>
    <mergeCell ref="C21:N21"/>
    <mergeCell ref="O21:P21"/>
    <mergeCell ref="Q21:W21"/>
    <mergeCell ref="P16:Q16"/>
    <mergeCell ref="R16:AB16"/>
    <mergeCell ref="AC16:AD16"/>
    <mergeCell ref="D17:O17"/>
    <mergeCell ref="P17:Q17"/>
    <mergeCell ref="R17:AB17"/>
    <mergeCell ref="AC17:AD17"/>
    <mergeCell ref="A14:C17"/>
    <mergeCell ref="D14:O14"/>
    <mergeCell ref="P14:Q14"/>
    <mergeCell ref="R14:AB14"/>
    <mergeCell ref="AC14:AD14"/>
    <mergeCell ref="D15:O15"/>
    <mergeCell ref="P15:Q15"/>
    <mergeCell ref="R15:AB15"/>
    <mergeCell ref="AC15:AD15"/>
    <mergeCell ref="D16:O16"/>
    <mergeCell ref="A12:AD12"/>
    <mergeCell ref="A13:C13"/>
    <mergeCell ref="D13:G13"/>
    <mergeCell ref="H13:M13"/>
    <mergeCell ref="N13:S13"/>
    <mergeCell ref="T13:Y13"/>
    <mergeCell ref="Z13:AD13"/>
    <mergeCell ref="A8:F8"/>
    <mergeCell ref="G8:O8"/>
    <mergeCell ref="P8:T8"/>
    <mergeCell ref="U8:AD8"/>
    <mergeCell ref="A9:F9"/>
    <mergeCell ref="G9:O9"/>
    <mergeCell ref="P9:T9"/>
    <mergeCell ref="U9:AD9"/>
    <mergeCell ref="P1:AD4"/>
    <mergeCell ref="A5:O6"/>
    <mergeCell ref="P5:T6"/>
    <mergeCell ref="U5:AD6"/>
    <mergeCell ref="A7:F7"/>
    <mergeCell ref="G7:O7"/>
    <mergeCell ref="P7:T7"/>
    <mergeCell ref="U7:AD7"/>
    <mergeCell ref="A11:AD11"/>
    <mergeCell ref="M33:N33"/>
    <mergeCell ref="O33:P33"/>
    <mergeCell ref="Q33:S33"/>
    <mergeCell ref="T33:V33"/>
    <mergeCell ref="W33:AA33"/>
    <mergeCell ref="AB33:AD33"/>
    <mergeCell ref="C34:N34"/>
    <mergeCell ref="O34:P34"/>
    <mergeCell ref="Q34:AB34"/>
    <mergeCell ref="AC34:AD34"/>
    <mergeCell ref="C35:N35"/>
    <mergeCell ref="O35:P35"/>
    <mergeCell ref="Q35:AB35"/>
    <mergeCell ref="AC35:AD35"/>
    <mergeCell ref="C36:I36"/>
    <mergeCell ref="J36:P36"/>
    <mergeCell ref="Q36:W36"/>
    <mergeCell ref="X36:AD36"/>
    <mergeCell ref="A38:B40"/>
    <mergeCell ref="C38:E38"/>
    <mergeCell ref="F38:K38"/>
    <mergeCell ref="L38:M38"/>
    <mergeCell ref="N38:V38"/>
    <mergeCell ref="W38:Y38"/>
    <mergeCell ref="Z38:AC38"/>
    <mergeCell ref="C39:G39"/>
    <mergeCell ref="H39:P39"/>
    <mergeCell ref="Q39:AA39"/>
    <mergeCell ref="AB39:AD39"/>
    <mergeCell ref="C40:M40"/>
    <mergeCell ref="N40:O40"/>
    <mergeCell ref="Q40:AA40"/>
    <mergeCell ref="AB40:AC40"/>
  </mergeCells>
  <dataValidations count="4">
    <dataValidation type="list" sqref="Z13:AD13" xr:uid="{DE710C52-1709-4A92-AC8B-1C717D0A50AA}">
      <formula1>L_Type_Installation</formula1>
    </dataValidation>
    <dataValidation type="list" allowBlank="1" sqref="P14:Q17 AC14:AD17 AC23:AD24 O21 O23:O24 O34:O35 AC34:AD35" xr:uid="{04D5F60D-B639-4025-A96B-72A8EE8D7A51}">
      <formula1>L_Oui_Non</formula1>
    </dataValidation>
    <dataValidation type="list" allowBlank="1" sqref="M20" xr:uid="{917F1C88-6837-44A7-8399-A97F0C564CBD}">
      <formula1>L_Techno_Comp</formula1>
    </dataValidation>
    <dataValidation type="list" allowBlank="1" sqref="AA32:AD32" xr:uid="{3D976ED7-DB25-405B-8A27-5DBCF317F5FA}">
      <formula1>L_Techno_Sécheur</formula1>
    </dataValidation>
  </dataValidations>
  <printOptions horizontalCentered="1" verticalCentered="1"/>
  <pageMargins left="0.23622047244094491" right="0.23622047244094491" top="0.23622047244094491" bottom="0.23622047244094491" header="0.31496062992125984" footer="0.31496062992125984"/>
  <pageSetup paperSize="9" scale="83" orientation="portrait" r:id="rId1"/>
  <headerFooter>
    <oddHeader>&amp;R&amp;D</oddHeader>
    <oddFooter>&amp;L&amp;Z&amp;F&amp;RPage &amp;P/&amp;N</oddFooter>
  </headerFooter>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AF9E1-AF8D-441F-8F65-04B120BDBD6E}">
  <sheetPr codeName="Feuil14">
    <tabColor rgb="FF00B050"/>
  </sheetPr>
  <dimension ref="A1:V24"/>
  <sheetViews>
    <sheetView workbookViewId="0">
      <selection activeCell="B24" sqref="B24"/>
    </sheetView>
  </sheetViews>
  <sheetFormatPr baseColWidth="10" defaultColWidth="11.42578125" defaultRowHeight="15"/>
  <cols>
    <col min="2" max="2" width="118" customWidth="1"/>
  </cols>
  <sheetData>
    <row r="1" spans="1:22">
      <c r="A1" t="s">
        <v>420</v>
      </c>
      <c r="B1" t="s">
        <v>491</v>
      </c>
    </row>
    <row r="2" spans="1:22">
      <c r="A2" s="91">
        <v>44498</v>
      </c>
      <c r="B2" t="s">
        <v>492</v>
      </c>
    </row>
    <row r="3" spans="1:22">
      <c r="A3" s="91">
        <v>44498</v>
      </c>
      <c r="B3" t="s">
        <v>493</v>
      </c>
    </row>
    <row r="4" spans="1:22">
      <c r="A4" s="91">
        <v>44498</v>
      </c>
      <c r="B4" t="s">
        <v>494</v>
      </c>
    </row>
    <row r="5" spans="1:22">
      <c r="A5" s="91">
        <v>44498</v>
      </c>
      <c r="B5" t="s">
        <v>495</v>
      </c>
    </row>
    <row r="6" spans="1:22">
      <c r="A6" s="91">
        <v>44503</v>
      </c>
      <c r="B6" t="s">
        <v>496</v>
      </c>
    </row>
    <row r="7" spans="1:22" ht="45">
      <c r="A7" s="91">
        <v>44503</v>
      </c>
      <c r="B7" t="s">
        <v>497</v>
      </c>
      <c r="V7" s="120" t="s">
        <v>498</v>
      </c>
    </row>
    <row r="8" spans="1:22">
      <c r="A8" s="91">
        <v>44503</v>
      </c>
      <c r="B8" t="s">
        <v>499</v>
      </c>
    </row>
    <row r="9" spans="1:22">
      <c r="A9" s="91">
        <v>44503</v>
      </c>
      <c r="B9" t="s">
        <v>500</v>
      </c>
    </row>
    <row r="10" spans="1:22">
      <c r="A10" s="91">
        <v>44503</v>
      </c>
      <c r="B10" t="s">
        <v>501</v>
      </c>
    </row>
    <row r="11" spans="1:22">
      <c r="A11" s="91">
        <v>44503</v>
      </c>
      <c r="B11" t="s">
        <v>502</v>
      </c>
    </row>
    <row r="12" spans="1:22">
      <c r="A12" s="91">
        <v>44503</v>
      </c>
      <c r="B12" t="s">
        <v>503</v>
      </c>
    </row>
    <row r="13" spans="1:22">
      <c r="A13" s="91">
        <v>44508</v>
      </c>
      <c r="B13" t="s">
        <v>504</v>
      </c>
    </row>
    <row r="14" spans="1:22">
      <c r="A14" s="91">
        <v>44515</v>
      </c>
      <c r="B14" t="s">
        <v>505</v>
      </c>
    </row>
    <row r="15" spans="1:22">
      <c r="A15" s="91">
        <v>44545</v>
      </c>
      <c r="B15" t="s">
        <v>506</v>
      </c>
    </row>
    <row r="16" spans="1:22">
      <c r="A16" s="91">
        <v>44564</v>
      </c>
      <c r="B16" t="s">
        <v>507</v>
      </c>
    </row>
    <row r="17" spans="1:2">
      <c r="A17" s="91">
        <v>44573</v>
      </c>
      <c r="B17" t="s">
        <v>508</v>
      </c>
    </row>
    <row r="18" spans="1:2">
      <c r="A18" s="91">
        <v>44573</v>
      </c>
      <c r="B18" t="s">
        <v>509</v>
      </c>
    </row>
    <row r="19" spans="1:2">
      <c r="A19" s="91">
        <v>44573</v>
      </c>
      <c r="B19" t="s">
        <v>510</v>
      </c>
    </row>
    <row r="20" spans="1:2">
      <c r="A20" s="91">
        <v>44573</v>
      </c>
      <c r="B20" t="s">
        <v>511</v>
      </c>
    </row>
    <row r="21" spans="1:2">
      <c r="A21" s="91">
        <v>44573</v>
      </c>
      <c r="B21" t="s">
        <v>512</v>
      </c>
    </row>
    <row r="22" spans="1:2">
      <c r="B22" t="s">
        <v>513</v>
      </c>
    </row>
    <row r="23" spans="1:2">
      <c r="A23" s="91">
        <v>44578</v>
      </c>
      <c r="B23" t="s">
        <v>514</v>
      </c>
    </row>
    <row r="24" spans="1:2">
      <c r="A24" s="91">
        <v>44623</v>
      </c>
      <c r="B24" t="s">
        <v>515</v>
      </c>
    </row>
  </sheetData>
  <sheetProtection algorithmName="SHA-512" hashValue="8yOZBQpHXifXt6fZFBe7mlCplUxW0AZEMIPMJW1/bPkYBgu1/oxlYoIzE3Gn6Gfb28Muzkog6denUYkUbUcNeg==" saltValue="xKptsrgiAu8xiEZNCWZPWw==" spinCount="100000"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21B71-CCF3-440B-BAD8-7EFEBBE3A3DE}">
  <sheetPr codeName="Feuil9">
    <tabColor rgb="FF00B050"/>
  </sheetPr>
  <dimension ref="A1:V7"/>
  <sheetViews>
    <sheetView workbookViewId="0">
      <selection activeCell="P2" sqref="P2:P6"/>
    </sheetView>
  </sheetViews>
  <sheetFormatPr baseColWidth="10" defaultColWidth="11.42578125" defaultRowHeight="15"/>
  <cols>
    <col min="1" max="1" width="14.42578125" bestFit="1" customWidth="1"/>
  </cols>
  <sheetData>
    <row r="1" spans="1:22">
      <c r="B1" t="s">
        <v>516</v>
      </c>
      <c r="C1" t="s">
        <v>517</v>
      </c>
    </row>
    <row r="2" spans="1:22">
      <c r="A2" t="s">
        <v>518</v>
      </c>
      <c r="B2" t="b">
        <f>IF(C2="",FALSE,TRUE)</f>
        <v>0</v>
      </c>
      <c r="C2" t="str">
        <f>_xlfn.CONCAT('Eau Glacée'!M13:Q13,'Eau Glacée'!M15:Q15,'Eau Glacée'!F25:AI25,'Eau Glacée'!M16:Q16,'Eau Glacée'!M17:Q17)</f>
        <v/>
      </c>
      <c r="G2" s="1060" t="s">
        <v>519</v>
      </c>
      <c r="H2" s="1060"/>
      <c r="I2">
        <f>7-(COUNTBLANK('Air Comprimé'!K23:M29)-14)</f>
        <v>0</v>
      </c>
    </row>
    <row r="3" spans="1:22">
      <c r="A3" t="s">
        <v>520</v>
      </c>
      <c r="B3" t="b">
        <f>IF(C3="",FALSE,TRUE)</f>
        <v>0</v>
      </c>
      <c r="C3" t="str">
        <f>_xlfn.CONCAT('Air Comprimé'!M13:Q13,'Air Comprimé'!K23:M23,'Air Comprimé'!K24:M24,'Air Comprimé'!K25:M25,'Air Comprimé'!K26:M26,'Air Comprimé'!AB13:AF13,'Air Comprimé'!K30:N30,'Air Comprimé'!K34:Q34,'Air Comprimé'!K38:Q38)</f>
        <v/>
      </c>
      <c r="G3" s="1060" t="s">
        <v>521</v>
      </c>
      <c r="H3" s="1060"/>
      <c r="I3">
        <f>4-(COUNTBLANK('Air Comprimé'!K34:Q37)-24)</f>
        <v>0</v>
      </c>
    </row>
    <row r="4" spans="1:22">
      <c r="G4" s="1060" t="s">
        <v>522</v>
      </c>
      <c r="H4" s="1060"/>
      <c r="I4">
        <f>4-(COUNTBLANK('Air Comprimé'!K30:N33)-12)</f>
        <v>0</v>
      </c>
    </row>
    <row r="5" spans="1:22">
      <c r="G5" s="1060" t="s">
        <v>523</v>
      </c>
      <c r="H5" s="1060"/>
      <c r="I5" t="b" cm="1">
        <f t="array" ref="I5:O5">ISBLANK('Air Comprimé'!K38:Q38)</f>
        <v>1</v>
      </c>
      <c r="J5" t="b">
        <v>1</v>
      </c>
      <c r="K5" t="b">
        <v>1</v>
      </c>
      <c r="L5" t="b">
        <v>1</v>
      </c>
      <c r="M5" t="b">
        <v>1</v>
      </c>
      <c r="N5" t="b">
        <v>1</v>
      </c>
      <c r="O5" t="b">
        <v>1</v>
      </c>
    </row>
    <row r="6" spans="1:22">
      <c r="H6" s="90" t="s">
        <v>524</v>
      </c>
      <c r="I6">
        <f>SUM('Air Comprimé'!AI38:AJ43)</f>
        <v>0</v>
      </c>
    </row>
    <row r="7" spans="1:22">
      <c r="H7" s="90" t="s">
        <v>525</v>
      </c>
      <c r="I7">
        <f>SUM('Air Comprimé'!AI45:AJ48)</f>
        <v>0</v>
      </c>
      <c r="V7" s="120"/>
    </row>
  </sheetData>
  <sheetProtection algorithmName="SHA-512" hashValue="eoq/NhhlK+W+i3rJUnoikCuRI297etR1J8xaN18gKiEqdkKBN8bPQHLecE3XsIhPFs0OZGoO8HpDfjwflp7O3w==" saltValue="ZqbT7ZHmwr0vsJlccN8DiQ==" spinCount="100000" sheet="1" objects="1" scenarios="1"/>
  <mergeCells count="4">
    <mergeCell ref="G2:H2"/>
    <mergeCell ref="G3:H3"/>
    <mergeCell ref="G4:H4"/>
    <mergeCell ref="G5:H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0BAC0-9473-4F8A-8CF0-A6485C56C975}">
  <sheetPr codeName="Feuil15">
    <tabColor rgb="FF00B050"/>
  </sheetPr>
  <dimension ref="A1:Z27"/>
  <sheetViews>
    <sheetView workbookViewId="0">
      <selection activeCell="S37" sqref="S37"/>
    </sheetView>
  </sheetViews>
  <sheetFormatPr baseColWidth="10" defaultRowHeight="12.75"/>
  <cols>
    <col min="1" max="1" width="3.28515625" style="1061" bestFit="1" customWidth="1"/>
    <col min="2" max="2" width="15.140625" style="1061" customWidth="1"/>
    <col min="3" max="3" width="5.28515625" style="1061" bestFit="1" customWidth="1"/>
    <col min="4" max="12" width="11.140625" style="1061" bestFit="1" customWidth="1"/>
    <col min="13" max="13" width="12.140625" style="1061" bestFit="1" customWidth="1"/>
    <col min="14" max="22" width="12.5703125" style="1061" bestFit="1" customWidth="1"/>
    <col min="23" max="26" width="13.5703125" style="1061" bestFit="1" customWidth="1"/>
    <col min="27" max="16384" width="11.42578125" style="1061"/>
  </cols>
  <sheetData>
    <row r="1" spans="1:26" ht="23.25">
      <c r="D1" s="1120" t="s">
        <v>746</v>
      </c>
      <c r="E1" s="1119"/>
      <c r="F1" s="1119"/>
      <c r="G1" s="1119"/>
      <c r="H1" s="1119"/>
      <c r="I1" s="1119"/>
      <c r="J1" s="1119"/>
      <c r="K1" s="1119"/>
      <c r="L1" s="1119"/>
      <c r="M1" s="1118"/>
      <c r="N1" s="1117" t="s">
        <v>745</v>
      </c>
      <c r="O1" s="1116"/>
      <c r="P1" s="1116"/>
      <c r="Q1" s="1116"/>
      <c r="R1" s="1116"/>
      <c r="S1" s="1116"/>
      <c r="T1" s="1116"/>
      <c r="U1" s="1116"/>
      <c r="V1" s="1116"/>
      <c r="W1" s="1116"/>
      <c r="X1" s="1116"/>
      <c r="Y1" s="1116"/>
      <c r="Z1" s="1115"/>
    </row>
    <row r="2" spans="1:26" ht="13.5" thickBot="1">
      <c r="D2" s="1114" t="s">
        <v>744</v>
      </c>
      <c r="E2" s="1114"/>
      <c r="F2" s="1114"/>
      <c r="G2" s="1114"/>
      <c r="H2" s="1114"/>
      <c r="I2" s="1114"/>
      <c r="J2" s="1114"/>
      <c r="K2" s="1114"/>
      <c r="L2" s="1114"/>
      <c r="M2" s="1114"/>
      <c r="N2" s="1114"/>
      <c r="O2" s="1114"/>
      <c r="P2" s="1114"/>
      <c r="Q2" s="1114"/>
      <c r="R2" s="1114"/>
      <c r="S2" s="1114"/>
      <c r="T2" s="1114"/>
      <c r="U2" s="1114"/>
      <c r="V2" s="1114"/>
      <c r="W2" s="1114"/>
      <c r="X2" s="1114"/>
      <c r="Y2" s="1114"/>
      <c r="Z2" s="1114"/>
    </row>
    <row r="3" spans="1:26" ht="13.5" thickBot="1">
      <c r="B3" s="1109"/>
      <c r="C3" s="1109"/>
      <c r="D3" s="1113" t="str">
        <f>B5</f>
        <v>DN10 - Serti 15</v>
      </c>
      <c r="E3" s="1112" t="str">
        <f>B6</f>
        <v>DN15 - Serti 18</v>
      </c>
      <c r="F3" s="1111" t="str">
        <f>B7</f>
        <v>DN20 - Serti 22</v>
      </c>
      <c r="G3" s="1112" t="str">
        <f>B8</f>
        <v>DN25 - Serti 28</v>
      </c>
      <c r="H3" s="1111" t="str">
        <f>B9</f>
        <v>DN32 - Serti 35</v>
      </c>
      <c r="I3" s="1112" t="str">
        <f>B10</f>
        <v>DN40 - Serti 42</v>
      </c>
      <c r="J3" s="1112" t="str">
        <f>B11</f>
        <v>DN50 - Serti 54</v>
      </c>
      <c r="K3" s="1112" t="str">
        <f>B12</f>
        <v>DN65 - Serti 76</v>
      </c>
      <c r="L3" s="1111" t="str">
        <f>B13</f>
        <v>DN80 - Serti 88</v>
      </c>
      <c r="M3" s="1110" t="str">
        <f>B14</f>
        <v>DN100 - Serti 108</v>
      </c>
      <c r="N3" s="1105" t="s">
        <v>690</v>
      </c>
      <c r="O3" s="1104" t="s">
        <v>687</v>
      </c>
      <c r="P3" s="1104" t="s">
        <v>685</v>
      </c>
      <c r="Q3" s="1104" t="s">
        <v>683</v>
      </c>
      <c r="R3" s="1104" t="s">
        <v>681</v>
      </c>
      <c r="S3" s="1104" t="s">
        <v>679</v>
      </c>
      <c r="T3" s="1104" t="s">
        <v>677</v>
      </c>
      <c r="U3" s="1104" t="s">
        <v>675</v>
      </c>
      <c r="V3" s="1104" t="s">
        <v>673</v>
      </c>
      <c r="W3" s="1104" t="s">
        <v>671</v>
      </c>
      <c r="X3" s="1104" t="s">
        <v>669</v>
      </c>
      <c r="Y3" s="1104" t="s">
        <v>668</v>
      </c>
      <c r="Z3" s="1103" t="s">
        <v>667</v>
      </c>
    </row>
    <row r="4" spans="1:26" ht="13.5" thickBot="1">
      <c r="B4" s="1109"/>
      <c r="C4" s="1063" t="s">
        <v>122</v>
      </c>
      <c r="D4" s="1108">
        <v>15</v>
      </c>
      <c r="E4" s="1107">
        <v>18</v>
      </c>
      <c r="F4" s="1107">
        <v>22</v>
      </c>
      <c r="G4" s="1107">
        <v>28</v>
      </c>
      <c r="H4" s="1107">
        <v>35</v>
      </c>
      <c r="I4" s="1107">
        <v>42</v>
      </c>
      <c r="J4" s="1107">
        <v>54</v>
      </c>
      <c r="K4" s="1107">
        <v>76</v>
      </c>
      <c r="L4" s="1107">
        <v>88</v>
      </c>
      <c r="M4" s="1106">
        <v>108</v>
      </c>
      <c r="N4" s="1105"/>
      <c r="O4" s="1104"/>
      <c r="P4" s="1104"/>
      <c r="Q4" s="1104"/>
      <c r="R4" s="1104"/>
      <c r="S4" s="1104"/>
      <c r="T4" s="1104"/>
      <c r="U4" s="1104"/>
      <c r="V4" s="1104"/>
      <c r="W4" s="1104"/>
      <c r="X4" s="1104"/>
      <c r="Y4" s="1104"/>
      <c r="Z4" s="1103"/>
    </row>
    <row r="5" spans="1:26">
      <c r="A5" s="1080" t="s">
        <v>743</v>
      </c>
      <c r="B5" s="1102" t="s">
        <v>655</v>
      </c>
      <c r="C5" s="1064">
        <v>15</v>
      </c>
      <c r="D5" s="1093" t="s">
        <v>689</v>
      </c>
      <c r="E5" s="1092" t="s">
        <v>688</v>
      </c>
      <c r="F5" s="1092" t="s">
        <v>742</v>
      </c>
      <c r="G5" s="1092" t="s">
        <v>741</v>
      </c>
      <c r="H5" s="1092" t="s">
        <v>740</v>
      </c>
      <c r="I5" s="1092" t="s">
        <v>739</v>
      </c>
      <c r="J5" s="1092" t="s">
        <v>738</v>
      </c>
      <c r="K5" s="1092" t="s">
        <v>737</v>
      </c>
      <c r="L5" s="1092" t="s">
        <v>736</v>
      </c>
      <c r="M5" s="1092" t="s">
        <v>735</v>
      </c>
      <c r="N5" s="1101"/>
      <c r="O5" s="1100"/>
      <c r="P5" s="1100"/>
      <c r="Q5" s="1100"/>
      <c r="R5" s="1100"/>
      <c r="S5" s="1100"/>
      <c r="T5" s="1100"/>
      <c r="U5" s="1100"/>
      <c r="V5" s="1100"/>
      <c r="W5" s="1100"/>
      <c r="X5" s="1100"/>
      <c r="Y5" s="1100"/>
      <c r="Z5" s="1099"/>
    </row>
    <row r="6" spans="1:26">
      <c r="A6" s="1080"/>
      <c r="B6" s="1098" t="s">
        <v>658</v>
      </c>
      <c r="C6" s="1066">
        <v>18</v>
      </c>
      <c r="D6" s="1084" t="str">
        <f>"R14"&amp;$C6&amp;D$4</f>
        <v>R141815</v>
      </c>
      <c r="E6" s="1082" t="s">
        <v>686</v>
      </c>
      <c r="F6" s="1088" t="s">
        <v>734</v>
      </c>
      <c r="G6" s="1088" t="s">
        <v>733</v>
      </c>
      <c r="H6" s="1088" t="s">
        <v>732</v>
      </c>
      <c r="I6" s="1088" t="s">
        <v>731</v>
      </c>
      <c r="J6" s="1088" t="s">
        <v>730</v>
      </c>
      <c r="K6" s="1088" t="s">
        <v>729</v>
      </c>
      <c r="L6" s="1088" t="s">
        <v>728</v>
      </c>
      <c r="M6" s="1088" t="s">
        <v>727</v>
      </c>
      <c r="N6" s="1083"/>
      <c r="O6" s="1082"/>
      <c r="P6" s="1082"/>
      <c r="Q6" s="1082"/>
      <c r="R6" s="1082"/>
      <c r="S6" s="1082"/>
      <c r="T6" s="1082"/>
      <c r="U6" s="1082"/>
      <c r="V6" s="1082"/>
      <c r="W6" s="1082"/>
      <c r="X6" s="1082"/>
      <c r="Y6" s="1082"/>
      <c r="Z6" s="1081"/>
    </row>
    <row r="7" spans="1:26">
      <c r="A7" s="1080"/>
      <c r="B7" s="1097" t="s">
        <v>659</v>
      </c>
      <c r="C7" s="1066">
        <v>22</v>
      </c>
      <c r="D7" s="1084" t="str">
        <f>"R14"&amp;$C7&amp;D$4</f>
        <v>R142215</v>
      </c>
      <c r="E7" s="1082" t="str">
        <f>"R14"&amp;$C7&amp;E$4</f>
        <v>R142218</v>
      </c>
      <c r="F7" s="1082" t="s">
        <v>684</v>
      </c>
      <c r="G7" s="1088" t="s">
        <v>726</v>
      </c>
      <c r="H7" s="1088" t="s">
        <v>725</v>
      </c>
      <c r="I7" s="1088" t="s">
        <v>724</v>
      </c>
      <c r="J7" s="1088" t="s">
        <v>723</v>
      </c>
      <c r="K7" s="1088" t="s">
        <v>722</v>
      </c>
      <c r="L7" s="1088" t="s">
        <v>721</v>
      </c>
      <c r="M7" s="1088" t="s">
        <v>720</v>
      </c>
      <c r="N7" s="1083"/>
      <c r="O7" s="1082"/>
      <c r="P7" s="1082"/>
      <c r="Q7" s="1082"/>
      <c r="R7" s="1082"/>
      <c r="S7" s="1082"/>
      <c r="T7" s="1082"/>
      <c r="U7" s="1082"/>
      <c r="V7" s="1082"/>
      <c r="W7" s="1082"/>
      <c r="X7" s="1082"/>
      <c r="Y7" s="1082"/>
      <c r="Z7" s="1081"/>
    </row>
    <row r="8" spans="1:26">
      <c r="A8" s="1080"/>
      <c r="B8" s="1098" t="s">
        <v>660</v>
      </c>
      <c r="C8" s="1066">
        <v>28</v>
      </c>
      <c r="D8" s="1084" t="str">
        <f>"R14"&amp;$C8&amp;D$4</f>
        <v>R142815</v>
      </c>
      <c r="E8" s="1082" t="str">
        <f>"R14"&amp;$C8&amp;E$4</f>
        <v>R142818</v>
      </c>
      <c r="F8" s="1082" t="str">
        <f>"R14"&amp;$C8&amp;F$4</f>
        <v>R142822</v>
      </c>
      <c r="G8" s="1082" t="s">
        <v>682</v>
      </c>
      <c r="H8" s="1088" t="s">
        <v>719</v>
      </c>
      <c r="I8" s="1088" t="s">
        <v>718</v>
      </c>
      <c r="J8" s="1088" t="s">
        <v>717</v>
      </c>
      <c r="K8" s="1088" t="s">
        <v>716</v>
      </c>
      <c r="L8" s="1088" t="s">
        <v>715</v>
      </c>
      <c r="M8" s="1088" t="s">
        <v>714</v>
      </c>
      <c r="N8" s="1083"/>
      <c r="O8" s="1082"/>
      <c r="P8" s="1082"/>
      <c r="Q8" s="1082"/>
      <c r="R8" s="1082"/>
      <c r="S8" s="1082"/>
      <c r="T8" s="1082"/>
      <c r="U8" s="1082"/>
      <c r="V8" s="1082"/>
      <c r="W8" s="1082"/>
      <c r="X8" s="1082"/>
      <c r="Y8" s="1082"/>
      <c r="Z8" s="1081"/>
    </row>
    <row r="9" spans="1:26">
      <c r="A9" s="1080"/>
      <c r="B9" s="1097" t="s">
        <v>661</v>
      </c>
      <c r="C9" s="1066">
        <v>35</v>
      </c>
      <c r="D9" s="1084" t="str">
        <f>"R14"&amp;$C9&amp;D$4</f>
        <v>R143515</v>
      </c>
      <c r="E9" s="1082" t="str">
        <f>"R14"&amp;$C9&amp;E$4</f>
        <v>R143518</v>
      </c>
      <c r="F9" s="1082" t="str">
        <f>"R14"&amp;$C9&amp;F$4</f>
        <v>R143522</v>
      </c>
      <c r="G9" s="1082" t="str">
        <f>"R14"&amp;$C9&amp;G$4</f>
        <v>R143528</v>
      </c>
      <c r="H9" s="1082" t="s">
        <v>680</v>
      </c>
      <c r="I9" s="1088" t="s">
        <v>713</v>
      </c>
      <c r="J9" s="1088" t="s">
        <v>712</v>
      </c>
      <c r="K9" s="1088" t="s">
        <v>711</v>
      </c>
      <c r="L9" s="1088" t="s">
        <v>710</v>
      </c>
      <c r="M9" s="1088" t="s">
        <v>709</v>
      </c>
      <c r="N9" s="1083"/>
      <c r="O9" s="1082"/>
      <c r="P9" s="1082"/>
      <c r="Q9" s="1082"/>
      <c r="R9" s="1082"/>
      <c r="S9" s="1082"/>
      <c r="T9" s="1082"/>
      <c r="U9" s="1082"/>
      <c r="V9" s="1082"/>
      <c r="W9" s="1082"/>
      <c r="X9" s="1082"/>
      <c r="Y9" s="1082"/>
      <c r="Z9" s="1081"/>
    </row>
    <row r="10" spans="1:26">
      <c r="A10" s="1080"/>
      <c r="B10" s="1098" t="s">
        <v>662</v>
      </c>
      <c r="C10" s="1066">
        <v>42</v>
      </c>
      <c r="D10" s="1089" t="s">
        <v>708</v>
      </c>
      <c r="E10" s="1082" t="str">
        <f>"R14"&amp;$C10&amp;E$4</f>
        <v>R144218</v>
      </c>
      <c r="F10" s="1082" t="str">
        <f>"R14"&amp;$C10&amp;F$4</f>
        <v>R144222</v>
      </c>
      <c r="G10" s="1082" t="str">
        <f>"R14"&amp;$C10&amp;G$4</f>
        <v>R144228</v>
      </c>
      <c r="H10" s="1082" t="str">
        <f>"R14"&amp;$C10&amp;H$4</f>
        <v>R144235</v>
      </c>
      <c r="I10" s="1082" t="s">
        <v>678</v>
      </c>
      <c r="J10" s="1088" t="s">
        <v>707</v>
      </c>
      <c r="K10" s="1088" t="s">
        <v>706</v>
      </c>
      <c r="L10" s="1088" t="s">
        <v>705</v>
      </c>
      <c r="M10" s="1088" t="s">
        <v>704</v>
      </c>
      <c r="N10" s="1083"/>
      <c r="O10" s="1082"/>
      <c r="P10" s="1082"/>
      <c r="Q10" s="1082"/>
      <c r="R10" s="1082"/>
      <c r="S10" s="1082"/>
      <c r="T10" s="1082"/>
      <c r="U10" s="1082"/>
      <c r="V10" s="1082"/>
      <c r="W10" s="1082"/>
      <c r="X10" s="1082"/>
      <c r="Y10" s="1082"/>
      <c r="Z10" s="1081"/>
    </row>
    <row r="11" spans="1:26">
      <c r="A11" s="1080"/>
      <c r="B11" s="1098" t="s">
        <v>663</v>
      </c>
      <c r="C11" s="1066">
        <v>54</v>
      </c>
      <c r="D11" s="1089" t="s">
        <v>703</v>
      </c>
      <c r="E11" s="1082" t="str">
        <f>"R14"&amp;$C11&amp;E$4</f>
        <v>R145418</v>
      </c>
      <c r="F11" s="1082" t="str">
        <f>"R14"&amp;$C11&amp;F$4</f>
        <v>R145422</v>
      </c>
      <c r="G11" s="1082" t="str">
        <f>"R14"&amp;$C11&amp;G$4</f>
        <v>R145428</v>
      </c>
      <c r="H11" s="1082" t="str">
        <f>"R14"&amp;$C11&amp;H$4</f>
        <v>R145435</v>
      </c>
      <c r="I11" s="1082" t="str">
        <f>"R14"&amp;$C11&amp;I$4</f>
        <v>R145442</v>
      </c>
      <c r="J11" s="1082" t="s">
        <v>676</v>
      </c>
      <c r="K11" s="1088" t="s">
        <v>702</v>
      </c>
      <c r="L11" s="1088" t="s">
        <v>701</v>
      </c>
      <c r="M11" s="1088" t="s">
        <v>700</v>
      </c>
      <c r="N11" s="1083"/>
      <c r="O11" s="1082"/>
      <c r="P11" s="1082"/>
      <c r="Q11" s="1082"/>
      <c r="R11" s="1082"/>
      <c r="S11" s="1082"/>
      <c r="T11" s="1082"/>
      <c r="U11" s="1082"/>
      <c r="V11" s="1082"/>
      <c r="W11" s="1082"/>
      <c r="X11" s="1082"/>
      <c r="Y11" s="1082"/>
      <c r="Z11" s="1081"/>
    </row>
    <row r="12" spans="1:26">
      <c r="A12" s="1080"/>
      <c r="B12" s="1098" t="s">
        <v>664</v>
      </c>
      <c r="C12" s="1066">
        <v>76</v>
      </c>
      <c r="D12" s="1089" t="s">
        <v>699</v>
      </c>
      <c r="E12" s="1088" t="s">
        <v>698</v>
      </c>
      <c r="F12" s="1082" t="str">
        <f>"R14"&amp;$C12&amp;F$4</f>
        <v>R147622</v>
      </c>
      <c r="G12" s="1082" t="str">
        <f>"R14"&amp;$C12&amp;G$4</f>
        <v>R147628</v>
      </c>
      <c r="H12" s="1082" t="str">
        <f>"R14"&amp;$C12&amp;H$4</f>
        <v>R147635</v>
      </c>
      <c r="I12" s="1082" t="str">
        <f>"R14"&amp;$C12&amp;I$4</f>
        <v>R147642</v>
      </c>
      <c r="J12" s="1082" t="str">
        <f>"R14"&amp;$C12&amp;J$4</f>
        <v>R147654</v>
      </c>
      <c r="K12" s="1082" t="s">
        <v>674</v>
      </c>
      <c r="L12" s="1088" t="s">
        <v>697</v>
      </c>
      <c r="M12" s="1088" t="s">
        <v>696</v>
      </c>
      <c r="N12" s="1083"/>
      <c r="O12" s="1082"/>
      <c r="P12" s="1082"/>
      <c r="Q12" s="1082"/>
      <c r="R12" s="1082"/>
      <c r="S12" s="1082"/>
      <c r="T12" s="1082"/>
      <c r="U12" s="1082"/>
      <c r="V12" s="1082"/>
      <c r="W12" s="1082"/>
      <c r="X12" s="1082"/>
      <c r="Y12" s="1082"/>
      <c r="Z12" s="1081"/>
    </row>
    <row r="13" spans="1:26">
      <c r="A13" s="1080"/>
      <c r="B13" s="1097" t="s">
        <v>665</v>
      </c>
      <c r="C13" s="1066">
        <v>88</v>
      </c>
      <c r="D13" s="1089" t="s">
        <v>695</v>
      </c>
      <c r="E13" s="1088" t="s">
        <v>694</v>
      </c>
      <c r="F13" s="1082" t="str">
        <f>"R14"&amp;$C13&amp;F$4</f>
        <v>R148822</v>
      </c>
      <c r="G13" s="1082" t="str">
        <f>"R14"&amp;$C13&amp;G$4</f>
        <v>R148828</v>
      </c>
      <c r="H13" s="1082" t="str">
        <f>"R14"&amp;$C13&amp;H$4</f>
        <v>R148835</v>
      </c>
      <c r="I13" s="1082" t="str">
        <f>"R14"&amp;$C13&amp;I$4</f>
        <v>R148842</v>
      </c>
      <c r="J13" s="1082" t="str">
        <f>"R14"&amp;$C13&amp;J$4</f>
        <v>R148854</v>
      </c>
      <c r="K13" s="1082" t="str">
        <f>"R14"&amp;$C13&amp;K$4</f>
        <v>R148876</v>
      </c>
      <c r="L13" s="1082" t="s">
        <v>672</v>
      </c>
      <c r="M13" s="1088" t="s">
        <v>693</v>
      </c>
      <c r="N13" s="1083"/>
      <c r="O13" s="1082"/>
      <c r="P13" s="1082"/>
      <c r="Q13" s="1082"/>
      <c r="R13" s="1082"/>
      <c r="S13" s="1082"/>
      <c r="T13" s="1082"/>
      <c r="U13" s="1082"/>
      <c r="V13" s="1082"/>
      <c r="W13" s="1082"/>
      <c r="X13" s="1082"/>
      <c r="Y13" s="1082"/>
      <c r="Z13" s="1081"/>
    </row>
    <row r="14" spans="1:26" ht="13.5" thickBot="1">
      <c r="A14" s="1080"/>
      <c r="B14" s="1096" t="s">
        <v>666</v>
      </c>
      <c r="C14" s="1067">
        <v>108</v>
      </c>
      <c r="D14" s="1087" t="s">
        <v>692</v>
      </c>
      <c r="E14" s="1086" t="s">
        <v>691</v>
      </c>
      <c r="F14" s="1076" t="str">
        <f>"R14"&amp;$C14&amp;F$4</f>
        <v>R1410822</v>
      </c>
      <c r="G14" s="1076" t="str">
        <f>"R14"&amp;$C14&amp;G$4</f>
        <v>R1410828</v>
      </c>
      <c r="H14" s="1076" t="str">
        <f>"R14"&amp;$C14&amp;H$4</f>
        <v>R1410835</v>
      </c>
      <c r="I14" s="1076" t="str">
        <f>"R14"&amp;$C14&amp;I$4</f>
        <v>R1410842</v>
      </c>
      <c r="J14" s="1076" t="str">
        <f>"R14"&amp;$C14&amp;J$4</f>
        <v>R1410854</v>
      </c>
      <c r="K14" s="1076" t="str">
        <f>"R14"&amp;$C14&amp;K$4</f>
        <v>R1410876</v>
      </c>
      <c r="L14" s="1076" t="str">
        <f>"R14"&amp;$C14&amp;L$4</f>
        <v>R1410888</v>
      </c>
      <c r="M14" s="1075" t="str">
        <f>"R15"&amp;C14</f>
        <v>R15108</v>
      </c>
      <c r="N14" s="1077"/>
      <c r="O14" s="1076"/>
      <c r="P14" s="1076"/>
      <c r="Q14" s="1076"/>
      <c r="R14" s="1076"/>
      <c r="S14" s="1076"/>
      <c r="T14" s="1076"/>
      <c r="U14" s="1076"/>
      <c r="V14" s="1076"/>
      <c r="W14" s="1076"/>
      <c r="X14" s="1076"/>
      <c r="Y14" s="1076"/>
      <c r="Z14" s="1075"/>
    </row>
    <row r="15" spans="1:26">
      <c r="A15" s="1080"/>
      <c r="B15" s="1095" t="s">
        <v>690</v>
      </c>
      <c r="C15" s="1095"/>
      <c r="D15" s="1094"/>
      <c r="E15" s="1091"/>
      <c r="F15" s="1091"/>
      <c r="G15" s="1091"/>
      <c r="H15" s="1091"/>
      <c r="I15" s="1091"/>
      <c r="J15" s="1091"/>
      <c r="K15" s="1091"/>
      <c r="L15" s="1091"/>
      <c r="M15" s="1090"/>
      <c r="N15" s="1093" t="s">
        <v>689</v>
      </c>
      <c r="O15" s="1092" t="s">
        <v>688</v>
      </c>
      <c r="P15" s="1092" t="s">
        <v>670</v>
      </c>
      <c r="Q15" s="1092" t="s">
        <v>670</v>
      </c>
      <c r="R15" s="1092" t="s">
        <v>670</v>
      </c>
      <c r="S15" s="1092" t="s">
        <v>670</v>
      </c>
      <c r="T15" s="1092" t="s">
        <v>670</v>
      </c>
      <c r="U15" s="1092" t="s">
        <v>670</v>
      </c>
      <c r="V15" s="1092" t="s">
        <v>670</v>
      </c>
      <c r="W15" s="1092" t="s">
        <v>670</v>
      </c>
      <c r="X15" s="1091"/>
      <c r="Y15" s="1091"/>
      <c r="Z15" s="1090"/>
    </row>
    <row r="16" spans="1:26">
      <c r="A16" s="1080"/>
      <c r="B16" s="1085" t="s">
        <v>687</v>
      </c>
      <c r="C16" s="1085"/>
      <c r="D16" s="1084"/>
      <c r="E16" s="1082"/>
      <c r="F16" s="1082"/>
      <c r="G16" s="1082"/>
      <c r="H16" s="1082"/>
      <c r="I16" s="1082"/>
      <c r="J16" s="1082"/>
      <c r="K16" s="1082"/>
      <c r="L16" s="1082"/>
      <c r="M16" s="1081"/>
      <c r="N16" s="1084" t="str">
        <f>"R14"&amp;$C16&amp;N$4</f>
        <v>R14</v>
      </c>
      <c r="O16" s="1082" t="s">
        <v>686</v>
      </c>
      <c r="P16" s="1088" t="s">
        <v>670</v>
      </c>
      <c r="Q16" s="1088" t="s">
        <v>670</v>
      </c>
      <c r="R16" s="1088" t="s">
        <v>670</v>
      </c>
      <c r="S16" s="1088" t="s">
        <v>670</v>
      </c>
      <c r="T16" s="1088" t="s">
        <v>670</v>
      </c>
      <c r="U16" s="1088" t="s">
        <v>670</v>
      </c>
      <c r="V16" s="1088" t="s">
        <v>670</v>
      </c>
      <c r="W16" s="1088" t="s">
        <v>670</v>
      </c>
      <c r="X16" s="1082"/>
      <c r="Y16" s="1082"/>
      <c r="Z16" s="1081"/>
    </row>
    <row r="17" spans="1:26">
      <c r="A17" s="1080"/>
      <c r="B17" s="1085" t="s">
        <v>685</v>
      </c>
      <c r="C17" s="1085"/>
      <c r="D17" s="1084"/>
      <c r="E17" s="1082"/>
      <c r="F17" s="1082"/>
      <c r="G17" s="1082"/>
      <c r="H17" s="1082"/>
      <c r="I17" s="1082"/>
      <c r="J17" s="1082"/>
      <c r="K17" s="1082"/>
      <c r="L17" s="1082"/>
      <c r="M17" s="1081"/>
      <c r="N17" s="1084" t="str">
        <f>"R14"&amp;$C17&amp;N$4</f>
        <v>R14</v>
      </c>
      <c r="O17" s="1082" t="str">
        <f>"R14"&amp;$C17&amp;O$4</f>
        <v>R14</v>
      </c>
      <c r="P17" s="1082" t="s">
        <v>684</v>
      </c>
      <c r="Q17" s="1088" t="s">
        <v>670</v>
      </c>
      <c r="R17" s="1088" t="s">
        <v>670</v>
      </c>
      <c r="S17" s="1088" t="s">
        <v>670</v>
      </c>
      <c r="T17" s="1088" t="s">
        <v>670</v>
      </c>
      <c r="U17" s="1088" t="s">
        <v>670</v>
      </c>
      <c r="V17" s="1088" t="s">
        <v>670</v>
      </c>
      <c r="W17" s="1088" t="s">
        <v>670</v>
      </c>
      <c r="X17" s="1082"/>
      <c r="Y17" s="1082"/>
      <c r="Z17" s="1081"/>
    </row>
    <row r="18" spans="1:26">
      <c r="A18" s="1080"/>
      <c r="B18" s="1085" t="s">
        <v>683</v>
      </c>
      <c r="C18" s="1085"/>
      <c r="D18" s="1084"/>
      <c r="E18" s="1082"/>
      <c r="F18" s="1082"/>
      <c r="G18" s="1082"/>
      <c r="H18" s="1082"/>
      <c r="I18" s="1082"/>
      <c r="J18" s="1082"/>
      <c r="K18" s="1082"/>
      <c r="L18" s="1082"/>
      <c r="M18" s="1081"/>
      <c r="N18" s="1084" t="str">
        <f>"R14"&amp;$C18&amp;N$4</f>
        <v>R14</v>
      </c>
      <c r="O18" s="1082" t="str">
        <f>"R14"&amp;$C18&amp;O$4</f>
        <v>R14</v>
      </c>
      <c r="P18" s="1082" t="str">
        <f>"R14"&amp;$C18&amp;P$4</f>
        <v>R14</v>
      </c>
      <c r="Q18" s="1082" t="s">
        <v>682</v>
      </c>
      <c r="R18" s="1088" t="s">
        <v>670</v>
      </c>
      <c r="S18" s="1088" t="s">
        <v>670</v>
      </c>
      <c r="T18" s="1088" t="s">
        <v>670</v>
      </c>
      <c r="U18" s="1088" t="s">
        <v>670</v>
      </c>
      <c r="V18" s="1088" t="s">
        <v>670</v>
      </c>
      <c r="W18" s="1088" t="s">
        <v>670</v>
      </c>
      <c r="X18" s="1082"/>
      <c r="Y18" s="1082"/>
      <c r="Z18" s="1081"/>
    </row>
    <row r="19" spans="1:26">
      <c r="A19" s="1080"/>
      <c r="B19" s="1085" t="s">
        <v>681</v>
      </c>
      <c r="C19" s="1085"/>
      <c r="D19" s="1084"/>
      <c r="E19" s="1082"/>
      <c r="F19" s="1082"/>
      <c r="G19" s="1082"/>
      <c r="H19" s="1082"/>
      <c r="I19" s="1082"/>
      <c r="J19" s="1082"/>
      <c r="K19" s="1082"/>
      <c r="L19" s="1082"/>
      <c r="M19" s="1081"/>
      <c r="N19" s="1084" t="str">
        <f>"R14"&amp;$C19&amp;N$4</f>
        <v>R14</v>
      </c>
      <c r="O19" s="1082" t="str">
        <f>"R14"&amp;$C19&amp;O$4</f>
        <v>R14</v>
      </c>
      <c r="P19" s="1082" t="str">
        <f>"R14"&amp;$C19&amp;P$4</f>
        <v>R14</v>
      </c>
      <c r="Q19" s="1082" t="str">
        <f>"R14"&amp;$C19&amp;Q$4</f>
        <v>R14</v>
      </c>
      <c r="R19" s="1082" t="s">
        <v>680</v>
      </c>
      <c r="S19" s="1088" t="s">
        <v>670</v>
      </c>
      <c r="T19" s="1088" t="s">
        <v>670</v>
      </c>
      <c r="U19" s="1088" t="s">
        <v>670</v>
      </c>
      <c r="V19" s="1088" t="s">
        <v>670</v>
      </c>
      <c r="W19" s="1088" t="s">
        <v>670</v>
      </c>
      <c r="X19" s="1082"/>
      <c r="Y19" s="1082"/>
      <c r="Z19" s="1081"/>
    </row>
    <row r="20" spans="1:26">
      <c r="A20" s="1080"/>
      <c r="B20" s="1085" t="s">
        <v>679</v>
      </c>
      <c r="C20" s="1085"/>
      <c r="D20" s="1084"/>
      <c r="E20" s="1082"/>
      <c r="F20" s="1082"/>
      <c r="G20" s="1082"/>
      <c r="H20" s="1082"/>
      <c r="I20" s="1082"/>
      <c r="J20" s="1082"/>
      <c r="K20" s="1082"/>
      <c r="L20" s="1082"/>
      <c r="M20" s="1081"/>
      <c r="N20" s="1089" t="s">
        <v>670</v>
      </c>
      <c r="O20" s="1082" t="str">
        <f>"R14"&amp;$C20&amp;O$4</f>
        <v>R14</v>
      </c>
      <c r="P20" s="1082" t="str">
        <f>"R14"&amp;$C20&amp;P$4</f>
        <v>R14</v>
      </c>
      <c r="Q20" s="1082" t="str">
        <f>"R14"&amp;$C20&amp;Q$4</f>
        <v>R14</v>
      </c>
      <c r="R20" s="1082" t="str">
        <f>"R14"&amp;$C20&amp;R$4</f>
        <v>R14</v>
      </c>
      <c r="S20" s="1082" t="s">
        <v>678</v>
      </c>
      <c r="T20" s="1088" t="s">
        <v>670</v>
      </c>
      <c r="U20" s="1088" t="s">
        <v>670</v>
      </c>
      <c r="V20" s="1088" t="s">
        <v>670</v>
      </c>
      <c r="W20" s="1088" t="s">
        <v>670</v>
      </c>
      <c r="X20" s="1082"/>
      <c r="Y20" s="1082"/>
      <c r="Z20" s="1081"/>
    </row>
    <row r="21" spans="1:26">
      <c r="A21" s="1080"/>
      <c r="B21" s="1085" t="s">
        <v>677</v>
      </c>
      <c r="C21" s="1085"/>
      <c r="D21" s="1084"/>
      <c r="E21" s="1082"/>
      <c r="F21" s="1082"/>
      <c r="G21" s="1082"/>
      <c r="H21" s="1082"/>
      <c r="I21" s="1082"/>
      <c r="J21" s="1082"/>
      <c r="K21" s="1082"/>
      <c r="L21" s="1082"/>
      <c r="M21" s="1081"/>
      <c r="N21" s="1089" t="s">
        <v>670</v>
      </c>
      <c r="O21" s="1082" t="str">
        <f>"R14"&amp;$C21&amp;O$4</f>
        <v>R14</v>
      </c>
      <c r="P21" s="1082" t="str">
        <f>"R14"&amp;$C21&amp;P$4</f>
        <v>R14</v>
      </c>
      <c r="Q21" s="1082" t="str">
        <f>"R14"&amp;$C21&amp;Q$4</f>
        <v>R14</v>
      </c>
      <c r="R21" s="1082" t="str">
        <f>"R14"&amp;$C21&amp;R$4</f>
        <v>R14</v>
      </c>
      <c r="S21" s="1082" t="str">
        <f>"R14"&amp;$C21&amp;S$4</f>
        <v>R14</v>
      </c>
      <c r="T21" s="1082" t="s">
        <v>676</v>
      </c>
      <c r="U21" s="1088" t="s">
        <v>670</v>
      </c>
      <c r="V21" s="1088" t="s">
        <v>670</v>
      </c>
      <c r="W21" s="1088" t="s">
        <v>670</v>
      </c>
      <c r="X21" s="1082"/>
      <c r="Y21" s="1082"/>
      <c r="Z21" s="1081"/>
    </row>
    <row r="22" spans="1:26">
      <c r="A22" s="1080"/>
      <c r="B22" s="1085" t="s">
        <v>675</v>
      </c>
      <c r="C22" s="1085"/>
      <c r="D22" s="1084"/>
      <c r="E22" s="1082"/>
      <c r="F22" s="1082"/>
      <c r="G22" s="1082"/>
      <c r="H22" s="1082"/>
      <c r="I22" s="1082"/>
      <c r="J22" s="1082"/>
      <c r="K22" s="1082"/>
      <c r="L22" s="1082"/>
      <c r="M22" s="1081"/>
      <c r="N22" s="1089" t="s">
        <v>670</v>
      </c>
      <c r="O22" s="1088" t="s">
        <v>670</v>
      </c>
      <c r="P22" s="1082" t="str">
        <f>"R14"&amp;$C22&amp;P$4</f>
        <v>R14</v>
      </c>
      <c r="Q22" s="1082" t="str">
        <f>"R14"&amp;$C22&amp;Q$4</f>
        <v>R14</v>
      </c>
      <c r="R22" s="1082" t="str">
        <f>"R14"&amp;$C22&amp;R$4</f>
        <v>R14</v>
      </c>
      <c r="S22" s="1082" t="str">
        <f>"R14"&amp;$C22&amp;S$4</f>
        <v>R14</v>
      </c>
      <c r="T22" s="1082" t="str">
        <f>"R14"&amp;$C22&amp;T$4</f>
        <v>R14</v>
      </c>
      <c r="U22" s="1082" t="s">
        <v>674</v>
      </c>
      <c r="V22" s="1088" t="s">
        <v>670</v>
      </c>
      <c r="W22" s="1088" t="s">
        <v>670</v>
      </c>
      <c r="X22" s="1082"/>
      <c r="Y22" s="1082"/>
      <c r="Z22" s="1081"/>
    </row>
    <row r="23" spans="1:26">
      <c r="A23" s="1080"/>
      <c r="B23" s="1085" t="s">
        <v>673</v>
      </c>
      <c r="C23" s="1085"/>
      <c r="D23" s="1084"/>
      <c r="E23" s="1082"/>
      <c r="F23" s="1082"/>
      <c r="G23" s="1082"/>
      <c r="H23" s="1082"/>
      <c r="I23" s="1082"/>
      <c r="J23" s="1082"/>
      <c r="K23" s="1082"/>
      <c r="L23" s="1082"/>
      <c r="M23" s="1081"/>
      <c r="N23" s="1089" t="s">
        <v>670</v>
      </c>
      <c r="O23" s="1088" t="s">
        <v>670</v>
      </c>
      <c r="P23" s="1082" t="str">
        <f>"R14"&amp;$C23&amp;P$4</f>
        <v>R14</v>
      </c>
      <c r="Q23" s="1082" t="str">
        <f>"R14"&amp;$C23&amp;Q$4</f>
        <v>R14</v>
      </c>
      <c r="R23" s="1082" t="str">
        <f>"R14"&amp;$C23&amp;R$4</f>
        <v>R14</v>
      </c>
      <c r="S23" s="1082" t="str">
        <f>"R14"&amp;$C23&amp;S$4</f>
        <v>R14</v>
      </c>
      <c r="T23" s="1082" t="str">
        <f>"R14"&amp;$C23&amp;T$4</f>
        <v>R14</v>
      </c>
      <c r="U23" s="1082" t="str">
        <f>"R14"&amp;$C23&amp;U$4</f>
        <v>R14</v>
      </c>
      <c r="V23" s="1082" t="s">
        <v>672</v>
      </c>
      <c r="W23" s="1088" t="s">
        <v>670</v>
      </c>
      <c r="X23" s="1082"/>
      <c r="Y23" s="1082"/>
      <c r="Z23" s="1081"/>
    </row>
    <row r="24" spans="1:26" ht="13.5" thickBot="1">
      <c r="A24" s="1080"/>
      <c r="B24" s="1085" t="s">
        <v>671</v>
      </c>
      <c r="C24" s="1085"/>
      <c r="D24" s="1084"/>
      <c r="E24" s="1082"/>
      <c r="F24" s="1082"/>
      <c r="G24" s="1082"/>
      <c r="H24" s="1082"/>
      <c r="I24" s="1082"/>
      <c r="J24" s="1082"/>
      <c r="K24" s="1082"/>
      <c r="L24" s="1082"/>
      <c r="M24" s="1081"/>
      <c r="N24" s="1087" t="s">
        <v>670</v>
      </c>
      <c r="O24" s="1086" t="s">
        <v>670</v>
      </c>
      <c r="P24" s="1076" t="str">
        <f>"R14"&amp;$C24&amp;P$4</f>
        <v>R14</v>
      </c>
      <c r="Q24" s="1076" t="str">
        <f>"R14"&amp;$C24&amp;Q$4</f>
        <v>R14</v>
      </c>
      <c r="R24" s="1076" t="str">
        <f>"R14"&amp;$C24&amp;R$4</f>
        <v>R14</v>
      </c>
      <c r="S24" s="1076" t="str">
        <f>"R14"&amp;$C24&amp;S$4</f>
        <v>R14</v>
      </c>
      <c r="T24" s="1076" t="str">
        <f>"R14"&amp;$C24&amp;T$4</f>
        <v>R14</v>
      </c>
      <c r="U24" s="1076" t="str">
        <f>"R14"&amp;$C24&amp;U$4</f>
        <v>R14</v>
      </c>
      <c r="V24" s="1076" t="str">
        <f>"R14"&amp;$C24&amp;V$4</f>
        <v>R14</v>
      </c>
      <c r="W24" s="1075" t="str">
        <f>"R15"&amp;M24</f>
        <v>R15</v>
      </c>
      <c r="X24" s="1082"/>
      <c r="Y24" s="1082"/>
      <c r="Z24" s="1081"/>
    </row>
    <row r="25" spans="1:26">
      <c r="A25" s="1080"/>
      <c r="B25" s="1085" t="s">
        <v>669</v>
      </c>
      <c r="C25" s="1085"/>
      <c r="D25" s="1084"/>
      <c r="E25" s="1082"/>
      <c r="F25" s="1082"/>
      <c r="G25" s="1082"/>
      <c r="H25" s="1082"/>
      <c r="I25" s="1082"/>
      <c r="J25" s="1082"/>
      <c r="K25" s="1082"/>
      <c r="L25" s="1082"/>
      <c r="M25" s="1081"/>
      <c r="N25" s="1083"/>
      <c r="O25" s="1082"/>
      <c r="P25" s="1082"/>
      <c r="Q25" s="1082"/>
      <c r="R25" s="1082"/>
      <c r="S25" s="1082"/>
      <c r="T25" s="1082"/>
      <c r="U25" s="1082"/>
      <c r="V25" s="1082"/>
      <c r="W25" s="1082"/>
      <c r="X25" s="1082"/>
      <c r="Y25" s="1082"/>
      <c r="Z25" s="1081"/>
    </row>
    <row r="26" spans="1:26">
      <c r="A26" s="1080"/>
      <c r="B26" s="1085" t="s">
        <v>668</v>
      </c>
      <c r="C26" s="1085"/>
      <c r="D26" s="1084"/>
      <c r="E26" s="1082"/>
      <c r="F26" s="1082"/>
      <c r="G26" s="1082"/>
      <c r="H26" s="1082"/>
      <c r="I26" s="1082"/>
      <c r="J26" s="1082"/>
      <c r="K26" s="1082"/>
      <c r="L26" s="1082"/>
      <c r="M26" s="1081"/>
      <c r="N26" s="1083"/>
      <c r="O26" s="1082"/>
      <c r="P26" s="1082"/>
      <c r="Q26" s="1082"/>
      <c r="R26" s="1082"/>
      <c r="S26" s="1082"/>
      <c r="T26" s="1082"/>
      <c r="U26" s="1082"/>
      <c r="V26" s="1082"/>
      <c r="W26" s="1082"/>
      <c r="X26" s="1082"/>
      <c r="Y26" s="1082"/>
      <c r="Z26" s="1081"/>
    </row>
    <row r="27" spans="1:26" ht="13.5" thickBot="1">
      <c r="A27" s="1080"/>
      <c r="B27" s="1079" t="s">
        <v>667</v>
      </c>
      <c r="C27" s="1079"/>
      <c r="D27" s="1078"/>
      <c r="E27" s="1076"/>
      <c r="F27" s="1076"/>
      <c r="G27" s="1076"/>
      <c r="H27" s="1076"/>
      <c r="I27" s="1076"/>
      <c r="J27" s="1076"/>
      <c r="K27" s="1076"/>
      <c r="L27" s="1076"/>
      <c r="M27" s="1075"/>
      <c r="N27" s="1077"/>
      <c r="O27" s="1076"/>
      <c r="P27" s="1076"/>
      <c r="Q27" s="1076"/>
      <c r="R27" s="1076"/>
      <c r="S27" s="1076"/>
      <c r="T27" s="1076"/>
      <c r="U27" s="1076"/>
      <c r="V27" s="1076"/>
      <c r="W27" s="1076"/>
      <c r="X27" s="1076"/>
      <c r="Y27" s="1076"/>
      <c r="Z27" s="1075"/>
    </row>
  </sheetData>
  <sheetProtection algorithmName="SHA-512" hashValue="vTPIYlxJ4ZAgE881xTN/4wmQFgKU9aximG5qJVOvZ18zH/4J+aFYjtxN4kturimP3Rujn5HaZgkmOozd6ho4ag==" saltValue="m88bTHugVhKu37ymkZy70g==" spinCount="100000" sheet="1" objects="1" scenarios="1"/>
  <mergeCells count="4">
    <mergeCell ref="D1:M1"/>
    <mergeCell ref="N1:Z1"/>
    <mergeCell ref="D2:Z2"/>
    <mergeCell ref="A5:A27"/>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4A2E6-28F9-4FB1-A73D-B46CCD8BFA20}">
  <sheetPr codeName="Feuil18">
    <tabColor rgb="FF00B050"/>
  </sheetPr>
  <dimension ref="A1:M67"/>
  <sheetViews>
    <sheetView zoomScaleNormal="100" workbookViewId="0">
      <selection activeCell="C23" sqref="C23"/>
    </sheetView>
  </sheetViews>
  <sheetFormatPr baseColWidth="10" defaultRowHeight="12.75"/>
  <cols>
    <col min="1" max="1" width="10.42578125" style="1061" bestFit="1" customWidth="1"/>
    <col min="2" max="2" width="12.140625" style="1061" bestFit="1" customWidth="1"/>
    <col min="3" max="3" width="46.42578125" style="1061" bestFit="1" customWidth="1"/>
    <col min="4" max="12" width="16.140625" style="1061" bestFit="1" customWidth="1"/>
    <col min="13" max="13" width="17.140625" style="1061" bestFit="1" customWidth="1"/>
    <col min="14" max="16384" width="11.42578125" style="1061"/>
  </cols>
  <sheetData>
    <row r="1" spans="1:13" ht="20.25">
      <c r="B1" s="1208"/>
      <c r="D1" s="1209" t="s">
        <v>746</v>
      </c>
      <c r="E1" s="1210"/>
      <c r="F1" s="1210"/>
      <c r="G1" s="1210"/>
      <c r="H1" s="1210"/>
      <c r="I1" s="1210"/>
      <c r="J1" s="1210"/>
      <c r="K1" s="1210"/>
      <c r="L1" s="1210"/>
      <c r="M1" s="1211"/>
    </row>
    <row r="2" spans="1:13">
      <c r="A2" s="1061" t="s">
        <v>854</v>
      </c>
      <c r="B2" s="1061" t="s">
        <v>855</v>
      </c>
      <c r="C2" s="1061" t="s">
        <v>756</v>
      </c>
      <c r="D2" s="1065" t="s">
        <v>655</v>
      </c>
      <c r="E2" s="1212" t="s">
        <v>658</v>
      </c>
      <c r="F2" s="1065" t="s">
        <v>659</v>
      </c>
      <c r="G2" s="1212" t="s">
        <v>660</v>
      </c>
      <c r="H2" s="1065" t="s">
        <v>661</v>
      </c>
      <c r="I2" s="1212" t="s">
        <v>662</v>
      </c>
      <c r="J2" s="1212" t="s">
        <v>663</v>
      </c>
      <c r="K2" s="1212" t="s">
        <v>664</v>
      </c>
      <c r="L2" s="1065" t="s">
        <v>665</v>
      </c>
      <c r="M2" s="1065" t="s">
        <v>666</v>
      </c>
    </row>
    <row r="3" spans="1:13">
      <c r="A3" s="1061">
        <v>1</v>
      </c>
      <c r="B3" s="1061" t="s">
        <v>856</v>
      </c>
      <c r="C3" s="1061" t="s">
        <v>647</v>
      </c>
      <c r="D3" s="1065" t="s">
        <v>655</v>
      </c>
      <c r="E3" s="1212" t="s">
        <v>658</v>
      </c>
      <c r="F3" s="1065" t="s">
        <v>659</v>
      </c>
      <c r="G3" s="1212" t="s">
        <v>660</v>
      </c>
      <c r="H3" s="1065" t="s">
        <v>661</v>
      </c>
      <c r="I3" s="1212" t="s">
        <v>662</v>
      </c>
      <c r="J3" s="1212" t="s">
        <v>663</v>
      </c>
      <c r="K3" s="1212" t="s">
        <v>664</v>
      </c>
      <c r="L3" s="1065" t="s">
        <v>665</v>
      </c>
      <c r="M3" s="1065" t="s">
        <v>666</v>
      </c>
    </row>
    <row r="4" spans="1:13">
      <c r="A4" s="1061">
        <v>2</v>
      </c>
      <c r="B4" s="1061" t="s">
        <v>856</v>
      </c>
      <c r="C4" s="1061" t="s">
        <v>857</v>
      </c>
      <c r="D4" s="1212" t="s">
        <v>858</v>
      </c>
      <c r="E4" s="1212" t="s">
        <v>859</v>
      </c>
      <c r="F4" s="1065" t="s">
        <v>860</v>
      </c>
      <c r="G4" s="1212" t="s">
        <v>861</v>
      </c>
      <c r="H4" s="1065" t="s">
        <v>862</v>
      </c>
      <c r="I4" s="1212" t="s">
        <v>863</v>
      </c>
      <c r="J4" s="1212" t="s">
        <v>864</v>
      </c>
      <c r="K4" s="1212" t="s">
        <v>865</v>
      </c>
      <c r="L4" s="1065" t="s">
        <v>866</v>
      </c>
      <c r="M4" s="1065" t="s">
        <v>867</v>
      </c>
    </row>
    <row r="5" spans="1:13">
      <c r="A5" s="1061">
        <v>3</v>
      </c>
      <c r="B5" s="1061" t="s">
        <v>856</v>
      </c>
      <c r="C5" s="1061" t="s">
        <v>868</v>
      </c>
      <c r="D5" s="1212">
        <v>38</v>
      </c>
      <c r="E5" s="1212">
        <v>12</v>
      </c>
      <c r="F5" s="1065">
        <v>34</v>
      </c>
      <c r="G5" s="1212">
        <v>1</v>
      </c>
      <c r="H5" s="1065">
        <v>114</v>
      </c>
      <c r="I5" s="1212">
        <v>112</v>
      </c>
      <c r="J5" s="1212">
        <v>2</v>
      </c>
      <c r="K5" s="1212">
        <v>212</v>
      </c>
      <c r="L5" s="1065">
        <v>3</v>
      </c>
      <c r="M5" s="1065">
        <v>4</v>
      </c>
    </row>
    <row r="6" spans="1:13">
      <c r="A6" s="1061">
        <v>4</v>
      </c>
      <c r="B6" s="1061" t="s">
        <v>856</v>
      </c>
      <c r="C6" s="1061" t="s">
        <v>869</v>
      </c>
      <c r="D6" s="1065">
        <v>15</v>
      </c>
      <c r="E6" s="1065">
        <v>18</v>
      </c>
      <c r="F6" s="1065">
        <v>22</v>
      </c>
      <c r="G6" s="1065">
        <v>28</v>
      </c>
      <c r="H6" s="1065">
        <v>35</v>
      </c>
      <c r="I6" s="1065">
        <v>42</v>
      </c>
      <c r="J6" s="1065">
        <v>54</v>
      </c>
      <c r="K6" s="1065">
        <v>76.099999999999994</v>
      </c>
      <c r="L6" s="1065">
        <v>88.9</v>
      </c>
      <c r="M6" s="1065">
        <v>108</v>
      </c>
    </row>
    <row r="7" spans="1:13">
      <c r="A7" s="1061">
        <v>5</v>
      </c>
      <c r="B7" s="1061" t="s">
        <v>856</v>
      </c>
      <c r="C7" s="1061" t="s">
        <v>870</v>
      </c>
      <c r="D7" s="1212" t="s">
        <v>871</v>
      </c>
      <c r="E7" s="1212" t="s">
        <v>872</v>
      </c>
      <c r="F7" s="1061" t="s">
        <v>873</v>
      </c>
      <c r="G7" s="1212" t="s">
        <v>874</v>
      </c>
      <c r="H7" s="1061" t="s">
        <v>875</v>
      </c>
      <c r="I7" s="1212" t="s">
        <v>876</v>
      </c>
      <c r="J7" s="1212" t="s">
        <v>877</v>
      </c>
      <c r="K7" s="1212" t="s">
        <v>878</v>
      </c>
      <c r="L7" s="1061" t="s">
        <v>879</v>
      </c>
      <c r="M7" s="1061" t="s">
        <v>880</v>
      </c>
    </row>
    <row r="8" spans="1:13">
      <c r="A8" s="1061">
        <v>6</v>
      </c>
      <c r="B8" s="1061" t="s">
        <v>881</v>
      </c>
      <c r="C8" s="1061" t="s">
        <v>765</v>
      </c>
      <c r="D8" s="1061" t="s">
        <v>882</v>
      </c>
      <c r="E8" s="1061" t="s">
        <v>883</v>
      </c>
      <c r="F8" s="1061" t="s">
        <v>884</v>
      </c>
      <c r="G8" s="1061" t="s">
        <v>885</v>
      </c>
      <c r="H8" s="1061" t="s">
        <v>886</v>
      </c>
      <c r="I8" s="1061" t="s">
        <v>887</v>
      </c>
      <c r="J8" s="1061" t="s">
        <v>888</v>
      </c>
      <c r="K8" s="1061" t="s">
        <v>889</v>
      </c>
      <c r="L8" s="1061" t="s">
        <v>890</v>
      </c>
      <c r="M8" s="1061" t="s">
        <v>891</v>
      </c>
    </row>
    <row r="9" spans="1:13">
      <c r="A9" s="1061">
        <v>7</v>
      </c>
      <c r="B9" s="1061" t="s">
        <v>881</v>
      </c>
      <c r="C9" s="1061" t="s">
        <v>892</v>
      </c>
      <c r="D9" s="1061" t="s">
        <v>893</v>
      </c>
      <c r="E9" s="1061" t="s">
        <v>894</v>
      </c>
      <c r="F9" s="1061" t="s">
        <v>895</v>
      </c>
      <c r="G9" s="1061" t="s">
        <v>896</v>
      </c>
      <c r="H9" s="1061" t="s">
        <v>897</v>
      </c>
      <c r="I9" s="1061" t="s">
        <v>898</v>
      </c>
      <c r="J9" s="1061" t="s">
        <v>899</v>
      </c>
      <c r="K9" s="1061" t="s">
        <v>900</v>
      </c>
      <c r="L9" s="1061" t="s">
        <v>901</v>
      </c>
      <c r="M9" s="1061" t="s">
        <v>902</v>
      </c>
    </row>
    <row r="10" spans="1:13">
      <c r="A10" s="1061">
        <v>8</v>
      </c>
      <c r="B10" s="1061" t="s">
        <v>881</v>
      </c>
      <c r="C10" s="1061" t="s">
        <v>783</v>
      </c>
      <c r="D10" s="1061" t="s">
        <v>903</v>
      </c>
      <c r="E10" s="1061" t="s">
        <v>904</v>
      </c>
      <c r="F10" s="1061" t="s">
        <v>905</v>
      </c>
      <c r="G10" s="1061" t="s">
        <v>906</v>
      </c>
      <c r="H10" s="1061" t="s">
        <v>907</v>
      </c>
      <c r="I10" s="1061" t="s">
        <v>908</v>
      </c>
      <c r="J10" s="1061" t="s">
        <v>909</v>
      </c>
      <c r="K10" s="1061" t="s">
        <v>910</v>
      </c>
      <c r="L10" s="1061" t="s">
        <v>911</v>
      </c>
      <c r="M10" s="1061" t="s">
        <v>912</v>
      </c>
    </row>
    <row r="11" spans="1:13">
      <c r="A11" s="1061">
        <v>9</v>
      </c>
      <c r="B11" s="1061" t="s">
        <v>881</v>
      </c>
      <c r="C11" s="1061" t="s">
        <v>784</v>
      </c>
      <c r="D11" s="1061" t="s">
        <v>913</v>
      </c>
      <c r="E11" s="1061" t="s">
        <v>914</v>
      </c>
      <c r="F11" s="1061" t="s">
        <v>915</v>
      </c>
      <c r="G11" s="1061" t="s">
        <v>916</v>
      </c>
      <c r="H11" s="1061" t="s">
        <v>917</v>
      </c>
      <c r="I11" s="1061" t="s">
        <v>918</v>
      </c>
      <c r="J11" s="1061" t="s">
        <v>919</v>
      </c>
      <c r="K11" s="1061" t="s">
        <v>920</v>
      </c>
      <c r="L11" s="1061" t="s">
        <v>921</v>
      </c>
      <c r="M11" s="1061" t="s">
        <v>922</v>
      </c>
    </row>
    <row r="12" spans="1:13">
      <c r="A12" s="1061">
        <v>10</v>
      </c>
      <c r="B12" s="1061" t="s">
        <v>881</v>
      </c>
      <c r="C12" s="1061" t="s">
        <v>923</v>
      </c>
      <c r="D12" s="1061" t="s">
        <v>924</v>
      </c>
      <c r="E12" s="1061" t="s">
        <v>925</v>
      </c>
      <c r="F12" s="1061" t="s">
        <v>926</v>
      </c>
      <c r="G12" s="1061" t="s">
        <v>927</v>
      </c>
      <c r="H12" s="1061" t="s">
        <v>928</v>
      </c>
      <c r="I12" s="1061" t="s">
        <v>929</v>
      </c>
      <c r="J12" s="1061" t="s">
        <v>930</v>
      </c>
      <c r="K12" s="1061" t="s">
        <v>931</v>
      </c>
      <c r="L12" s="1061" t="s">
        <v>932</v>
      </c>
      <c r="M12" s="1061" t="s">
        <v>933</v>
      </c>
    </row>
    <row r="13" spans="1:13">
      <c r="A13" s="1061">
        <v>11</v>
      </c>
      <c r="B13" s="1061" t="s">
        <v>881</v>
      </c>
      <c r="C13" s="1061" t="s">
        <v>934</v>
      </c>
      <c r="D13" s="1061" t="str">
        <f>D12&amp;"S"</f>
        <v>R45150S</v>
      </c>
      <c r="E13" s="1061" t="str">
        <f t="shared" ref="E13:M13" si="0">E12&amp;"S"</f>
        <v>R45180S</v>
      </c>
      <c r="F13" s="1061" t="str">
        <f t="shared" si="0"/>
        <v>R45220S</v>
      </c>
      <c r="G13" s="1061" t="str">
        <f t="shared" si="0"/>
        <v>R45280S</v>
      </c>
      <c r="H13" s="1061" t="str">
        <f t="shared" si="0"/>
        <v>R45350S</v>
      </c>
      <c r="I13" s="1061" t="str">
        <f t="shared" si="0"/>
        <v>R45420S</v>
      </c>
      <c r="J13" s="1061" t="str">
        <f t="shared" si="0"/>
        <v>R45540S</v>
      </c>
      <c r="K13" s="1061" t="str">
        <f t="shared" si="0"/>
        <v>R45760S</v>
      </c>
      <c r="L13" s="1061" t="str">
        <f t="shared" si="0"/>
        <v>R45800S</v>
      </c>
      <c r="M13" s="1061" t="str">
        <f t="shared" si="0"/>
        <v>R45108S</v>
      </c>
    </row>
    <row r="14" spans="1:13">
      <c r="A14" s="1061">
        <v>12</v>
      </c>
      <c r="B14" s="1061" t="s">
        <v>881</v>
      </c>
      <c r="C14" s="1061" t="s">
        <v>935</v>
      </c>
      <c r="D14" s="1061" t="s">
        <v>670</v>
      </c>
      <c r="E14" s="1061" t="s">
        <v>670</v>
      </c>
      <c r="F14" s="1061" t="s">
        <v>670</v>
      </c>
      <c r="G14" s="1061" t="s">
        <v>936</v>
      </c>
      <c r="H14" s="1061" t="s">
        <v>937</v>
      </c>
      <c r="I14" s="1061" t="s">
        <v>938</v>
      </c>
      <c r="J14" s="1061" t="s">
        <v>939</v>
      </c>
      <c r="K14" s="1061" t="s">
        <v>940</v>
      </c>
      <c r="L14" s="1061" t="s">
        <v>941</v>
      </c>
      <c r="M14" s="1061" t="s">
        <v>942</v>
      </c>
    </row>
    <row r="15" spans="1:13">
      <c r="A15" s="1061">
        <v>13</v>
      </c>
      <c r="B15" s="1061" t="s">
        <v>881</v>
      </c>
      <c r="C15" s="1061" t="s">
        <v>787</v>
      </c>
      <c r="D15" s="1061" t="s">
        <v>689</v>
      </c>
      <c r="E15" s="1061" t="s">
        <v>686</v>
      </c>
      <c r="F15" s="1061" t="s">
        <v>684</v>
      </c>
      <c r="G15" s="1061" t="s">
        <v>682</v>
      </c>
      <c r="H15" s="1061" t="s">
        <v>680</v>
      </c>
      <c r="I15" s="1061" t="s">
        <v>678</v>
      </c>
      <c r="J15" s="1061" t="s">
        <v>676</v>
      </c>
      <c r="K15" s="1061" t="s">
        <v>674</v>
      </c>
      <c r="L15" s="1061" t="s">
        <v>672</v>
      </c>
      <c r="M15" s="1061" t="s">
        <v>943</v>
      </c>
    </row>
    <row r="16" spans="1:13">
      <c r="A16" s="1061">
        <v>14</v>
      </c>
      <c r="B16" s="1061" t="s">
        <v>881</v>
      </c>
      <c r="C16" s="1061" t="s">
        <v>944</v>
      </c>
      <c r="D16" s="1061" t="s">
        <v>670</v>
      </c>
      <c r="E16" s="1061" t="s">
        <v>670</v>
      </c>
      <c r="F16" s="1061" t="s">
        <v>945</v>
      </c>
      <c r="G16" s="1061" t="s">
        <v>946</v>
      </c>
      <c r="H16" s="1061" t="s">
        <v>947</v>
      </c>
      <c r="I16" s="1061" t="s">
        <v>948</v>
      </c>
      <c r="J16" s="1061" t="s">
        <v>949</v>
      </c>
      <c r="K16" s="1061" t="s">
        <v>950</v>
      </c>
      <c r="L16" s="1061" t="s">
        <v>951</v>
      </c>
      <c r="M16" s="1061" t="s">
        <v>952</v>
      </c>
    </row>
    <row r="17" spans="1:13">
      <c r="A17" s="1061">
        <v>15</v>
      </c>
      <c r="B17" s="1061" t="s">
        <v>881</v>
      </c>
      <c r="C17" s="1061" t="s">
        <v>953</v>
      </c>
      <c r="D17" s="1061" t="s">
        <v>954</v>
      </c>
      <c r="E17" s="1061" t="s">
        <v>955</v>
      </c>
      <c r="F17" s="1061" t="s">
        <v>956</v>
      </c>
      <c r="G17" s="1061" t="s">
        <v>957</v>
      </c>
      <c r="H17" s="1061" t="s">
        <v>958</v>
      </c>
      <c r="I17" s="1061" t="s">
        <v>959</v>
      </c>
      <c r="J17" s="1061" t="s">
        <v>960</v>
      </c>
      <c r="K17" s="1061" t="s">
        <v>961</v>
      </c>
      <c r="L17" s="1061" t="s">
        <v>962</v>
      </c>
      <c r="M17" s="1061" t="s">
        <v>963</v>
      </c>
    </row>
    <row r="18" spans="1:13">
      <c r="A18" s="1061">
        <v>16</v>
      </c>
      <c r="B18" s="1061" t="s">
        <v>881</v>
      </c>
      <c r="C18" s="1061" t="s">
        <v>964</v>
      </c>
      <c r="D18" s="1061" t="s">
        <v>954</v>
      </c>
      <c r="E18" s="1061" t="s">
        <v>965</v>
      </c>
      <c r="F18" s="1061" t="s">
        <v>966</v>
      </c>
      <c r="G18" s="1061" t="s">
        <v>967</v>
      </c>
      <c r="H18" s="1061" t="s">
        <v>968</v>
      </c>
      <c r="I18" s="1061" t="s">
        <v>969</v>
      </c>
      <c r="J18" s="1061" t="s">
        <v>970</v>
      </c>
      <c r="K18" s="1061" t="s">
        <v>971</v>
      </c>
      <c r="L18" s="1061" t="s">
        <v>972</v>
      </c>
      <c r="M18" s="1061" t="s">
        <v>973</v>
      </c>
    </row>
    <row r="19" spans="1:13">
      <c r="A19" s="1061">
        <v>17</v>
      </c>
      <c r="B19" s="1061" t="s">
        <v>804</v>
      </c>
      <c r="C19" s="1061" t="s">
        <v>974</v>
      </c>
      <c r="D19" s="1061" t="s">
        <v>975</v>
      </c>
      <c r="E19" s="1061" t="s">
        <v>976</v>
      </c>
      <c r="F19" s="1061" t="s">
        <v>977</v>
      </c>
      <c r="G19" s="1061" t="s">
        <v>978</v>
      </c>
      <c r="H19" s="1061" t="s">
        <v>979</v>
      </c>
      <c r="I19" s="1061" t="s">
        <v>980</v>
      </c>
      <c r="J19" s="1061" t="s">
        <v>981</v>
      </c>
      <c r="K19" s="1061" t="s">
        <v>982</v>
      </c>
      <c r="L19" s="1061" t="s">
        <v>983</v>
      </c>
      <c r="M19" s="1061" t="s">
        <v>670</v>
      </c>
    </row>
    <row r="20" spans="1:13">
      <c r="A20" s="1061">
        <v>18</v>
      </c>
      <c r="B20" s="1061" t="s">
        <v>804</v>
      </c>
      <c r="C20" s="1061" t="s">
        <v>984</v>
      </c>
      <c r="D20" s="1061" t="s">
        <v>985</v>
      </c>
      <c r="E20" s="1061" t="s">
        <v>986</v>
      </c>
      <c r="F20" s="1061" t="s">
        <v>987</v>
      </c>
      <c r="G20" s="1061" t="s">
        <v>988</v>
      </c>
      <c r="H20" s="1061" t="s">
        <v>989</v>
      </c>
      <c r="I20" s="1061" t="s">
        <v>990</v>
      </c>
      <c r="J20" s="1061" t="s">
        <v>991</v>
      </c>
      <c r="K20" s="1061" t="s">
        <v>992</v>
      </c>
      <c r="L20" s="1061" t="s">
        <v>993</v>
      </c>
      <c r="M20" s="1061" t="s">
        <v>670</v>
      </c>
    </row>
    <row r="21" spans="1:13">
      <c r="A21" s="1061">
        <v>19</v>
      </c>
      <c r="B21" s="1061" t="s">
        <v>804</v>
      </c>
      <c r="C21" s="1061" t="s">
        <v>994</v>
      </c>
      <c r="D21" s="1061" t="str">
        <f>D19&amp;".CAD.I"</f>
        <v>VBP38FF.CAD.I</v>
      </c>
      <c r="E21" s="1061" t="str">
        <f t="shared" ref="E21:L22" si="1">E19&amp;".CAD.I"</f>
        <v>VBP12FF.CAD.I</v>
      </c>
      <c r="F21" s="1061" t="str">
        <f t="shared" si="1"/>
        <v>VBP34FF.CAD.I</v>
      </c>
      <c r="G21" s="1061" t="str">
        <f t="shared" si="1"/>
        <v>VBP1FF.CAD.I</v>
      </c>
      <c r="H21" s="1061" t="str">
        <f t="shared" si="1"/>
        <v>VBP114FF.CAD.I</v>
      </c>
      <c r="I21" s="1061" t="str">
        <f t="shared" si="1"/>
        <v>VBP112FF.CAD.I</v>
      </c>
      <c r="J21" s="1061" t="str">
        <f t="shared" si="1"/>
        <v>VBP2FF.CAD.I</v>
      </c>
      <c r="K21" s="1061" t="str">
        <f t="shared" si="1"/>
        <v>VBP212FF.CAD.I</v>
      </c>
      <c r="L21" s="1061" t="str">
        <f t="shared" si="1"/>
        <v>VBP3FF.CAD.I</v>
      </c>
      <c r="M21" s="1061" t="s">
        <v>670</v>
      </c>
    </row>
    <row r="22" spans="1:13">
      <c r="A22" s="1061">
        <v>20</v>
      </c>
      <c r="B22" s="1061" t="s">
        <v>804</v>
      </c>
      <c r="C22" s="1061" t="s">
        <v>995</v>
      </c>
      <c r="D22" s="1061" t="str">
        <f>D20&amp;".CAD.I"</f>
        <v>VBP38MF.CAD.I</v>
      </c>
      <c r="E22" s="1061" t="str">
        <f t="shared" si="1"/>
        <v>VBP12MF.CAD.I</v>
      </c>
      <c r="F22" s="1061" t="str">
        <f t="shared" si="1"/>
        <v>VBP34MF.CAD.I</v>
      </c>
      <c r="G22" s="1061" t="str">
        <f t="shared" si="1"/>
        <v>VBP1MF.CAD.I</v>
      </c>
      <c r="H22" s="1061" t="str">
        <f t="shared" si="1"/>
        <v>VBP114MF.CAD.I</v>
      </c>
      <c r="I22" s="1061" t="str">
        <f t="shared" si="1"/>
        <v>VBP112MF.CAD.I</v>
      </c>
      <c r="J22" s="1061" t="str">
        <f t="shared" si="1"/>
        <v>VBP2MF.CAD.I</v>
      </c>
      <c r="K22" s="1061" t="str">
        <f t="shared" si="1"/>
        <v>VBP212MF.CAD.I</v>
      </c>
      <c r="L22" s="1061" t="str">
        <f t="shared" si="1"/>
        <v>VBP3MF.CAD.I</v>
      </c>
      <c r="M22" s="1061" t="s">
        <v>670</v>
      </c>
    </row>
    <row r="23" spans="1:13">
      <c r="A23" s="1061">
        <v>21</v>
      </c>
      <c r="B23" s="1061" t="s">
        <v>881</v>
      </c>
      <c r="C23" s="1061" t="s">
        <v>996</v>
      </c>
      <c r="D23" s="1061" t="s">
        <v>997</v>
      </c>
      <c r="E23" s="1061" t="s">
        <v>998</v>
      </c>
      <c r="F23" s="1061" t="s">
        <v>999</v>
      </c>
      <c r="G23" s="1061" t="s">
        <v>1000</v>
      </c>
      <c r="H23" s="1061" t="s">
        <v>1001</v>
      </c>
      <c r="I23" s="1061" t="s">
        <v>1002</v>
      </c>
      <c r="J23" s="1061" t="s">
        <v>1003</v>
      </c>
      <c r="K23" s="1061" t="s">
        <v>1004</v>
      </c>
      <c r="L23" s="1061" t="s">
        <v>1005</v>
      </c>
      <c r="M23" s="1061" t="s">
        <v>1006</v>
      </c>
    </row>
    <row r="24" spans="1:13">
      <c r="A24" s="1061">
        <v>22</v>
      </c>
      <c r="B24" s="1061" t="s">
        <v>881</v>
      </c>
      <c r="C24" s="1061" t="s">
        <v>1007</v>
      </c>
      <c r="D24" s="1061" t="s">
        <v>1008</v>
      </c>
      <c r="E24" s="1061" t="s">
        <v>1009</v>
      </c>
      <c r="F24" s="1061" t="s">
        <v>1010</v>
      </c>
      <c r="G24" s="1061" t="s">
        <v>1000</v>
      </c>
      <c r="H24" s="1061" t="s">
        <v>1011</v>
      </c>
      <c r="I24" s="1061" t="s">
        <v>1012</v>
      </c>
      <c r="J24" s="1061" t="s">
        <v>1013</v>
      </c>
      <c r="K24" s="1061" t="s">
        <v>670</v>
      </c>
      <c r="L24" s="1061" t="s">
        <v>670</v>
      </c>
      <c r="M24" s="1061" t="s">
        <v>670</v>
      </c>
    </row>
    <row r="25" spans="1:13">
      <c r="A25" s="1061">
        <v>23</v>
      </c>
      <c r="B25" s="1061" t="s">
        <v>804</v>
      </c>
      <c r="C25" s="1061" t="s">
        <v>1014</v>
      </c>
      <c r="D25" s="1061" t="s">
        <v>670</v>
      </c>
      <c r="E25" s="1061" t="s">
        <v>670</v>
      </c>
      <c r="F25" s="1061" t="s">
        <v>670</v>
      </c>
      <c r="G25" s="1061" t="s">
        <v>670</v>
      </c>
      <c r="H25" s="1061" t="s">
        <v>670</v>
      </c>
      <c r="I25" s="1061" t="s">
        <v>670</v>
      </c>
      <c r="J25" s="1061" t="s">
        <v>1015</v>
      </c>
      <c r="K25" s="1061" t="s">
        <v>1016</v>
      </c>
      <c r="L25" s="1061" t="s">
        <v>1017</v>
      </c>
      <c r="M25" s="1061" t="s">
        <v>1018</v>
      </c>
    </row>
    <row r="26" spans="1:13">
      <c r="A26" s="1061">
        <v>24</v>
      </c>
      <c r="B26" s="1061" t="s">
        <v>881</v>
      </c>
      <c r="C26" s="1061" t="s">
        <v>1019</v>
      </c>
      <c r="D26" s="1061" t="s">
        <v>670</v>
      </c>
      <c r="E26" s="1061" t="s">
        <v>670</v>
      </c>
      <c r="F26" s="1061" t="s">
        <v>670</v>
      </c>
      <c r="G26" s="1061" t="s">
        <v>670</v>
      </c>
      <c r="H26" s="1061" t="s">
        <v>670</v>
      </c>
      <c r="I26" s="1061" t="s">
        <v>670</v>
      </c>
      <c r="J26" s="1061" t="s">
        <v>1020</v>
      </c>
      <c r="K26" s="1061" t="s">
        <v>1021</v>
      </c>
      <c r="L26" s="1061" t="s">
        <v>1022</v>
      </c>
      <c r="M26" s="1061" t="s">
        <v>1023</v>
      </c>
    </row>
    <row r="27" spans="1:13">
      <c r="A27" s="1061">
        <v>25</v>
      </c>
      <c r="B27" s="1061" t="s">
        <v>1024</v>
      </c>
      <c r="C27" s="1061" t="s">
        <v>1025</v>
      </c>
      <c r="D27" s="1061" t="s">
        <v>670</v>
      </c>
      <c r="E27" s="1061" t="s">
        <v>670</v>
      </c>
      <c r="F27" s="1061" t="s">
        <v>670</v>
      </c>
      <c r="G27" s="1061" t="s">
        <v>670</v>
      </c>
      <c r="H27" s="1061" t="s">
        <v>670</v>
      </c>
      <c r="I27" s="1061" t="s">
        <v>670</v>
      </c>
      <c r="J27" s="1061" t="s">
        <v>670</v>
      </c>
      <c r="K27" s="1061" t="s">
        <v>1026</v>
      </c>
      <c r="L27" s="1061" t="s">
        <v>1027</v>
      </c>
      <c r="M27" s="1061" t="s">
        <v>1028</v>
      </c>
    </row>
    <row r="28" spans="1:13">
      <c r="A28" s="1061">
        <v>26</v>
      </c>
      <c r="B28" s="1061" t="s">
        <v>1029</v>
      </c>
      <c r="C28" s="1061" t="s">
        <v>1030</v>
      </c>
      <c r="D28" s="1061" t="s">
        <v>1031</v>
      </c>
      <c r="E28" s="1061" t="s">
        <v>1032</v>
      </c>
      <c r="F28" s="1061" t="s">
        <v>1033</v>
      </c>
      <c r="G28" s="1061" t="s">
        <v>1034</v>
      </c>
      <c r="H28" s="1061" t="s">
        <v>1035</v>
      </c>
      <c r="I28" s="1061" t="s">
        <v>1036</v>
      </c>
      <c r="J28" s="1061" t="s">
        <v>1037</v>
      </c>
      <c r="K28" s="1061" t="s">
        <v>1038</v>
      </c>
      <c r="L28" s="1061" t="s">
        <v>1039</v>
      </c>
      <c r="M28" s="1061" t="s">
        <v>1040</v>
      </c>
    </row>
    <row r="29" spans="1:13">
      <c r="A29" s="1061">
        <v>27</v>
      </c>
      <c r="B29" s="1061" t="s">
        <v>1029</v>
      </c>
      <c r="C29" s="1061" t="s">
        <v>1041</v>
      </c>
      <c r="D29" s="1061" t="s">
        <v>1042</v>
      </c>
      <c r="E29" s="1061" t="s">
        <v>1043</v>
      </c>
      <c r="F29" s="1061" t="s">
        <v>1044</v>
      </c>
      <c r="G29" s="1061" t="s">
        <v>1045</v>
      </c>
      <c r="H29" s="1061" t="s">
        <v>1046</v>
      </c>
      <c r="I29" s="1061" t="s">
        <v>1047</v>
      </c>
      <c r="J29" s="1061" t="s">
        <v>1048</v>
      </c>
      <c r="K29" s="1061" t="s">
        <v>1049</v>
      </c>
      <c r="L29" s="1061" t="s">
        <v>1050</v>
      </c>
      <c r="M29" s="1061" t="s">
        <v>1051</v>
      </c>
    </row>
    <row r="30" spans="1:13">
      <c r="A30" s="1061">
        <v>28</v>
      </c>
      <c r="B30" s="1061" t="s">
        <v>1029</v>
      </c>
      <c r="C30" s="1061" t="s">
        <v>1052</v>
      </c>
      <c r="D30" s="1061">
        <v>30953</v>
      </c>
      <c r="E30" s="1061">
        <v>30953</v>
      </c>
      <c r="F30" s="1061">
        <v>30953</v>
      </c>
      <c r="G30" s="1061">
        <v>30953</v>
      </c>
      <c r="H30" s="1061">
        <v>30953</v>
      </c>
      <c r="I30" s="1061">
        <v>30953</v>
      </c>
      <c r="J30" s="1061">
        <v>30953</v>
      </c>
      <c r="K30" s="1061" t="s">
        <v>1053</v>
      </c>
      <c r="L30" s="1061" t="s">
        <v>1053</v>
      </c>
      <c r="M30" s="1061" t="s">
        <v>1053</v>
      </c>
    </row>
    <row r="31" spans="1:13">
      <c r="A31" s="1061">
        <v>29</v>
      </c>
      <c r="B31" s="1061" t="s">
        <v>881</v>
      </c>
      <c r="C31" s="1061" t="s">
        <v>1054</v>
      </c>
      <c r="D31" s="1061" t="s">
        <v>1055</v>
      </c>
      <c r="E31" s="1061" t="s">
        <v>1056</v>
      </c>
      <c r="F31" s="1061" t="s">
        <v>1057</v>
      </c>
      <c r="G31" s="1061" t="s">
        <v>1058</v>
      </c>
      <c r="H31" s="1061" t="s">
        <v>1059</v>
      </c>
      <c r="I31" s="1061" t="s">
        <v>1060</v>
      </c>
      <c r="J31" s="1061" t="s">
        <v>1061</v>
      </c>
      <c r="K31" s="1061" t="s">
        <v>1062</v>
      </c>
      <c r="L31" s="1061" t="s">
        <v>1063</v>
      </c>
      <c r="M31" s="1061" t="s">
        <v>1064</v>
      </c>
    </row>
    <row r="32" spans="1:13">
      <c r="A32" s="1061">
        <v>30</v>
      </c>
      <c r="B32" s="1061" t="s">
        <v>881</v>
      </c>
      <c r="C32" s="1061" t="s">
        <v>1065</v>
      </c>
      <c r="D32" s="1061" t="s">
        <v>1066</v>
      </c>
      <c r="E32" s="1061" t="s">
        <v>1067</v>
      </c>
      <c r="F32" s="1061" t="s">
        <v>1068</v>
      </c>
      <c r="G32" s="1061" t="s">
        <v>1069</v>
      </c>
      <c r="H32" s="1061" t="s">
        <v>1070</v>
      </c>
      <c r="I32" s="1061" t="s">
        <v>1071</v>
      </c>
      <c r="J32" s="1061" t="s">
        <v>1072</v>
      </c>
      <c r="K32" s="1061" t="s">
        <v>1073</v>
      </c>
      <c r="L32" s="1061" t="s">
        <v>1074</v>
      </c>
      <c r="M32" s="1061" t="s">
        <v>1075</v>
      </c>
    </row>
    <row r="33" spans="1:13">
      <c r="A33" s="1061">
        <v>31</v>
      </c>
      <c r="B33" s="1061" t="s">
        <v>881</v>
      </c>
      <c r="C33" s="1061" t="s">
        <v>1019</v>
      </c>
      <c r="D33" s="1061" t="s">
        <v>670</v>
      </c>
      <c r="E33" s="1061" t="s">
        <v>670</v>
      </c>
      <c r="F33" s="1061" t="s">
        <v>670</v>
      </c>
      <c r="G33" s="1061" t="s">
        <v>670</v>
      </c>
      <c r="H33" s="1061" t="s">
        <v>670</v>
      </c>
      <c r="I33" s="1061" t="s">
        <v>670</v>
      </c>
      <c r="J33" s="1061" t="s">
        <v>1020</v>
      </c>
      <c r="K33" s="1061" t="s">
        <v>1021</v>
      </c>
      <c r="L33" s="1061" t="s">
        <v>1022</v>
      </c>
      <c r="M33" s="1061" t="s">
        <v>1023</v>
      </c>
    </row>
    <row r="34" spans="1:13">
      <c r="A34" s="1061">
        <v>32</v>
      </c>
      <c r="B34" s="1061" t="s">
        <v>1029</v>
      </c>
      <c r="C34" s="1061" t="s">
        <v>808</v>
      </c>
      <c r="D34" s="1061" t="s">
        <v>809</v>
      </c>
      <c r="E34" s="1061" t="s">
        <v>809</v>
      </c>
      <c r="F34" s="1061" t="s">
        <v>809</v>
      </c>
      <c r="G34" s="1061" t="s">
        <v>809</v>
      </c>
      <c r="H34" s="1061" t="s">
        <v>809</v>
      </c>
      <c r="I34" s="1061" t="s">
        <v>809</v>
      </c>
      <c r="J34" s="1061" t="s">
        <v>809</v>
      </c>
      <c r="K34" s="1061">
        <v>40142</v>
      </c>
      <c r="L34" s="1061">
        <v>40142</v>
      </c>
      <c r="M34" s="1061">
        <v>40142</v>
      </c>
    </row>
    <row r="35" spans="1:13">
      <c r="A35" s="1061">
        <v>33</v>
      </c>
      <c r="B35" s="1061" t="s">
        <v>1029</v>
      </c>
      <c r="C35" s="1061" t="s">
        <v>1076</v>
      </c>
      <c r="D35" s="1065">
        <v>33707</v>
      </c>
      <c r="E35" s="1065">
        <v>33707</v>
      </c>
      <c r="F35" s="1065">
        <v>33707</v>
      </c>
      <c r="G35" s="1065">
        <v>33707</v>
      </c>
      <c r="H35" s="1065">
        <v>33707</v>
      </c>
      <c r="I35" s="1065">
        <v>33707</v>
      </c>
      <c r="J35" s="1065">
        <v>33707</v>
      </c>
      <c r="K35" s="1065">
        <v>32921</v>
      </c>
      <c r="L35" s="1065">
        <v>32921</v>
      </c>
      <c r="M35" s="1065">
        <v>32921</v>
      </c>
    </row>
    <row r="36" spans="1:13">
      <c r="A36" s="1061">
        <v>34</v>
      </c>
      <c r="B36" s="1061" t="s">
        <v>1077</v>
      </c>
      <c r="C36" s="1061" t="s">
        <v>1078</v>
      </c>
      <c r="D36" s="1065" t="str">
        <f>"1G"&amp;D$5</f>
        <v>1G38</v>
      </c>
      <c r="E36" s="1065" t="str">
        <f t="shared" ref="E36:M36" si="2">"1G"&amp;E$5</f>
        <v>1G12</v>
      </c>
      <c r="F36" s="1065" t="str">
        <f t="shared" si="2"/>
        <v>1G34</v>
      </c>
      <c r="G36" s="1065" t="str">
        <f t="shared" si="2"/>
        <v>1G1</v>
      </c>
      <c r="H36" s="1065" t="str">
        <f t="shared" si="2"/>
        <v>1G114</v>
      </c>
      <c r="I36" s="1065" t="str">
        <f t="shared" si="2"/>
        <v>1G112</v>
      </c>
      <c r="J36" s="1065" t="str">
        <f t="shared" si="2"/>
        <v>1G2</v>
      </c>
      <c r="K36" s="1065" t="str">
        <f t="shared" si="2"/>
        <v>1G212</v>
      </c>
      <c r="L36" s="1065" t="str">
        <f t="shared" si="2"/>
        <v>1G3</v>
      </c>
      <c r="M36" s="1065" t="str">
        <f t="shared" si="2"/>
        <v>1G4</v>
      </c>
    </row>
    <row r="37" spans="1:13">
      <c r="A37" s="1061">
        <v>35</v>
      </c>
      <c r="B37" s="1061" t="s">
        <v>1077</v>
      </c>
      <c r="C37" s="1061" t="s">
        <v>1079</v>
      </c>
      <c r="D37" s="1065" t="str">
        <f>"2G"&amp;D5</f>
        <v>2G38</v>
      </c>
      <c r="E37" s="1065" t="str">
        <f t="shared" ref="E37:M37" si="3">"2G"&amp;E5</f>
        <v>2G12</v>
      </c>
      <c r="F37" s="1065" t="str">
        <f t="shared" si="3"/>
        <v>2G34</v>
      </c>
      <c r="G37" s="1065" t="str">
        <f t="shared" si="3"/>
        <v>2G1</v>
      </c>
      <c r="H37" s="1065" t="str">
        <f t="shared" si="3"/>
        <v>2G114</v>
      </c>
      <c r="I37" s="1065" t="str">
        <f t="shared" si="3"/>
        <v>2G112</v>
      </c>
      <c r="J37" s="1065" t="str">
        <f t="shared" si="3"/>
        <v>2G2</v>
      </c>
      <c r="K37" s="1065" t="str">
        <f t="shared" si="3"/>
        <v>2G212</v>
      </c>
      <c r="L37" s="1065" t="str">
        <f t="shared" si="3"/>
        <v>2G3</v>
      </c>
      <c r="M37" s="1065" t="str">
        <f t="shared" si="3"/>
        <v>2G4</v>
      </c>
    </row>
    <row r="38" spans="1:13">
      <c r="A38" s="1061">
        <v>36</v>
      </c>
      <c r="B38" s="1061" t="s">
        <v>1077</v>
      </c>
      <c r="C38" s="1061" t="s">
        <v>1080</v>
      </c>
      <c r="D38" s="1065" t="str">
        <f>"90G"&amp;D$5</f>
        <v>90G38</v>
      </c>
      <c r="E38" s="1065" t="str">
        <f t="shared" ref="E38:M38" si="4">"90G"&amp;E$5</f>
        <v>90G12</v>
      </c>
      <c r="F38" s="1065" t="str">
        <f t="shared" si="4"/>
        <v>90G34</v>
      </c>
      <c r="G38" s="1065" t="str">
        <f t="shared" si="4"/>
        <v>90G1</v>
      </c>
      <c r="H38" s="1065" t="str">
        <f t="shared" si="4"/>
        <v>90G114</v>
      </c>
      <c r="I38" s="1065" t="str">
        <f t="shared" si="4"/>
        <v>90G112</v>
      </c>
      <c r="J38" s="1065" t="str">
        <f t="shared" si="4"/>
        <v>90G2</v>
      </c>
      <c r="K38" s="1065" t="str">
        <f t="shared" si="4"/>
        <v>90G212</v>
      </c>
      <c r="L38" s="1065" t="str">
        <f t="shared" si="4"/>
        <v>90G3</v>
      </c>
      <c r="M38" s="1065" t="str">
        <f t="shared" si="4"/>
        <v>90G4</v>
      </c>
    </row>
    <row r="39" spans="1:13">
      <c r="A39" s="1061">
        <v>37</v>
      </c>
      <c r="B39" s="1061" t="s">
        <v>1077</v>
      </c>
      <c r="C39" s="1061" t="s">
        <v>1081</v>
      </c>
      <c r="D39" s="1065" t="str">
        <f>"92G"&amp;D$5</f>
        <v>92G38</v>
      </c>
      <c r="E39" s="1065" t="str">
        <f t="shared" ref="E39:M39" si="5">"92G"&amp;E$5</f>
        <v>92G12</v>
      </c>
      <c r="F39" s="1065" t="str">
        <f t="shared" si="5"/>
        <v>92G34</v>
      </c>
      <c r="G39" s="1065" t="str">
        <f t="shared" si="5"/>
        <v>92G1</v>
      </c>
      <c r="H39" s="1065" t="str">
        <f t="shared" si="5"/>
        <v>92G114</v>
      </c>
      <c r="I39" s="1065" t="str">
        <f t="shared" si="5"/>
        <v>92G112</v>
      </c>
      <c r="J39" s="1065" t="str">
        <f t="shared" si="5"/>
        <v>92G2</v>
      </c>
      <c r="K39" s="1065" t="str">
        <f t="shared" si="5"/>
        <v>92G212</v>
      </c>
      <c r="L39" s="1065" t="str">
        <f t="shared" si="5"/>
        <v>92G3</v>
      </c>
      <c r="M39" s="1065" t="str">
        <f t="shared" si="5"/>
        <v>92G4</v>
      </c>
    </row>
    <row r="40" spans="1:13">
      <c r="A40" s="1061">
        <v>38</v>
      </c>
      <c r="B40" s="1061" t="s">
        <v>1077</v>
      </c>
      <c r="C40" s="1061" t="s">
        <v>1082</v>
      </c>
      <c r="D40" s="1065" t="str">
        <f>"96G"&amp;D$5</f>
        <v>96G38</v>
      </c>
      <c r="E40" s="1065" t="str">
        <f t="shared" ref="E40:M40" si="6">"96G"&amp;E$5</f>
        <v>96G12</v>
      </c>
      <c r="F40" s="1065" t="str">
        <f t="shared" si="6"/>
        <v>96G34</v>
      </c>
      <c r="G40" s="1065" t="str">
        <f t="shared" si="6"/>
        <v>96G1</v>
      </c>
      <c r="H40" s="1065" t="str">
        <f t="shared" si="6"/>
        <v>96G114</v>
      </c>
      <c r="I40" s="1065" t="str">
        <f t="shared" si="6"/>
        <v>96G112</v>
      </c>
      <c r="J40" s="1065" t="str">
        <f t="shared" si="6"/>
        <v>96G2</v>
      </c>
      <c r="K40" s="1065" t="str">
        <f t="shared" si="6"/>
        <v>96G212</v>
      </c>
      <c r="L40" s="1065" t="str">
        <f t="shared" si="6"/>
        <v>96G3</v>
      </c>
      <c r="M40" s="1065" t="str">
        <f t="shared" si="6"/>
        <v>96G4</v>
      </c>
    </row>
    <row r="41" spans="1:13">
      <c r="A41" s="1061">
        <v>39</v>
      </c>
      <c r="B41" s="1061" t="s">
        <v>1077</v>
      </c>
      <c r="C41" s="1061" t="s">
        <v>1083</v>
      </c>
      <c r="D41" s="1065" t="str">
        <f>"98G"&amp;D$5</f>
        <v>98G38</v>
      </c>
      <c r="E41" s="1065" t="str">
        <f t="shared" ref="E41:M41" si="7">"98G"&amp;E$5</f>
        <v>98G12</v>
      </c>
      <c r="F41" s="1065" t="str">
        <f t="shared" si="7"/>
        <v>98G34</v>
      </c>
      <c r="G41" s="1065" t="str">
        <f t="shared" si="7"/>
        <v>98G1</v>
      </c>
      <c r="H41" s="1065" t="str">
        <f t="shared" si="7"/>
        <v>98G114</v>
      </c>
      <c r="I41" s="1065" t="str">
        <f t="shared" si="7"/>
        <v>98G112</v>
      </c>
      <c r="J41" s="1065" t="str">
        <f t="shared" si="7"/>
        <v>98G2</v>
      </c>
      <c r="K41" s="1065" t="str">
        <f t="shared" si="7"/>
        <v>98G212</v>
      </c>
      <c r="L41" s="1065" t="str">
        <f t="shared" si="7"/>
        <v>98G3</v>
      </c>
      <c r="M41" s="1065" t="str">
        <f t="shared" si="7"/>
        <v>98G4</v>
      </c>
    </row>
    <row r="42" spans="1:13">
      <c r="A42" s="1061">
        <v>40</v>
      </c>
      <c r="B42" s="1061" t="s">
        <v>1077</v>
      </c>
      <c r="C42" s="1061" t="s">
        <v>1084</v>
      </c>
      <c r="D42" s="1065" t="str">
        <f>"130G"&amp;D$5</f>
        <v>130G38</v>
      </c>
      <c r="E42" s="1065" t="str">
        <f t="shared" ref="E42:M42" si="8">"130G"&amp;E$5</f>
        <v>130G12</v>
      </c>
      <c r="F42" s="1065" t="str">
        <f t="shared" si="8"/>
        <v>130G34</v>
      </c>
      <c r="G42" s="1065" t="str">
        <f t="shared" si="8"/>
        <v>130G1</v>
      </c>
      <c r="H42" s="1065" t="str">
        <f t="shared" si="8"/>
        <v>130G114</v>
      </c>
      <c r="I42" s="1065" t="str">
        <f t="shared" si="8"/>
        <v>130G112</v>
      </c>
      <c r="J42" s="1065" t="str">
        <f t="shared" si="8"/>
        <v>130G2</v>
      </c>
      <c r="K42" s="1065" t="str">
        <f t="shared" si="8"/>
        <v>130G212</v>
      </c>
      <c r="L42" s="1065" t="str">
        <f t="shared" si="8"/>
        <v>130G3</v>
      </c>
      <c r="M42" s="1065" t="str">
        <f t="shared" si="8"/>
        <v>130G4</v>
      </c>
    </row>
    <row r="43" spans="1:13">
      <c r="A43" s="1061">
        <v>41</v>
      </c>
      <c r="B43" s="1061" t="s">
        <v>1077</v>
      </c>
      <c r="C43" s="1061" t="s">
        <v>1085</v>
      </c>
      <c r="D43" s="1065" t="str">
        <f>"220G"&amp;D$5</f>
        <v>220G38</v>
      </c>
      <c r="E43" s="1065" t="str">
        <f t="shared" ref="E43:M43" si="9">"220G"&amp;E$5</f>
        <v>220G12</v>
      </c>
      <c r="F43" s="1065" t="str">
        <f t="shared" si="9"/>
        <v>220G34</v>
      </c>
      <c r="G43" s="1065" t="str">
        <f t="shared" si="9"/>
        <v>220G1</v>
      </c>
      <c r="H43" s="1065" t="str">
        <f t="shared" si="9"/>
        <v>220G114</v>
      </c>
      <c r="I43" s="1065" t="str">
        <f t="shared" si="9"/>
        <v>220G112</v>
      </c>
      <c r="J43" s="1065" t="str">
        <f t="shared" si="9"/>
        <v>220G2</v>
      </c>
      <c r="K43" s="1065" t="str">
        <f t="shared" si="9"/>
        <v>220G212</v>
      </c>
      <c r="L43" s="1065" t="str">
        <f t="shared" si="9"/>
        <v>220G3</v>
      </c>
      <c r="M43" s="1065" t="str">
        <f t="shared" si="9"/>
        <v>220G4</v>
      </c>
    </row>
    <row r="44" spans="1:13">
      <c r="A44" s="1061">
        <v>42</v>
      </c>
      <c r="B44" s="1061" t="s">
        <v>1077</v>
      </c>
      <c r="C44" s="1061" t="s">
        <v>1086</v>
      </c>
      <c r="D44" s="1065" t="str">
        <f>"270G"&amp;D$5</f>
        <v>270G38</v>
      </c>
      <c r="E44" s="1065" t="str">
        <f t="shared" ref="E44:M44" si="10">"270G"&amp;E$5</f>
        <v>270G12</v>
      </c>
      <c r="F44" s="1065" t="str">
        <f t="shared" si="10"/>
        <v>270G34</v>
      </c>
      <c r="G44" s="1065" t="str">
        <f t="shared" si="10"/>
        <v>270G1</v>
      </c>
      <c r="H44" s="1065" t="str">
        <f t="shared" si="10"/>
        <v>270G114</v>
      </c>
      <c r="I44" s="1065" t="str">
        <f t="shared" si="10"/>
        <v>270G112</v>
      </c>
      <c r="J44" s="1065" t="str">
        <f t="shared" si="10"/>
        <v>270G2</v>
      </c>
      <c r="K44" s="1065" t="str">
        <f t="shared" si="10"/>
        <v>270G212</v>
      </c>
      <c r="L44" s="1065" t="str">
        <f t="shared" si="10"/>
        <v>270G3</v>
      </c>
      <c r="M44" s="1065" t="str">
        <f t="shared" si="10"/>
        <v>270G4</v>
      </c>
    </row>
    <row r="45" spans="1:13">
      <c r="A45" s="1061">
        <v>43</v>
      </c>
      <c r="B45" s="1061" t="s">
        <v>1077</v>
      </c>
      <c r="C45" s="1061" t="s">
        <v>1087</v>
      </c>
      <c r="D45" s="1065" t="str">
        <f>"280G"&amp;D$5</f>
        <v>280G38</v>
      </c>
      <c r="E45" s="1065" t="str">
        <f t="shared" ref="E45:M45" si="11">"280G"&amp;E$5</f>
        <v>280G12</v>
      </c>
      <c r="F45" s="1065" t="str">
        <f t="shared" si="11"/>
        <v>280G34</v>
      </c>
      <c r="G45" s="1065" t="str">
        <f t="shared" si="11"/>
        <v>280G1</v>
      </c>
      <c r="H45" s="1065" t="str">
        <f t="shared" si="11"/>
        <v>280G114</v>
      </c>
      <c r="I45" s="1065" t="str">
        <f t="shared" si="11"/>
        <v>280G112</v>
      </c>
      <c r="J45" s="1065" t="str">
        <f t="shared" si="11"/>
        <v>280G2</v>
      </c>
      <c r="K45" s="1065" t="str">
        <f t="shared" si="11"/>
        <v>280G212</v>
      </c>
      <c r="L45" s="1065" t="str">
        <f t="shared" si="11"/>
        <v>280G3</v>
      </c>
      <c r="M45" s="1065" t="str">
        <f t="shared" si="11"/>
        <v>280G4</v>
      </c>
    </row>
    <row r="46" spans="1:13">
      <c r="A46" s="1061">
        <v>44</v>
      </c>
      <c r="B46" s="1061" t="s">
        <v>1077</v>
      </c>
      <c r="C46" s="1061" t="s">
        <v>1088</v>
      </c>
      <c r="D46" s="1065" t="str">
        <f>"290G"&amp;D$5</f>
        <v>290G38</v>
      </c>
      <c r="E46" s="1065" t="str">
        <f t="shared" ref="E46:M46" si="12">"290G"&amp;E$5</f>
        <v>290G12</v>
      </c>
      <c r="F46" s="1065" t="str">
        <f t="shared" si="12"/>
        <v>290G34</v>
      </c>
      <c r="G46" s="1065" t="str">
        <f t="shared" si="12"/>
        <v>290G1</v>
      </c>
      <c r="H46" s="1065" t="str">
        <f t="shared" si="12"/>
        <v>290G114</v>
      </c>
      <c r="I46" s="1065" t="str">
        <f t="shared" si="12"/>
        <v>290G112</v>
      </c>
      <c r="J46" s="1065" t="str">
        <f t="shared" si="12"/>
        <v>290G2</v>
      </c>
      <c r="K46" s="1065" t="str">
        <f t="shared" si="12"/>
        <v>290G212</v>
      </c>
      <c r="L46" s="1065" t="str">
        <f t="shared" si="12"/>
        <v>290G3</v>
      </c>
      <c r="M46" s="1065" t="str">
        <f t="shared" si="12"/>
        <v>290G4</v>
      </c>
    </row>
    <row r="47" spans="1:13">
      <c r="A47" s="1061">
        <v>45</v>
      </c>
      <c r="B47" s="1061" t="s">
        <v>1077</v>
      </c>
      <c r="C47" s="1061" t="s">
        <v>1089</v>
      </c>
      <c r="D47" s="1065" t="str">
        <f>"300G"&amp;D$5</f>
        <v>300G38</v>
      </c>
      <c r="E47" s="1065" t="str">
        <f t="shared" ref="E47:M47" si="13">"300G"&amp;E$5</f>
        <v>300G12</v>
      </c>
      <c r="F47" s="1065" t="str">
        <f t="shared" si="13"/>
        <v>300G34</v>
      </c>
      <c r="G47" s="1065" t="str">
        <f t="shared" si="13"/>
        <v>300G1</v>
      </c>
      <c r="H47" s="1065" t="str">
        <f t="shared" si="13"/>
        <v>300G114</v>
      </c>
      <c r="I47" s="1065" t="str">
        <f t="shared" si="13"/>
        <v>300G112</v>
      </c>
      <c r="J47" s="1065" t="str">
        <f t="shared" si="13"/>
        <v>300G2</v>
      </c>
      <c r="K47" s="1065" t="str">
        <f t="shared" si="13"/>
        <v>300G212</v>
      </c>
      <c r="L47" s="1065" t="str">
        <f t="shared" si="13"/>
        <v>300G3</v>
      </c>
      <c r="M47" s="1065" t="str">
        <f t="shared" si="13"/>
        <v>300G4</v>
      </c>
    </row>
    <row r="48" spans="1:13">
      <c r="A48" s="1061">
        <v>46</v>
      </c>
      <c r="B48" s="1061" t="s">
        <v>1077</v>
      </c>
      <c r="C48" s="1061" t="s">
        <v>1090</v>
      </c>
      <c r="D48" s="1065" t="str">
        <f>"340G"&amp;D$5</f>
        <v>340G38</v>
      </c>
      <c r="E48" s="1065" t="str">
        <f t="shared" ref="E48:M48" si="14">"340G"&amp;E$5</f>
        <v>340G12</v>
      </c>
      <c r="F48" s="1065" t="str">
        <f t="shared" si="14"/>
        <v>340G34</v>
      </c>
      <c r="G48" s="1065" t="str">
        <f t="shared" si="14"/>
        <v>340G1</v>
      </c>
      <c r="H48" s="1065" t="str">
        <f t="shared" si="14"/>
        <v>340G114</v>
      </c>
      <c r="I48" s="1065" t="str">
        <f t="shared" si="14"/>
        <v>340G112</v>
      </c>
      <c r="J48" s="1065" t="str">
        <f t="shared" si="14"/>
        <v>340G2</v>
      </c>
      <c r="K48" s="1065" t="str">
        <f t="shared" si="14"/>
        <v>340G212</v>
      </c>
      <c r="L48" s="1065" t="str">
        <f t="shared" si="14"/>
        <v>340G3</v>
      </c>
      <c r="M48" s="1065" t="str">
        <f t="shared" si="14"/>
        <v>340G4</v>
      </c>
    </row>
    <row r="49" spans="1:13">
      <c r="A49" s="1061">
        <v>47</v>
      </c>
      <c r="B49" s="1061" t="s">
        <v>1077</v>
      </c>
      <c r="C49" s="1061" t="s">
        <v>1091</v>
      </c>
      <c r="D49" s="1065" t="str">
        <f>"341G"&amp;D$5</f>
        <v>341G38</v>
      </c>
      <c r="E49" s="1065" t="str">
        <f t="shared" ref="E49:M49" si="15">"341G"&amp;E$5</f>
        <v>341G12</v>
      </c>
      <c r="F49" s="1065" t="str">
        <f t="shared" si="15"/>
        <v>341G34</v>
      </c>
      <c r="G49" s="1065" t="str">
        <f t="shared" si="15"/>
        <v>341G1</v>
      </c>
      <c r="H49" s="1065" t="str">
        <f t="shared" si="15"/>
        <v>341G114</v>
      </c>
      <c r="I49" s="1065" t="str">
        <f t="shared" si="15"/>
        <v>341G112</v>
      </c>
      <c r="J49" s="1065" t="str">
        <f t="shared" si="15"/>
        <v>341G2</v>
      </c>
      <c r="K49" s="1065" t="str">
        <f t="shared" si="15"/>
        <v>341G212</v>
      </c>
      <c r="L49" s="1065" t="str">
        <f t="shared" si="15"/>
        <v>341G3</v>
      </c>
      <c r="M49" s="1065" t="str">
        <f t="shared" si="15"/>
        <v>341G4</v>
      </c>
    </row>
    <row r="50" spans="1:13">
      <c r="A50" s="1061">
        <v>48</v>
      </c>
      <c r="B50" s="1061" t="s">
        <v>1077</v>
      </c>
      <c r="C50" s="1061" t="s">
        <v>1092</v>
      </c>
      <c r="D50" s="1065" t="str">
        <f>"344G"&amp;D$5</f>
        <v>344G38</v>
      </c>
      <c r="E50" s="1065" t="str">
        <f t="shared" ref="E50:M50" si="16">"344G"&amp;E$5</f>
        <v>344G12</v>
      </c>
      <c r="F50" s="1065" t="str">
        <f t="shared" si="16"/>
        <v>344G34</v>
      </c>
      <c r="G50" s="1065" t="str">
        <f t="shared" si="16"/>
        <v>344G1</v>
      </c>
      <c r="H50" s="1065" t="str">
        <f t="shared" si="16"/>
        <v>344G114</v>
      </c>
      <c r="I50" s="1065" t="str">
        <f t="shared" si="16"/>
        <v>344G112</v>
      </c>
      <c r="J50" s="1065" t="str">
        <f t="shared" si="16"/>
        <v>344G2</v>
      </c>
      <c r="K50" s="1065" t="str">
        <f t="shared" si="16"/>
        <v>344G212</v>
      </c>
      <c r="L50" s="1065" t="str">
        <f t="shared" si="16"/>
        <v>344G3</v>
      </c>
      <c r="M50" s="1065" t="str">
        <f t="shared" si="16"/>
        <v>344G4</v>
      </c>
    </row>
    <row r="51" spans="1:13">
      <c r="A51" s="1061">
        <v>49</v>
      </c>
      <c r="B51" s="1061" t="s">
        <v>1077</v>
      </c>
      <c r="C51" s="1061" t="s">
        <v>1093</v>
      </c>
      <c r="D51" s="1061" t="s">
        <v>1094</v>
      </c>
      <c r="E51" s="1061" t="s">
        <v>1095</v>
      </c>
      <c r="F51" s="1061" t="s">
        <v>1096</v>
      </c>
      <c r="G51" s="1061" t="s">
        <v>1097</v>
      </c>
      <c r="H51" s="1061" t="s">
        <v>1098</v>
      </c>
      <c r="I51" s="1061" t="s">
        <v>1099</v>
      </c>
      <c r="J51" s="1061" t="s">
        <v>670</v>
      </c>
      <c r="K51" s="1061" t="s">
        <v>670</v>
      </c>
      <c r="L51" s="1061" t="s">
        <v>670</v>
      </c>
      <c r="M51" s="1061" t="s">
        <v>670</v>
      </c>
    </row>
    <row r="52" spans="1:13">
      <c r="A52" s="1061">
        <v>50</v>
      </c>
      <c r="B52" s="1061" t="s">
        <v>779</v>
      </c>
      <c r="C52" s="1061" t="s">
        <v>645</v>
      </c>
      <c r="D52" s="1213">
        <v>6</v>
      </c>
      <c r="E52" s="1213">
        <v>6</v>
      </c>
      <c r="F52" s="1213">
        <v>6</v>
      </c>
      <c r="G52" s="1213">
        <v>6</v>
      </c>
      <c r="H52" s="1213">
        <v>6</v>
      </c>
      <c r="I52" s="1213">
        <v>5.5</v>
      </c>
      <c r="J52" s="1213">
        <v>5.5</v>
      </c>
      <c r="K52" s="1213">
        <v>5</v>
      </c>
      <c r="L52" s="1213">
        <v>5</v>
      </c>
      <c r="M52" s="1213">
        <v>5</v>
      </c>
    </row>
    <row r="53" spans="1:13" ht="15">
      <c r="A53" s="1061">
        <v>51</v>
      </c>
      <c r="B53" s="1061" t="s">
        <v>779</v>
      </c>
      <c r="C53" s="1061" t="s">
        <v>653</v>
      </c>
      <c r="D53" s="1214">
        <v>4.5</v>
      </c>
      <c r="E53" s="1213">
        <v>4.5</v>
      </c>
      <c r="F53" s="1213">
        <v>4.5</v>
      </c>
      <c r="G53" s="1213">
        <v>4.5</v>
      </c>
      <c r="H53" s="1213">
        <v>4.5</v>
      </c>
      <c r="I53" s="1213">
        <v>4</v>
      </c>
      <c r="J53" s="1213">
        <v>4</v>
      </c>
      <c r="K53" s="1213">
        <v>3.5</v>
      </c>
      <c r="L53" s="1213">
        <v>3.5</v>
      </c>
      <c r="M53" s="1213">
        <v>3.5</v>
      </c>
    </row>
    <row r="54" spans="1:13">
      <c r="A54" s="1061">
        <v>52</v>
      </c>
      <c r="B54" s="1061" t="s">
        <v>779</v>
      </c>
      <c r="C54" s="1061" t="s">
        <v>656</v>
      </c>
      <c r="D54" s="1213">
        <v>4</v>
      </c>
      <c r="E54" s="1213">
        <v>4</v>
      </c>
      <c r="F54" s="1213">
        <v>4</v>
      </c>
      <c r="G54" s="1213">
        <v>4</v>
      </c>
      <c r="H54" s="1213">
        <v>4</v>
      </c>
      <c r="I54" s="1213">
        <v>3.5</v>
      </c>
      <c r="J54" s="1213">
        <v>3.5</v>
      </c>
      <c r="K54" s="1213">
        <v>3</v>
      </c>
      <c r="L54" s="1213">
        <v>3</v>
      </c>
      <c r="M54" s="1213">
        <v>3</v>
      </c>
    </row>
    <row r="55" spans="1:13">
      <c r="A55" s="1061">
        <v>53</v>
      </c>
      <c r="B55" s="1061" t="s">
        <v>1100</v>
      </c>
      <c r="C55" s="1061" t="s">
        <v>1101</v>
      </c>
      <c r="D55" s="1061">
        <v>6</v>
      </c>
      <c r="E55" s="1061">
        <v>6</v>
      </c>
      <c r="F55" s="1061">
        <v>6</v>
      </c>
      <c r="G55" s="1061">
        <v>6</v>
      </c>
      <c r="H55" s="1061">
        <v>6</v>
      </c>
      <c r="I55" s="1061">
        <v>6</v>
      </c>
      <c r="J55" s="1061">
        <v>6</v>
      </c>
      <c r="K55" s="1061">
        <v>9</v>
      </c>
      <c r="L55" s="1061">
        <v>9</v>
      </c>
      <c r="M55" s="1061">
        <v>9</v>
      </c>
    </row>
    <row r="56" spans="1:13">
      <c r="A56" s="1061">
        <v>54</v>
      </c>
      <c r="B56" s="1061" t="s">
        <v>1100</v>
      </c>
      <c r="C56" s="1061" t="s">
        <v>808</v>
      </c>
      <c r="D56" s="1061" t="s">
        <v>809</v>
      </c>
      <c r="E56" s="1061" t="s">
        <v>809</v>
      </c>
      <c r="F56" s="1061" t="s">
        <v>809</v>
      </c>
      <c r="G56" s="1061" t="s">
        <v>809</v>
      </c>
      <c r="H56" s="1061" t="s">
        <v>809</v>
      </c>
      <c r="I56" s="1061" t="s">
        <v>809</v>
      </c>
      <c r="J56" s="1061" t="s">
        <v>809</v>
      </c>
      <c r="K56" s="1061">
        <v>40142</v>
      </c>
      <c r="L56" s="1061">
        <v>40142</v>
      </c>
      <c r="M56" s="1061">
        <v>40142</v>
      </c>
    </row>
    <row r="57" spans="1:13">
      <c r="A57" s="1061">
        <v>55</v>
      </c>
      <c r="B57" s="1061" t="s">
        <v>1100</v>
      </c>
      <c r="C57" s="1061" t="s">
        <v>1076</v>
      </c>
      <c r="D57" s="1065">
        <v>33707</v>
      </c>
      <c r="E57" s="1065">
        <v>33707</v>
      </c>
      <c r="F57" s="1065">
        <v>33707</v>
      </c>
      <c r="G57" s="1065">
        <v>33707</v>
      </c>
      <c r="H57" s="1065">
        <v>33707</v>
      </c>
      <c r="I57" s="1065">
        <v>33707</v>
      </c>
      <c r="J57" s="1065">
        <v>33707</v>
      </c>
      <c r="K57" s="1065">
        <v>32921</v>
      </c>
      <c r="L57" s="1065">
        <v>32921</v>
      </c>
      <c r="M57" s="1065">
        <v>32921</v>
      </c>
    </row>
    <row r="58" spans="1:13">
      <c r="A58" s="1061">
        <v>56</v>
      </c>
      <c r="B58" s="1061" t="s">
        <v>1100</v>
      </c>
      <c r="C58" s="1061" t="s">
        <v>1102</v>
      </c>
      <c r="D58" s="1061" t="s">
        <v>670</v>
      </c>
      <c r="E58" s="1061" t="s">
        <v>1103</v>
      </c>
      <c r="F58" s="1061" t="s">
        <v>1104</v>
      </c>
      <c r="G58" s="1061" t="s">
        <v>1105</v>
      </c>
      <c r="H58" s="1061" t="s">
        <v>1106</v>
      </c>
      <c r="I58" s="1061" t="s">
        <v>1107</v>
      </c>
      <c r="J58" s="1061" t="s">
        <v>1108</v>
      </c>
      <c r="K58" s="1061" t="s">
        <v>920</v>
      </c>
      <c r="L58" s="1061" t="s">
        <v>921</v>
      </c>
      <c r="M58" s="1061" t="s">
        <v>922</v>
      </c>
    </row>
    <row r="59" spans="1:13">
      <c r="A59" s="1061">
        <v>57</v>
      </c>
      <c r="B59" s="1061" t="s">
        <v>1100</v>
      </c>
      <c r="C59" s="1061" t="s">
        <v>1109</v>
      </c>
      <c r="D59" s="1061" t="s">
        <v>670</v>
      </c>
      <c r="E59" s="1061" t="s">
        <v>1110</v>
      </c>
      <c r="F59" s="1061" t="s">
        <v>1111</v>
      </c>
      <c r="G59" s="1061" t="s">
        <v>1112</v>
      </c>
      <c r="H59" s="1061" t="s">
        <v>1113</v>
      </c>
      <c r="I59" s="1061" t="s">
        <v>1114</v>
      </c>
      <c r="J59" s="1061" t="s">
        <v>1115</v>
      </c>
      <c r="K59" s="1061" t="s">
        <v>670</v>
      </c>
      <c r="L59" s="1061" t="s">
        <v>670</v>
      </c>
      <c r="M59" s="1061" t="s">
        <v>670</v>
      </c>
    </row>
    <row r="60" spans="1:13">
      <c r="A60" s="1061">
        <v>58</v>
      </c>
      <c r="B60" s="1061" t="s">
        <v>1100</v>
      </c>
      <c r="C60" s="1061" t="s">
        <v>1116</v>
      </c>
      <c r="D60" s="1061" t="s">
        <v>670</v>
      </c>
      <c r="E60" s="1061" t="s">
        <v>670</v>
      </c>
      <c r="F60" s="1061" t="s">
        <v>670</v>
      </c>
      <c r="G60" s="1061" t="s">
        <v>670</v>
      </c>
      <c r="H60" s="1061" t="s">
        <v>670</v>
      </c>
      <c r="I60" s="1061" t="s">
        <v>670</v>
      </c>
      <c r="J60" s="1061" t="s">
        <v>670</v>
      </c>
      <c r="K60" s="1061" t="s">
        <v>1117</v>
      </c>
      <c r="L60" s="1061" t="s">
        <v>1118</v>
      </c>
      <c r="M60" s="1061" t="s">
        <v>1119</v>
      </c>
    </row>
    <row r="61" spans="1:13">
      <c r="A61" s="1061">
        <v>59</v>
      </c>
      <c r="B61" s="1061" t="s">
        <v>1100</v>
      </c>
      <c r="C61" s="1061" t="s">
        <v>1120</v>
      </c>
      <c r="D61" s="1061" t="s">
        <v>670</v>
      </c>
      <c r="E61" s="1065" t="s">
        <v>1121</v>
      </c>
      <c r="F61" s="1065" t="s">
        <v>1122</v>
      </c>
      <c r="G61" s="1065" t="s">
        <v>1123</v>
      </c>
      <c r="H61" s="1065" t="s">
        <v>1124</v>
      </c>
      <c r="I61" s="1065" t="s">
        <v>1125</v>
      </c>
      <c r="J61" s="1065" t="s">
        <v>1126</v>
      </c>
      <c r="K61" s="1061" t="s">
        <v>670</v>
      </c>
      <c r="L61" s="1061" t="s">
        <v>670</v>
      </c>
      <c r="M61" s="1061" t="s">
        <v>670</v>
      </c>
    </row>
    <row r="62" spans="1:13">
      <c r="A62" s="1061">
        <v>60</v>
      </c>
      <c r="B62" s="1061" t="s">
        <v>1127</v>
      </c>
      <c r="C62" s="1061" t="s">
        <v>1128</v>
      </c>
      <c r="D62" s="1061" t="s">
        <v>670</v>
      </c>
      <c r="E62" s="1065" t="s">
        <v>1009</v>
      </c>
      <c r="F62" s="1065" t="s">
        <v>1010</v>
      </c>
      <c r="G62" s="1065" t="s">
        <v>1129</v>
      </c>
      <c r="H62" s="1065" t="s">
        <v>1130</v>
      </c>
      <c r="I62" s="1065" t="s">
        <v>1131</v>
      </c>
      <c r="J62" s="1061" t="s">
        <v>670</v>
      </c>
      <c r="K62" s="1061" t="s">
        <v>670</v>
      </c>
      <c r="L62" s="1061" t="s">
        <v>670</v>
      </c>
      <c r="M62" s="1061" t="s">
        <v>670</v>
      </c>
    </row>
    <row r="63" spans="1:13">
      <c r="A63" s="1061">
        <v>61</v>
      </c>
      <c r="B63" s="1061" t="s">
        <v>1127</v>
      </c>
      <c r="C63" s="1061" t="s">
        <v>1132</v>
      </c>
      <c r="D63" s="1061" t="s">
        <v>670</v>
      </c>
      <c r="E63" s="1065" t="s">
        <v>1133</v>
      </c>
      <c r="F63" s="1065" t="s">
        <v>1134</v>
      </c>
      <c r="G63" s="1065" t="s">
        <v>1135</v>
      </c>
      <c r="H63" s="1065" t="s">
        <v>1135</v>
      </c>
      <c r="I63" s="1065" t="s">
        <v>1135</v>
      </c>
      <c r="J63" s="1061" t="s">
        <v>670</v>
      </c>
      <c r="K63" s="1061" t="s">
        <v>670</v>
      </c>
      <c r="L63" s="1061" t="s">
        <v>670</v>
      </c>
      <c r="M63" s="1061" t="s">
        <v>670</v>
      </c>
    </row>
    <row r="64" spans="1:13">
      <c r="A64" s="1061">
        <v>62</v>
      </c>
      <c r="B64" s="1061" t="s">
        <v>1127</v>
      </c>
      <c r="C64" s="1061" t="s">
        <v>1136</v>
      </c>
      <c r="D64" s="1061" t="s">
        <v>670</v>
      </c>
      <c r="E64" s="1065" t="s">
        <v>1137</v>
      </c>
      <c r="F64" s="1065" t="s">
        <v>1138</v>
      </c>
      <c r="G64" s="1065" t="s">
        <v>1139</v>
      </c>
      <c r="H64" s="1065" t="s">
        <v>1139</v>
      </c>
      <c r="I64" s="1065" t="s">
        <v>1139</v>
      </c>
      <c r="J64" s="1061" t="s">
        <v>670</v>
      </c>
      <c r="K64" s="1061" t="s">
        <v>670</v>
      </c>
      <c r="L64" s="1061" t="s">
        <v>670</v>
      </c>
      <c r="M64" s="1061" t="s">
        <v>670</v>
      </c>
    </row>
    <row r="65" spans="1:13">
      <c r="A65" s="1061">
        <v>63</v>
      </c>
      <c r="B65" s="1061" t="s">
        <v>1127</v>
      </c>
      <c r="C65" s="1061" t="s">
        <v>1140</v>
      </c>
      <c r="D65" s="1061" t="s">
        <v>670</v>
      </c>
      <c r="E65" s="1065" t="s">
        <v>1141</v>
      </c>
      <c r="F65" s="1065" t="s">
        <v>1142</v>
      </c>
      <c r="G65" s="1065" t="s">
        <v>1143</v>
      </c>
      <c r="H65" s="1065" t="s">
        <v>1143</v>
      </c>
      <c r="I65" s="1065" t="s">
        <v>1143</v>
      </c>
      <c r="J65" s="1061" t="s">
        <v>670</v>
      </c>
      <c r="K65" s="1061" t="s">
        <v>670</v>
      </c>
      <c r="L65" s="1061" t="s">
        <v>670</v>
      </c>
      <c r="M65" s="1061" t="s">
        <v>670</v>
      </c>
    </row>
    <row r="66" spans="1:13">
      <c r="A66" s="1061">
        <v>64</v>
      </c>
      <c r="B66" s="1061" t="s">
        <v>1127</v>
      </c>
      <c r="C66" s="1061" t="s">
        <v>808</v>
      </c>
      <c r="D66" s="1061" t="s">
        <v>670</v>
      </c>
      <c r="E66" s="1065">
        <v>30252</v>
      </c>
      <c r="F66" s="1065">
        <v>30252</v>
      </c>
      <c r="G66" s="1065" t="s">
        <v>809</v>
      </c>
      <c r="H66" s="1065" t="s">
        <v>809</v>
      </c>
      <c r="I66" s="1065" t="s">
        <v>809</v>
      </c>
      <c r="J66" s="1061" t="s">
        <v>670</v>
      </c>
      <c r="K66" s="1061" t="s">
        <v>670</v>
      </c>
      <c r="L66" s="1061" t="s">
        <v>670</v>
      </c>
      <c r="M66" s="1061" t="s">
        <v>670</v>
      </c>
    </row>
    <row r="67" spans="1:13">
      <c r="A67" s="1061">
        <v>65</v>
      </c>
      <c r="B67" s="1061" t="s">
        <v>1127</v>
      </c>
      <c r="C67" s="1061" t="s">
        <v>1054</v>
      </c>
      <c r="D67" s="1061" t="s">
        <v>670</v>
      </c>
      <c r="E67" s="1065">
        <v>14869</v>
      </c>
      <c r="F67" s="1065">
        <v>14869</v>
      </c>
      <c r="G67" s="1065">
        <v>30953</v>
      </c>
      <c r="H67" s="1065">
        <v>30953</v>
      </c>
      <c r="I67" s="1065">
        <v>30953</v>
      </c>
      <c r="J67" s="1061" t="s">
        <v>670</v>
      </c>
      <c r="K67" s="1061" t="s">
        <v>670</v>
      </c>
      <c r="L67" s="1061" t="s">
        <v>670</v>
      </c>
      <c r="M67" s="1061" t="s">
        <v>670</v>
      </c>
    </row>
  </sheetData>
  <sheetProtection algorithmName="SHA-512" hashValue="ebcX+TKoS0Npuv6k2VPbA5C1ErNZST1HxT7N91p/j11E6eoWrMWq1Aatz1a2p2rkH5MiLO8GQYlFiU/l2sAzsQ==" saltValue="bfhrzef3XXnN5aQ1fc5jhw==" spinCount="100000" sheet="1" objects="1" scenarios="1"/>
  <mergeCells count="1">
    <mergeCell ref="D1:M1"/>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72078-B0E1-4C9E-82D9-6D962558EFCF}">
  <sheetPr codeName="Feuil8">
    <tabColor rgb="FF00B050"/>
  </sheetPr>
  <dimension ref="A2:AK12"/>
  <sheetViews>
    <sheetView topLeftCell="U1" workbookViewId="0">
      <selection activeCell="AI10" sqref="AI10"/>
    </sheetView>
  </sheetViews>
  <sheetFormatPr baseColWidth="10" defaultColWidth="11.42578125" defaultRowHeight="15"/>
  <cols>
    <col min="7" max="7" width="12.85546875" bestFit="1" customWidth="1"/>
    <col min="8" max="8" width="13.140625" bestFit="1" customWidth="1"/>
    <col min="11" max="11" width="14.42578125" bestFit="1" customWidth="1"/>
    <col min="22" max="22" width="34.7109375" customWidth="1"/>
    <col min="31" max="31" width="15.7109375" bestFit="1" customWidth="1"/>
    <col min="32" max="32" width="8" bestFit="1" customWidth="1"/>
    <col min="34" max="34" width="12" bestFit="1" customWidth="1"/>
    <col min="35" max="35" width="7.42578125" bestFit="1" customWidth="1"/>
    <col min="36" max="36" width="14.28515625" bestFit="1" customWidth="1"/>
    <col min="37" max="37" width="14.42578125" bestFit="1" customWidth="1"/>
  </cols>
  <sheetData>
    <row r="2" spans="1:37">
      <c r="A2" t="s">
        <v>526</v>
      </c>
      <c r="B2" t="s">
        <v>527</v>
      </c>
      <c r="C2" t="s">
        <v>528</v>
      </c>
      <c r="D2" t="s">
        <v>529</v>
      </c>
      <c r="E2" t="s">
        <v>123</v>
      </c>
      <c r="F2" t="s">
        <v>530</v>
      </c>
      <c r="G2" t="s">
        <v>531</v>
      </c>
      <c r="H2" t="s">
        <v>532</v>
      </c>
      <c r="I2" t="s">
        <v>533</v>
      </c>
      <c r="J2" t="s">
        <v>534</v>
      </c>
      <c r="K2" t="s">
        <v>535</v>
      </c>
      <c r="L2" t="s">
        <v>536</v>
      </c>
      <c r="M2" t="s">
        <v>537</v>
      </c>
      <c r="N2" t="s">
        <v>538</v>
      </c>
      <c r="O2" t="s">
        <v>539</v>
      </c>
      <c r="P2" t="s">
        <v>540</v>
      </c>
      <c r="Q2" t="s">
        <v>541</v>
      </c>
      <c r="R2" t="s">
        <v>542</v>
      </c>
      <c r="S2" t="s">
        <v>543</v>
      </c>
      <c r="T2" t="s">
        <v>544</v>
      </c>
      <c r="U2" t="s">
        <v>545</v>
      </c>
      <c r="V2" t="s">
        <v>546</v>
      </c>
      <c r="W2" t="s">
        <v>547</v>
      </c>
      <c r="X2" t="s">
        <v>548</v>
      </c>
      <c r="Z2" s="1061" t="s">
        <v>643</v>
      </c>
      <c r="AA2" s="1061"/>
      <c r="AB2" s="1068" t="s">
        <v>644</v>
      </c>
      <c r="AC2" s="1068" t="s">
        <v>341</v>
      </c>
      <c r="AE2" s="1068" t="s">
        <v>647</v>
      </c>
      <c r="AF2" s="1068" t="s">
        <v>122</v>
      </c>
      <c r="AG2" s="1068" t="s">
        <v>648</v>
      </c>
      <c r="AH2" s="1068" t="s">
        <v>649</v>
      </c>
      <c r="AI2" s="1068" t="s">
        <v>650</v>
      </c>
      <c r="AJ2" s="1068" t="s">
        <v>651</v>
      </c>
      <c r="AK2" s="1068" t="s">
        <v>652</v>
      </c>
    </row>
    <row r="3" spans="1:37" ht="30">
      <c r="A3" t="s">
        <v>297</v>
      </c>
      <c r="B3" t="s">
        <v>51</v>
      </c>
      <c r="C3" t="s">
        <v>549</v>
      </c>
      <c r="D3" t="s">
        <v>550</v>
      </c>
      <c r="E3" t="s">
        <v>551</v>
      </c>
      <c r="F3" t="s">
        <v>52</v>
      </c>
      <c r="G3" t="s">
        <v>552</v>
      </c>
      <c r="H3" t="s">
        <v>553</v>
      </c>
      <c r="I3" t="s">
        <v>554</v>
      </c>
      <c r="J3" t="s">
        <v>555</v>
      </c>
      <c r="K3" t="s">
        <v>556</v>
      </c>
      <c r="L3" t="s">
        <v>557</v>
      </c>
      <c r="M3" t="s">
        <v>558</v>
      </c>
      <c r="N3" t="s">
        <v>559</v>
      </c>
      <c r="O3" t="s">
        <v>560</v>
      </c>
      <c r="P3" t="s">
        <v>561</v>
      </c>
      <c r="Q3" t="s">
        <v>562</v>
      </c>
      <c r="R3" t="s">
        <v>563</v>
      </c>
      <c r="S3" t="s">
        <v>564</v>
      </c>
      <c r="T3" t="s">
        <v>565</v>
      </c>
      <c r="U3" t="s">
        <v>566</v>
      </c>
      <c r="V3" s="120" t="s">
        <v>567</v>
      </c>
      <c r="W3" s="122" t="s">
        <v>568</v>
      </c>
      <c r="X3" t="s">
        <v>46</v>
      </c>
      <c r="Z3" s="1061" t="b">
        <f>TRUE()</f>
        <v>1</v>
      </c>
      <c r="AA3" s="1061"/>
      <c r="AB3" s="1069" t="s">
        <v>645</v>
      </c>
      <c r="AC3" s="1070" t="s">
        <v>646</v>
      </c>
      <c r="AE3" s="1071" t="s">
        <v>655</v>
      </c>
      <c r="AF3" s="1072">
        <v>15</v>
      </c>
      <c r="AG3" s="1072">
        <v>15</v>
      </c>
      <c r="AH3" s="1073">
        <v>1</v>
      </c>
      <c r="AI3" s="1073">
        <f>AG3-AH3*2</f>
        <v>13</v>
      </c>
      <c r="AJ3" s="1073">
        <v>0.63</v>
      </c>
      <c r="AK3" s="1073">
        <v>0.35099999999999998</v>
      </c>
    </row>
    <row r="4" spans="1:37" ht="45">
      <c r="A4" t="s">
        <v>305</v>
      </c>
      <c r="B4" t="s">
        <v>52</v>
      </c>
      <c r="C4" t="s">
        <v>305</v>
      </c>
      <c r="D4" t="s">
        <v>67</v>
      </c>
      <c r="E4" t="s">
        <v>67</v>
      </c>
      <c r="F4" t="s">
        <v>331</v>
      </c>
      <c r="G4" t="s">
        <v>569</v>
      </c>
      <c r="H4" t="s">
        <v>114</v>
      </c>
      <c r="I4" t="s">
        <v>570</v>
      </c>
      <c r="J4" t="s">
        <v>571</v>
      </c>
      <c r="K4" t="s">
        <v>572</v>
      </c>
      <c r="L4" t="s">
        <v>573</v>
      </c>
      <c r="M4" t="s">
        <v>574</v>
      </c>
      <c r="N4" t="s">
        <v>575</v>
      </c>
      <c r="O4" t="s">
        <v>576</v>
      </c>
      <c r="P4" t="s">
        <v>577</v>
      </c>
      <c r="Q4" t="s">
        <v>578</v>
      </c>
      <c r="R4" t="s">
        <v>579</v>
      </c>
      <c r="S4" t="s">
        <v>132</v>
      </c>
      <c r="T4" t="s">
        <v>580</v>
      </c>
      <c r="U4" t="s">
        <v>403</v>
      </c>
      <c r="V4" s="120" t="s">
        <v>581</v>
      </c>
      <c r="W4" s="122" t="s">
        <v>582</v>
      </c>
      <c r="X4" t="s">
        <v>583</v>
      </c>
      <c r="Z4" s="1061" t="b">
        <f>FALSE()</f>
        <v>0</v>
      </c>
      <c r="AA4" s="1061"/>
      <c r="AB4" s="1069" t="s">
        <v>653</v>
      </c>
      <c r="AC4" s="1070" t="s">
        <v>654</v>
      </c>
      <c r="AE4" s="1074" t="s">
        <v>658</v>
      </c>
      <c r="AF4" s="1072">
        <v>18</v>
      </c>
      <c r="AG4" s="1072">
        <v>18</v>
      </c>
      <c r="AH4" s="1073">
        <v>1</v>
      </c>
      <c r="AI4" s="1073">
        <f t="shared" ref="AI4:AI12" si="0">AG4-AH4*2</f>
        <v>16</v>
      </c>
      <c r="AJ4" s="1073">
        <v>0.20100000000000001</v>
      </c>
      <c r="AK4" s="1073">
        <v>0.42599999999999999</v>
      </c>
    </row>
    <row r="5" spans="1:37" ht="30">
      <c r="A5" t="s">
        <v>306</v>
      </c>
      <c r="B5" t="s">
        <v>584</v>
      </c>
      <c r="C5" t="s">
        <v>585</v>
      </c>
      <c r="E5" t="s">
        <v>550</v>
      </c>
      <c r="F5" t="s">
        <v>586</v>
      </c>
      <c r="G5" t="s">
        <v>587</v>
      </c>
      <c r="I5" t="s">
        <v>588</v>
      </c>
      <c r="J5" t="s">
        <v>589</v>
      </c>
      <c r="K5" t="s">
        <v>590</v>
      </c>
      <c r="L5" t="s">
        <v>591</v>
      </c>
      <c r="M5" t="s">
        <v>592</v>
      </c>
      <c r="N5" t="s">
        <v>593</v>
      </c>
      <c r="O5" t="s">
        <v>594</v>
      </c>
      <c r="P5" t="s">
        <v>595</v>
      </c>
      <c r="Q5" t="s">
        <v>596</v>
      </c>
      <c r="R5" t="s">
        <v>597</v>
      </c>
      <c r="S5" t="s">
        <v>598</v>
      </c>
      <c r="T5" t="s">
        <v>599</v>
      </c>
      <c r="U5" t="s">
        <v>600</v>
      </c>
      <c r="V5" s="120" t="s">
        <v>601</v>
      </c>
      <c r="X5" t="s">
        <v>602</v>
      </c>
      <c r="Z5" s="1061"/>
      <c r="AA5" s="1061"/>
      <c r="AB5" s="1069" t="s">
        <v>656</v>
      </c>
      <c r="AC5" s="1070" t="s">
        <v>657</v>
      </c>
      <c r="AE5" s="1071" t="s">
        <v>659</v>
      </c>
      <c r="AF5" s="1072">
        <v>22</v>
      </c>
      <c r="AG5" s="1072">
        <v>22</v>
      </c>
      <c r="AH5" s="1073">
        <v>1.2</v>
      </c>
      <c r="AI5" s="1073">
        <f t="shared" si="0"/>
        <v>19.600000000000001</v>
      </c>
      <c r="AJ5" s="1073">
        <v>0.30199999999999999</v>
      </c>
      <c r="AK5" s="1073">
        <v>0.625</v>
      </c>
    </row>
    <row r="6" spans="1:37" ht="30">
      <c r="A6" t="s">
        <v>603</v>
      </c>
      <c r="C6" t="s">
        <v>604</v>
      </c>
      <c r="J6" t="s">
        <v>605</v>
      </c>
      <c r="K6" t="s">
        <v>606</v>
      </c>
      <c r="L6" t="s">
        <v>607</v>
      </c>
      <c r="N6" t="s">
        <v>608</v>
      </c>
      <c r="P6" t="s">
        <v>609</v>
      </c>
      <c r="R6" t="s">
        <v>610</v>
      </c>
      <c r="U6" t="s">
        <v>611</v>
      </c>
      <c r="V6" s="120" t="s">
        <v>612</v>
      </c>
      <c r="AE6" s="1074" t="s">
        <v>660</v>
      </c>
      <c r="AF6" s="1072">
        <v>28</v>
      </c>
      <c r="AG6" s="1072">
        <v>28</v>
      </c>
      <c r="AH6" s="1073">
        <v>1.2</v>
      </c>
      <c r="AI6" s="1073">
        <f t="shared" si="0"/>
        <v>25.6</v>
      </c>
      <c r="AJ6" s="1073">
        <v>0.51400000000000001</v>
      </c>
      <c r="AK6" s="1073">
        <v>0.80500000000000005</v>
      </c>
    </row>
    <row r="7" spans="1:37" ht="45">
      <c r="J7" t="s">
        <v>613</v>
      </c>
      <c r="K7" t="s">
        <v>614</v>
      </c>
      <c r="L7" t="s">
        <v>615</v>
      </c>
      <c r="N7" t="s">
        <v>616</v>
      </c>
      <c r="R7" t="s">
        <v>617</v>
      </c>
      <c r="U7" t="s">
        <v>618</v>
      </c>
      <c r="V7" s="120" t="s">
        <v>619</v>
      </c>
      <c r="AE7" s="1071" t="s">
        <v>661</v>
      </c>
      <c r="AF7" s="1072">
        <v>35</v>
      </c>
      <c r="AG7" s="1072">
        <v>35</v>
      </c>
      <c r="AH7" s="1073">
        <v>1.5</v>
      </c>
      <c r="AI7" s="1073">
        <f t="shared" si="0"/>
        <v>32</v>
      </c>
      <c r="AJ7" s="1073">
        <v>0.80400000000000005</v>
      </c>
      <c r="AK7" s="1073">
        <v>1.258</v>
      </c>
    </row>
    <row r="8" spans="1:37">
      <c r="AE8" s="1074" t="s">
        <v>662</v>
      </c>
      <c r="AF8" s="1072">
        <v>42</v>
      </c>
      <c r="AG8" s="1072">
        <v>42</v>
      </c>
      <c r="AH8" s="1073">
        <v>1.5</v>
      </c>
      <c r="AI8" s="1073">
        <f t="shared" si="0"/>
        <v>39</v>
      </c>
      <c r="AJ8" s="1073">
        <v>1.194</v>
      </c>
      <c r="AK8" s="1073">
        <v>1.5209999999999999</v>
      </c>
    </row>
    <row r="9" spans="1:37">
      <c r="AE9" s="1074" t="s">
        <v>663</v>
      </c>
      <c r="AF9" s="1072">
        <v>54</v>
      </c>
      <c r="AG9" s="1072">
        <v>54</v>
      </c>
      <c r="AH9" s="1073">
        <v>1.5</v>
      </c>
      <c r="AI9" s="1073">
        <f t="shared" si="0"/>
        <v>51</v>
      </c>
      <c r="AJ9" s="1073">
        <v>2.0419999999999998</v>
      </c>
      <c r="AK9" s="1073">
        <v>1.972</v>
      </c>
    </row>
    <row r="10" spans="1:37">
      <c r="AE10" s="1074" t="s">
        <v>664</v>
      </c>
      <c r="AF10" s="1072">
        <v>76</v>
      </c>
      <c r="AG10" s="1072">
        <v>76.099999999999994</v>
      </c>
      <c r="AH10" s="1073">
        <v>2</v>
      </c>
      <c r="AI10" s="1073">
        <f t="shared" si="0"/>
        <v>72.099999999999994</v>
      </c>
      <c r="AJ10" s="1073">
        <v>4.08</v>
      </c>
      <c r="AK10" s="1073">
        <v>3.7109999999999999</v>
      </c>
    </row>
    <row r="11" spans="1:37">
      <c r="AE11" s="1071" t="s">
        <v>665</v>
      </c>
      <c r="AF11" s="1072">
        <v>88</v>
      </c>
      <c r="AG11" s="1072">
        <v>88.9</v>
      </c>
      <c r="AH11" s="1073">
        <v>2</v>
      </c>
      <c r="AI11" s="1073">
        <f t="shared" si="0"/>
        <v>84.9</v>
      </c>
      <c r="AJ11" s="1073">
        <v>5.66</v>
      </c>
      <c r="AK11" s="1073">
        <v>4.3520000000000003</v>
      </c>
    </row>
    <row r="12" spans="1:37">
      <c r="AE12" s="1071" t="s">
        <v>666</v>
      </c>
      <c r="AF12" s="1072">
        <v>108</v>
      </c>
      <c r="AG12" s="1072">
        <v>108</v>
      </c>
      <c r="AH12" s="1073">
        <v>2</v>
      </c>
      <c r="AI12" s="1073">
        <f t="shared" si="0"/>
        <v>104</v>
      </c>
      <c r="AJ12" s="1073">
        <v>8.49</v>
      </c>
      <c r="AK12" s="1073">
        <v>5.3079999999999998</v>
      </c>
    </row>
  </sheetData>
  <sheetProtection algorithmName="SHA-512" hashValue="27TvioWaw1CEv2NQIdpwi3q5SlTKYO2tMjwoz1A5AxLePxCHQk77L04/k/qXPeY0O4ya06WPHAet43KOpnueKQ==" saltValue="2zIQXuM95My8y4CSRbsTQw==" spinCount="100000" sheet="1" objects="1" scenarios="1"/>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BC8AA-177E-4D47-9D53-28EAFC5D8B62}">
  <sheetPr codeName="Feuil21">
    <tabColor theme="5" tint="0.59999389629810485"/>
  </sheetPr>
  <dimension ref="A1:D2671"/>
  <sheetViews>
    <sheetView workbookViewId="0"/>
  </sheetViews>
  <sheetFormatPr baseColWidth="10" defaultRowHeight="15"/>
  <cols>
    <col min="1" max="1" width="32.28515625" bestFit="1" customWidth="1"/>
    <col min="2" max="2" width="81.140625" bestFit="1" customWidth="1"/>
    <col min="3" max="3" width="14.85546875" bestFit="1" customWidth="1"/>
    <col min="4" max="4" width="10.7109375" bestFit="1" customWidth="1"/>
  </cols>
  <sheetData>
    <row r="1" spans="1:4">
      <c r="A1" t="s">
        <v>1144</v>
      </c>
      <c r="B1" t="s">
        <v>1145</v>
      </c>
      <c r="C1" t="s">
        <v>1146</v>
      </c>
      <c r="D1" t="s">
        <v>420</v>
      </c>
    </row>
    <row r="2" spans="1:4">
      <c r="A2">
        <v>3000</v>
      </c>
      <c r="B2" s="1219" t="s">
        <v>1147</v>
      </c>
      <c r="C2">
        <v>2.2000000000000002</v>
      </c>
      <c r="D2" s="91">
        <v>44223</v>
      </c>
    </row>
    <row r="3" spans="1:4">
      <c r="A3" t="s">
        <v>1148</v>
      </c>
      <c r="B3" s="1219" t="s">
        <v>1149</v>
      </c>
      <c r="C3">
        <v>256.3</v>
      </c>
      <c r="D3" s="91">
        <v>44223</v>
      </c>
    </row>
    <row r="4" spans="1:4">
      <c r="A4" t="s">
        <v>1150</v>
      </c>
      <c r="B4" s="1219" t="s">
        <v>1151</v>
      </c>
      <c r="C4">
        <v>704</v>
      </c>
      <c r="D4" s="91">
        <v>44223</v>
      </c>
    </row>
    <row r="5" spans="1:4">
      <c r="A5">
        <v>13978</v>
      </c>
      <c r="B5" s="1219" t="s">
        <v>1152</v>
      </c>
      <c r="C5">
        <v>0.1</v>
      </c>
      <c r="D5" s="91">
        <v>44223</v>
      </c>
    </row>
    <row r="6" spans="1:4">
      <c r="A6">
        <v>14532</v>
      </c>
      <c r="B6" s="1219" t="s">
        <v>1153</v>
      </c>
      <c r="C6">
        <v>0.30000000000000004</v>
      </c>
      <c r="D6" s="91">
        <v>44223</v>
      </c>
    </row>
    <row r="7" spans="1:4">
      <c r="A7" t="s">
        <v>1154</v>
      </c>
      <c r="B7" s="1219" t="s">
        <v>1155</v>
      </c>
      <c r="C7">
        <v>0.62</v>
      </c>
      <c r="D7" s="91">
        <v>44418</v>
      </c>
    </row>
    <row r="8" spans="1:4">
      <c r="A8">
        <v>14842</v>
      </c>
      <c r="B8" s="1219" t="s">
        <v>1156</v>
      </c>
      <c r="C8">
        <v>0.30000000000000004</v>
      </c>
      <c r="D8" s="91">
        <v>44223</v>
      </c>
    </row>
    <row r="9" spans="1:4">
      <c r="A9">
        <v>20214</v>
      </c>
      <c r="B9" s="1219" t="s">
        <v>1157</v>
      </c>
      <c r="C9">
        <v>8.7999999999999989</v>
      </c>
      <c r="D9" s="91">
        <v>44223</v>
      </c>
    </row>
    <row r="10" spans="1:4">
      <c r="A10">
        <v>30953</v>
      </c>
      <c r="B10" s="1219" t="s">
        <v>1158</v>
      </c>
      <c r="C10">
        <v>0.6</v>
      </c>
      <c r="D10" s="91">
        <v>44223</v>
      </c>
    </row>
    <row r="11" spans="1:4">
      <c r="A11">
        <v>31904</v>
      </c>
      <c r="B11" s="1219" t="s">
        <v>1159</v>
      </c>
      <c r="C11">
        <v>0.30000000000000004</v>
      </c>
      <c r="D11" s="91">
        <v>44223</v>
      </c>
    </row>
    <row r="12" spans="1:4">
      <c r="A12">
        <v>31913</v>
      </c>
      <c r="B12" s="1219" t="s">
        <v>1160</v>
      </c>
      <c r="C12">
        <v>0.2</v>
      </c>
      <c r="D12" s="91">
        <v>44223</v>
      </c>
    </row>
    <row r="13" spans="1:4">
      <c r="A13">
        <v>31916</v>
      </c>
      <c r="B13" s="1219" t="s">
        <v>1161</v>
      </c>
      <c r="C13">
        <v>0.30000000000000004</v>
      </c>
      <c r="D13" s="91">
        <v>44223</v>
      </c>
    </row>
    <row r="14" spans="1:4">
      <c r="A14">
        <v>31919</v>
      </c>
      <c r="B14" s="1219" t="s">
        <v>1162</v>
      </c>
      <c r="C14">
        <v>0.30000000000000004</v>
      </c>
      <c r="D14" s="91">
        <v>44223</v>
      </c>
    </row>
    <row r="15" spans="1:4">
      <c r="A15">
        <v>32032</v>
      </c>
      <c r="B15" s="1219" t="s">
        <v>1163</v>
      </c>
      <c r="C15">
        <v>0.1</v>
      </c>
      <c r="D15" s="91">
        <v>44223</v>
      </c>
    </row>
    <row r="16" spans="1:4">
      <c r="A16" t="s">
        <v>1164</v>
      </c>
      <c r="B16" s="1219" t="s">
        <v>1165</v>
      </c>
      <c r="C16">
        <v>0.25</v>
      </c>
      <c r="D16" s="91">
        <v>44418</v>
      </c>
    </row>
    <row r="17" spans="1:4">
      <c r="A17" t="s">
        <v>1166</v>
      </c>
      <c r="B17" s="1219" t="s">
        <v>1167</v>
      </c>
      <c r="C17">
        <v>0.1</v>
      </c>
      <c r="D17" s="91">
        <v>44223</v>
      </c>
    </row>
    <row r="18" spans="1:4">
      <c r="A18" t="s">
        <v>1168</v>
      </c>
      <c r="B18" s="1219" t="s">
        <v>1169</v>
      </c>
      <c r="C18">
        <v>0.1</v>
      </c>
      <c r="D18" s="91">
        <v>44418</v>
      </c>
    </row>
    <row r="19" spans="1:4">
      <c r="A19">
        <v>37669</v>
      </c>
      <c r="B19" s="1219" t="s">
        <v>1170</v>
      </c>
      <c r="C19">
        <v>0.4</v>
      </c>
      <c r="D19" s="91">
        <v>44223</v>
      </c>
    </row>
    <row r="20" spans="1:4">
      <c r="A20">
        <v>38830</v>
      </c>
      <c r="B20" s="1219" t="s">
        <v>1171</v>
      </c>
      <c r="C20">
        <v>9.2999999999999989</v>
      </c>
      <c r="D20" s="91">
        <v>44223</v>
      </c>
    </row>
    <row r="21" spans="1:4">
      <c r="A21">
        <v>39098</v>
      </c>
      <c r="B21" s="1219" t="s">
        <v>1172</v>
      </c>
      <c r="C21">
        <v>1.6</v>
      </c>
      <c r="D21" s="91">
        <v>44223</v>
      </c>
    </row>
    <row r="22" spans="1:4">
      <c r="A22" t="s">
        <v>1173</v>
      </c>
      <c r="B22" s="1219" t="s">
        <v>1174</v>
      </c>
      <c r="C22">
        <v>0.5</v>
      </c>
      <c r="D22" s="91">
        <v>44223</v>
      </c>
    </row>
    <row r="23" spans="1:4">
      <c r="A23">
        <v>98023</v>
      </c>
      <c r="B23" s="1219" t="s">
        <v>1175</v>
      </c>
      <c r="C23">
        <v>0.7</v>
      </c>
      <c r="D23" s="91">
        <v>44223</v>
      </c>
    </row>
    <row r="24" spans="1:4">
      <c r="A24">
        <v>98024</v>
      </c>
      <c r="B24" s="1219" t="s">
        <v>1176</v>
      </c>
      <c r="C24">
        <v>0.7</v>
      </c>
      <c r="D24" s="91">
        <v>44223</v>
      </c>
    </row>
    <row r="25" spans="1:4">
      <c r="A25">
        <v>98025</v>
      </c>
      <c r="B25" s="1219" t="s">
        <v>1177</v>
      </c>
      <c r="C25">
        <v>1</v>
      </c>
      <c r="D25" s="91">
        <v>44223</v>
      </c>
    </row>
    <row r="26" spans="1:4">
      <c r="A26" t="s">
        <v>1178</v>
      </c>
      <c r="B26" s="1219" t="s">
        <v>1179</v>
      </c>
      <c r="C26">
        <v>0.57999999999999996</v>
      </c>
      <c r="D26" s="91">
        <v>44418</v>
      </c>
    </row>
    <row r="27" spans="1:4">
      <c r="A27">
        <v>558241</v>
      </c>
      <c r="B27" s="1219" t="s">
        <v>1180</v>
      </c>
      <c r="C27">
        <v>6</v>
      </c>
      <c r="D27" s="91">
        <v>44223</v>
      </c>
    </row>
    <row r="28" spans="1:4">
      <c r="A28" t="s">
        <v>1181</v>
      </c>
      <c r="B28" s="1219" t="s">
        <v>1182</v>
      </c>
      <c r="C28">
        <v>18.97</v>
      </c>
      <c r="D28" s="91">
        <v>44418</v>
      </c>
    </row>
    <row r="29" spans="1:4">
      <c r="A29" t="s">
        <v>1183</v>
      </c>
      <c r="B29" s="1219" t="s">
        <v>1184</v>
      </c>
      <c r="C29">
        <v>7149.2000000000007</v>
      </c>
      <c r="D29" s="91">
        <v>44223</v>
      </c>
    </row>
    <row r="30" spans="1:4">
      <c r="A30" t="s">
        <v>1185</v>
      </c>
      <c r="B30" s="1219" t="s">
        <v>1186</v>
      </c>
      <c r="C30">
        <v>27.18</v>
      </c>
      <c r="D30" s="91">
        <v>44223</v>
      </c>
    </row>
    <row r="31" spans="1:4">
      <c r="A31" t="s">
        <v>1187</v>
      </c>
      <c r="B31" s="1219" t="s">
        <v>1188</v>
      </c>
      <c r="C31">
        <v>382.1</v>
      </c>
      <c r="D31" s="91">
        <v>44223</v>
      </c>
    </row>
    <row r="32" spans="1:4">
      <c r="A32" t="s">
        <v>1189</v>
      </c>
      <c r="B32" s="1219" t="s">
        <v>1190</v>
      </c>
      <c r="C32">
        <v>4.99</v>
      </c>
      <c r="D32" s="91">
        <v>44418</v>
      </c>
    </row>
    <row r="33" spans="1:4">
      <c r="A33" t="s">
        <v>1191</v>
      </c>
      <c r="B33" s="1219"/>
      <c r="C33">
        <v>4.34</v>
      </c>
      <c r="D33" s="91">
        <v>44413</v>
      </c>
    </row>
    <row r="34" spans="1:4">
      <c r="A34" t="s">
        <v>1192</v>
      </c>
      <c r="B34" s="1219" t="s">
        <v>1193</v>
      </c>
      <c r="C34">
        <v>3475.2</v>
      </c>
      <c r="D34" s="91">
        <v>44462</v>
      </c>
    </row>
    <row r="35" spans="1:4">
      <c r="A35" t="s">
        <v>1194</v>
      </c>
      <c r="B35" s="1219" t="s">
        <v>1195</v>
      </c>
      <c r="C35">
        <v>458.85</v>
      </c>
      <c r="D35" s="91">
        <v>44462</v>
      </c>
    </row>
    <row r="36" spans="1:4">
      <c r="A36" t="s">
        <v>1196</v>
      </c>
      <c r="B36" s="1219" t="s">
        <v>1197</v>
      </c>
      <c r="C36">
        <v>13.43</v>
      </c>
      <c r="D36" s="91">
        <v>44462</v>
      </c>
    </row>
    <row r="37" spans="1:4">
      <c r="A37" t="s">
        <v>1198</v>
      </c>
      <c r="B37" s="1219" t="s">
        <v>1199</v>
      </c>
      <c r="C37">
        <v>31.13</v>
      </c>
      <c r="D37" s="91">
        <v>44462</v>
      </c>
    </row>
    <row r="38" spans="1:4">
      <c r="A38" t="s">
        <v>1200</v>
      </c>
      <c r="B38" s="1219" t="s">
        <v>1201</v>
      </c>
      <c r="C38">
        <v>399</v>
      </c>
      <c r="D38" s="91">
        <v>44462</v>
      </c>
    </row>
    <row r="39" spans="1:4">
      <c r="A39" t="s">
        <v>1202</v>
      </c>
      <c r="B39" s="1219" t="s">
        <v>1203</v>
      </c>
      <c r="C39">
        <v>1413.12</v>
      </c>
      <c r="D39" s="91">
        <v>44462</v>
      </c>
    </row>
    <row r="40" spans="1:4">
      <c r="A40">
        <v>14834</v>
      </c>
      <c r="B40" s="1219" t="s">
        <v>1204</v>
      </c>
      <c r="C40">
        <v>0.21</v>
      </c>
      <c r="D40" s="91">
        <v>44580</v>
      </c>
    </row>
    <row r="41" spans="1:4">
      <c r="A41" t="s">
        <v>1205</v>
      </c>
      <c r="B41" s="1219" t="s">
        <v>1206</v>
      </c>
      <c r="C41">
        <v>0.63</v>
      </c>
      <c r="D41" s="91">
        <v>44580</v>
      </c>
    </row>
    <row r="42" spans="1:4">
      <c r="A42">
        <v>130248</v>
      </c>
      <c r="B42" s="1219" t="s">
        <v>1207</v>
      </c>
      <c r="C42">
        <v>1.91</v>
      </c>
      <c r="D42" s="91">
        <v>44580</v>
      </c>
    </row>
    <row r="43" spans="1:4">
      <c r="A43">
        <v>28800</v>
      </c>
      <c r="B43" s="1219" t="s">
        <v>1208</v>
      </c>
      <c r="C43">
        <v>0.44</v>
      </c>
      <c r="D43" s="91">
        <v>44580</v>
      </c>
    </row>
    <row r="44" spans="1:4">
      <c r="A44">
        <v>40142</v>
      </c>
      <c r="B44" s="1219" t="s">
        <v>1209</v>
      </c>
      <c r="C44">
        <v>7.62</v>
      </c>
      <c r="D44" s="91">
        <v>44580</v>
      </c>
    </row>
    <row r="45" spans="1:4">
      <c r="A45">
        <v>304032</v>
      </c>
      <c r="B45" s="1219" t="s">
        <v>1210</v>
      </c>
      <c r="C45">
        <v>0.97</v>
      </c>
      <c r="D45" s="91">
        <v>44580</v>
      </c>
    </row>
    <row r="46" spans="1:4">
      <c r="A46">
        <v>31660812</v>
      </c>
      <c r="B46" s="1219" t="s">
        <v>1211</v>
      </c>
      <c r="C46">
        <v>5.38</v>
      </c>
      <c r="D46" s="91">
        <v>44580</v>
      </c>
    </row>
    <row r="47" spans="1:4">
      <c r="A47" t="s">
        <v>1212</v>
      </c>
      <c r="B47" s="1219"/>
      <c r="C47">
        <v>227</v>
      </c>
      <c r="D47" s="91">
        <v>44562</v>
      </c>
    </row>
    <row r="48" spans="1:4">
      <c r="A48" t="s">
        <v>1213</v>
      </c>
      <c r="B48" s="1219"/>
      <c r="C48">
        <v>350</v>
      </c>
      <c r="D48" s="91">
        <v>44563</v>
      </c>
    </row>
    <row r="49" spans="1:4">
      <c r="A49" t="s">
        <v>1214</v>
      </c>
      <c r="B49" s="1219"/>
      <c r="C49">
        <v>69</v>
      </c>
      <c r="D49" s="91">
        <v>44564</v>
      </c>
    </row>
    <row r="50" spans="1:4">
      <c r="A50" t="s">
        <v>1215</v>
      </c>
      <c r="B50" s="1219"/>
      <c r="C50">
        <v>69</v>
      </c>
      <c r="D50" s="91">
        <v>44565</v>
      </c>
    </row>
    <row r="51" spans="1:4">
      <c r="A51" t="s">
        <v>1216</v>
      </c>
      <c r="B51" s="1219"/>
      <c r="C51">
        <v>74</v>
      </c>
      <c r="D51" s="91">
        <v>44566</v>
      </c>
    </row>
    <row r="52" spans="1:4">
      <c r="A52" t="s">
        <v>1217</v>
      </c>
      <c r="B52" s="1219"/>
      <c r="C52">
        <v>74</v>
      </c>
      <c r="D52" s="91">
        <v>44567</v>
      </c>
    </row>
    <row r="53" spans="1:4">
      <c r="A53" t="s">
        <v>1218</v>
      </c>
      <c r="B53" s="1219"/>
      <c r="C53">
        <v>90</v>
      </c>
      <c r="D53" s="91">
        <v>44568</v>
      </c>
    </row>
    <row r="54" spans="1:4">
      <c r="A54" t="s">
        <v>1219</v>
      </c>
      <c r="B54" s="1219"/>
      <c r="C54">
        <v>168</v>
      </c>
      <c r="D54" s="91">
        <v>44569</v>
      </c>
    </row>
    <row r="55" spans="1:4">
      <c r="A55" t="s">
        <v>1220</v>
      </c>
      <c r="B55" s="1219"/>
      <c r="C55">
        <v>227.95</v>
      </c>
      <c r="D55" s="91">
        <v>44570</v>
      </c>
    </row>
    <row r="56" spans="1:4">
      <c r="A56" t="s">
        <v>1221</v>
      </c>
      <c r="B56" s="1219"/>
      <c r="C56">
        <v>235</v>
      </c>
      <c r="D56" s="91">
        <v>44571</v>
      </c>
    </row>
    <row r="57" spans="1:4">
      <c r="A57" t="s">
        <v>1222</v>
      </c>
      <c r="B57" s="1219"/>
      <c r="C57">
        <v>35</v>
      </c>
      <c r="D57" s="91">
        <v>44572</v>
      </c>
    </row>
    <row r="58" spans="1:4">
      <c r="A58" t="s">
        <v>1223</v>
      </c>
      <c r="B58" s="1219"/>
      <c r="C58">
        <v>225</v>
      </c>
      <c r="D58" s="91">
        <v>44573</v>
      </c>
    </row>
    <row r="59" spans="1:4">
      <c r="A59" t="s">
        <v>1224</v>
      </c>
      <c r="B59" s="1219"/>
      <c r="C59">
        <v>37</v>
      </c>
      <c r="D59" s="91">
        <v>44574</v>
      </c>
    </row>
    <row r="60" spans="1:4">
      <c r="A60" t="s">
        <v>1225</v>
      </c>
      <c r="B60" s="1219"/>
      <c r="C60">
        <v>37</v>
      </c>
      <c r="D60" s="91">
        <v>44575</v>
      </c>
    </row>
    <row r="61" spans="1:4">
      <c r="A61" t="s">
        <v>1226</v>
      </c>
      <c r="B61" s="1219"/>
      <c r="C61">
        <v>42</v>
      </c>
      <c r="D61" s="91">
        <v>44576</v>
      </c>
    </row>
    <row r="62" spans="1:4">
      <c r="A62" t="s">
        <v>1227</v>
      </c>
      <c r="B62" s="1219"/>
      <c r="C62">
        <v>42</v>
      </c>
      <c r="D62" s="91">
        <v>44577</v>
      </c>
    </row>
    <row r="63" spans="1:4">
      <c r="A63" t="s">
        <v>1228</v>
      </c>
      <c r="B63" s="1219"/>
      <c r="C63">
        <v>48</v>
      </c>
      <c r="D63" s="91">
        <v>44578</v>
      </c>
    </row>
    <row r="64" spans="1:4">
      <c r="A64" t="s">
        <v>1229</v>
      </c>
      <c r="B64" s="1219"/>
      <c r="C64">
        <v>48</v>
      </c>
      <c r="D64" s="91">
        <v>44579</v>
      </c>
    </row>
    <row r="65" spans="1:4">
      <c r="A65" t="s">
        <v>1230</v>
      </c>
      <c r="B65" s="1219"/>
      <c r="C65">
        <v>53</v>
      </c>
      <c r="D65" s="91">
        <v>44580</v>
      </c>
    </row>
    <row r="66" spans="1:4">
      <c r="A66" t="s">
        <v>1231</v>
      </c>
      <c r="B66" s="1219"/>
      <c r="C66">
        <v>53</v>
      </c>
      <c r="D66" s="91">
        <v>44581</v>
      </c>
    </row>
    <row r="67" spans="1:4">
      <c r="A67" t="s">
        <v>1232</v>
      </c>
      <c r="B67" s="1219"/>
      <c r="C67">
        <v>74</v>
      </c>
      <c r="D67" s="91">
        <v>44582</v>
      </c>
    </row>
    <row r="68" spans="1:4">
      <c r="A68" t="s">
        <v>1233</v>
      </c>
      <c r="B68" s="1219"/>
      <c r="C68">
        <v>11</v>
      </c>
      <c r="D68" s="91">
        <v>44583</v>
      </c>
    </row>
    <row r="69" spans="1:4">
      <c r="A69" t="s">
        <v>1234</v>
      </c>
      <c r="B69" s="1219"/>
      <c r="C69">
        <v>21</v>
      </c>
      <c r="D69" s="91">
        <v>44584</v>
      </c>
    </row>
    <row r="70" spans="1:4">
      <c r="A70" t="s">
        <v>646</v>
      </c>
      <c r="B70" s="1219"/>
      <c r="C70">
        <v>26</v>
      </c>
      <c r="D70" s="91">
        <v>44585</v>
      </c>
    </row>
    <row r="71" spans="1:4">
      <c r="A71" t="s">
        <v>1235</v>
      </c>
      <c r="B71" s="1219"/>
      <c r="C71">
        <v>31</v>
      </c>
      <c r="D71" s="91">
        <v>44586</v>
      </c>
    </row>
    <row r="72" spans="1:4">
      <c r="A72" t="s">
        <v>1236</v>
      </c>
      <c r="B72" s="1219"/>
      <c r="C72">
        <v>36</v>
      </c>
      <c r="D72" s="91">
        <v>44587</v>
      </c>
    </row>
    <row r="73" spans="1:4">
      <c r="A73" t="s">
        <v>1237</v>
      </c>
      <c r="B73" s="1219"/>
      <c r="C73">
        <v>89</v>
      </c>
      <c r="D73" s="91">
        <v>44588</v>
      </c>
    </row>
    <row r="74" spans="1:4">
      <c r="A74" t="s">
        <v>1238</v>
      </c>
      <c r="B74" s="1219"/>
      <c r="C74">
        <v>89</v>
      </c>
      <c r="D74" s="91">
        <v>44589</v>
      </c>
    </row>
    <row r="75" spans="1:4">
      <c r="A75" t="s">
        <v>1239</v>
      </c>
      <c r="B75" s="1219"/>
      <c r="C75">
        <v>89</v>
      </c>
      <c r="D75" s="91">
        <v>44590</v>
      </c>
    </row>
    <row r="76" spans="1:4">
      <c r="A76" t="s">
        <v>657</v>
      </c>
      <c r="B76" s="1219"/>
      <c r="C76">
        <v>105</v>
      </c>
      <c r="D76" s="91">
        <v>44591</v>
      </c>
    </row>
    <row r="77" spans="1:4">
      <c r="A77" t="s">
        <v>1240</v>
      </c>
      <c r="B77" s="1219"/>
      <c r="C77">
        <v>105</v>
      </c>
      <c r="D77" s="91">
        <v>44592</v>
      </c>
    </row>
    <row r="78" spans="1:4">
      <c r="A78" t="s">
        <v>1241</v>
      </c>
      <c r="B78" s="1219"/>
      <c r="C78">
        <v>127</v>
      </c>
      <c r="D78" s="91">
        <v>44593</v>
      </c>
    </row>
    <row r="79" spans="1:4">
      <c r="A79" t="s">
        <v>1242</v>
      </c>
      <c r="B79" s="1219"/>
      <c r="C79">
        <v>36</v>
      </c>
      <c r="D79" s="91">
        <v>44594</v>
      </c>
    </row>
    <row r="80" spans="1:4">
      <c r="A80" t="s">
        <v>1243</v>
      </c>
      <c r="B80" s="1219"/>
      <c r="C80">
        <v>38</v>
      </c>
      <c r="D80" s="91">
        <v>44595</v>
      </c>
    </row>
    <row r="81" spans="1:4">
      <c r="A81" t="s">
        <v>1244</v>
      </c>
      <c r="B81" s="1219"/>
      <c r="C81">
        <v>41</v>
      </c>
      <c r="D81" s="91">
        <v>44596</v>
      </c>
    </row>
    <row r="82" spans="1:4">
      <c r="A82" t="s">
        <v>1245</v>
      </c>
      <c r="B82" s="1219"/>
      <c r="C82">
        <v>48</v>
      </c>
      <c r="D82" s="91">
        <v>44597</v>
      </c>
    </row>
    <row r="83" spans="1:4">
      <c r="A83" t="s">
        <v>1246</v>
      </c>
      <c r="B83" s="1219"/>
      <c r="C83">
        <v>54</v>
      </c>
      <c r="D83" s="91">
        <v>44598</v>
      </c>
    </row>
    <row r="84" spans="1:4">
      <c r="A84" t="s">
        <v>1247</v>
      </c>
      <c r="B84" s="1219"/>
      <c r="C84">
        <v>54</v>
      </c>
      <c r="D84" s="91">
        <v>44599</v>
      </c>
    </row>
    <row r="85" spans="1:4">
      <c r="A85" t="s">
        <v>1248</v>
      </c>
      <c r="B85" s="1219"/>
      <c r="C85">
        <v>74</v>
      </c>
      <c r="D85" s="91">
        <v>44600</v>
      </c>
    </row>
    <row r="86" spans="1:4">
      <c r="A86" t="s">
        <v>1249</v>
      </c>
      <c r="B86" s="1219"/>
      <c r="C86">
        <v>103</v>
      </c>
      <c r="D86" s="91">
        <v>44601</v>
      </c>
    </row>
    <row r="87" spans="1:4">
      <c r="A87" t="s">
        <v>1250</v>
      </c>
      <c r="B87" s="1219"/>
      <c r="C87">
        <v>40</v>
      </c>
      <c r="D87" s="91">
        <v>44602</v>
      </c>
    </row>
    <row r="88" spans="1:4">
      <c r="A88" t="s">
        <v>1251</v>
      </c>
      <c r="B88" s="1219"/>
      <c r="C88">
        <v>45</v>
      </c>
      <c r="D88" s="91">
        <v>44603</v>
      </c>
    </row>
    <row r="89" spans="1:4">
      <c r="A89" t="s">
        <v>1252</v>
      </c>
      <c r="B89" s="1219"/>
      <c r="C89">
        <v>50</v>
      </c>
      <c r="D89" s="91">
        <v>44604</v>
      </c>
    </row>
    <row r="90" spans="1:4">
      <c r="A90" t="s">
        <v>1253</v>
      </c>
      <c r="B90" s="1219"/>
      <c r="C90">
        <v>55</v>
      </c>
      <c r="D90" s="91">
        <v>44605</v>
      </c>
    </row>
    <row r="91" spans="1:4">
      <c r="A91" t="s">
        <v>1254</v>
      </c>
      <c r="B91" s="1219"/>
      <c r="C91">
        <v>60</v>
      </c>
      <c r="D91" s="91">
        <v>44606</v>
      </c>
    </row>
    <row r="92" spans="1:4">
      <c r="A92" t="s">
        <v>1255</v>
      </c>
      <c r="B92" s="1219"/>
      <c r="C92">
        <v>85</v>
      </c>
      <c r="D92" s="91">
        <v>44607</v>
      </c>
    </row>
    <row r="93" spans="1:4">
      <c r="A93" t="s">
        <v>1256</v>
      </c>
      <c r="B93" s="1219"/>
      <c r="C93">
        <v>92</v>
      </c>
      <c r="D93" s="91">
        <v>44608</v>
      </c>
    </row>
    <row r="94" spans="1:4">
      <c r="A94" t="s">
        <v>1257</v>
      </c>
      <c r="B94" s="1219"/>
      <c r="C94">
        <v>109</v>
      </c>
      <c r="D94" s="91">
        <v>44609</v>
      </c>
    </row>
    <row r="95" spans="1:4">
      <c r="A95" t="s">
        <v>1258</v>
      </c>
      <c r="B95" s="1219"/>
      <c r="C95">
        <v>109</v>
      </c>
      <c r="D95" s="91">
        <v>44610</v>
      </c>
    </row>
    <row r="96" spans="1:4">
      <c r="A96" t="s">
        <v>1259</v>
      </c>
      <c r="B96" s="1219"/>
      <c r="C96">
        <v>144</v>
      </c>
      <c r="D96" s="91">
        <v>44611</v>
      </c>
    </row>
    <row r="97" spans="1:4">
      <c r="A97" t="s">
        <v>1260</v>
      </c>
      <c r="B97" s="1219"/>
      <c r="C97">
        <v>150</v>
      </c>
      <c r="D97" s="91">
        <v>44612</v>
      </c>
    </row>
    <row r="98" spans="1:4">
      <c r="A98" t="s">
        <v>814</v>
      </c>
      <c r="B98" s="1219"/>
      <c r="C98">
        <v>120</v>
      </c>
      <c r="D98" s="91">
        <v>44613</v>
      </c>
    </row>
    <row r="99" spans="1:4">
      <c r="A99" t="s">
        <v>1261</v>
      </c>
      <c r="B99" s="1219"/>
      <c r="C99">
        <v>90</v>
      </c>
      <c r="D99" s="91">
        <v>44614</v>
      </c>
    </row>
    <row r="100" spans="1:4">
      <c r="A100" t="s">
        <v>1262</v>
      </c>
      <c r="B100" s="1219"/>
      <c r="C100">
        <v>103</v>
      </c>
      <c r="D100" s="91">
        <v>44615</v>
      </c>
    </row>
    <row r="101" spans="1:4">
      <c r="A101" t="s">
        <v>1263</v>
      </c>
      <c r="B101" s="1219"/>
      <c r="C101">
        <v>103</v>
      </c>
      <c r="D101" s="91">
        <v>44616</v>
      </c>
    </row>
    <row r="102" spans="1:4">
      <c r="A102" t="s">
        <v>1264</v>
      </c>
      <c r="B102" s="1219"/>
      <c r="C102">
        <v>124</v>
      </c>
      <c r="D102" s="91">
        <v>44617</v>
      </c>
    </row>
    <row r="103" spans="1:4">
      <c r="A103" t="s">
        <v>1265</v>
      </c>
      <c r="B103" s="1219"/>
      <c r="C103">
        <v>124</v>
      </c>
      <c r="D103" s="91">
        <v>44618</v>
      </c>
    </row>
    <row r="104" spans="1:4">
      <c r="A104" t="s">
        <v>1266</v>
      </c>
      <c r="B104" s="1219"/>
      <c r="C104">
        <v>74</v>
      </c>
      <c r="D104" s="91">
        <v>44619</v>
      </c>
    </row>
    <row r="105" spans="1:4">
      <c r="A105" t="s">
        <v>1267</v>
      </c>
      <c r="B105" s="1219"/>
      <c r="C105">
        <v>80</v>
      </c>
      <c r="D105" s="91">
        <v>44620</v>
      </c>
    </row>
    <row r="106" spans="1:4">
      <c r="A106" t="s">
        <v>1268</v>
      </c>
      <c r="B106" s="1219"/>
      <c r="C106">
        <v>110</v>
      </c>
      <c r="D106" s="91">
        <v>44621</v>
      </c>
    </row>
    <row r="107" spans="1:4">
      <c r="A107" t="s">
        <v>1269</v>
      </c>
      <c r="B107" s="1219"/>
      <c r="C107">
        <v>15</v>
      </c>
      <c r="D107" s="91">
        <v>44622</v>
      </c>
    </row>
    <row r="108" spans="1:4">
      <c r="A108" t="s">
        <v>1270</v>
      </c>
      <c r="B108" s="1219"/>
      <c r="C108">
        <v>17</v>
      </c>
      <c r="D108" s="91">
        <v>44623</v>
      </c>
    </row>
    <row r="109" spans="1:4">
      <c r="A109" t="s">
        <v>1271</v>
      </c>
      <c r="B109" s="1219"/>
      <c r="C109">
        <v>43</v>
      </c>
      <c r="D109" s="91">
        <v>44624</v>
      </c>
    </row>
    <row r="110" spans="1:4">
      <c r="A110" t="s">
        <v>1272</v>
      </c>
      <c r="B110" s="1219"/>
      <c r="C110">
        <v>47</v>
      </c>
      <c r="D110" s="91">
        <v>44625</v>
      </c>
    </row>
    <row r="111" spans="1:4">
      <c r="A111" t="s">
        <v>1273</v>
      </c>
      <c r="B111" s="1219"/>
      <c r="C111">
        <v>61</v>
      </c>
      <c r="D111" s="91">
        <v>44626</v>
      </c>
    </row>
    <row r="112" spans="1:4">
      <c r="A112" t="s">
        <v>1274</v>
      </c>
      <c r="B112" s="1219"/>
      <c r="C112">
        <v>61</v>
      </c>
      <c r="D112" s="91">
        <v>44627</v>
      </c>
    </row>
    <row r="113" spans="1:4">
      <c r="A113" t="s">
        <v>654</v>
      </c>
      <c r="B113" s="1219"/>
      <c r="C113">
        <v>67</v>
      </c>
      <c r="D113" s="91">
        <v>44628</v>
      </c>
    </row>
    <row r="114" spans="1:4">
      <c r="A114" t="s">
        <v>1275</v>
      </c>
      <c r="B114" s="1219"/>
      <c r="C114">
        <v>50</v>
      </c>
      <c r="D114" s="91">
        <v>44629</v>
      </c>
    </row>
    <row r="115" spans="1:4">
      <c r="A115" t="s">
        <v>1276</v>
      </c>
      <c r="B115" s="1219"/>
      <c r="C115">
        <v>102</v>
      </c>
      <c r="D115" s="91">
        <v>44630</v>
      </c>
    </row>
    <row r="116" spans="1:4">
      <c r="A116" t="s">
        <v>1277</v>
      </c>
      <c r="B116" s="1219"/>
      <c r="C116">
        <v>123</v>
      </c>
      <c r="D116" s="91">
        <v>44631</v>
      </c>
    </row>
    <row r="117" spans="1:4">
      <c r="A117" t="s">
        <v>1278</v>
      </c>
      <c r="B117" s="1219"/>
      <c r="C117">
        <v>8</v>
      </c>
      <c r="D117" s="91">
        <v>44632</v>
      </c>
    </row>
    <row r="118" spans="1:4">
      <c r="A118" t="s">
        <v>1279</v>
      </c>
      <c r="B118" s="1219"/>
      <c r="C118">
        <v>31</v>
      </c>
      <c r="D118" s="91">
        <v>44633</v>
      </c>
    </row>
    <row r="119" spans="1:4">
      <c r="A119" t="s">
        <v>1280</v>
      </c>
      <c r="B119" s="1219"/>
      <c r="C119">
        <v>46</v>
      </c>
      <c r="D119" s="91">
        <v>44634</v>
      </c>
    </row>
    <row r="120" spans="1:4">
      <c r="A120" t="s">
        <v>1281</v>
      </c>
      <c r="B120" s="1219"/>
      <c r="C120">
        <v>51</v>
      </c>
      <c r="D120" s="91">
        <v>44635</v>
      </c>
    </row>
    <row r="121" spans="1:4">
      <c r="A121" t="s">
        <v>1282</v>
      </c>
      <c r="B121" s="1219"/>
      <c r="C121">
        <v>41</v>
      </c>
      <c r="D121" s="91">
        <v>44636</v>
      </c>
    </row>
    <row r="122" spans="1:4">
      <c r="A122" t="s">
        <v>1283</v>
      </c>
      <c r="B122" s="1219"/>
      <c r="C122">
        <v>51</v>
      </c>
      <c r="D122" s="91">
        <v>44637</v>
      </c>
    </row>
    <row r="123" spans="1:4">
      <c r="A123" t="s">
        <v>1284</v>
      </c>
      <c r="B123" s="1219"/>
      <c r="C123">
        <v>41</v>
      </c>
      <c r="D123" s="91">
        <v>44638</v>
      </c>
    </row>
    <row r="124" spans="1:4">
      <c r="A124" t="s">
        <v>1285</v>
      </c>
      <c r="B124" s="1219"/>
      <c r="C124">
        <v>258.5</v>
      </c>
      <c r="D124" s="91">
        <v>44882</v>
      </c>
    </row>
    <row r="125" spans="1:4">
      <c r="A125" t="s">
        <v>1286</v>
      </c>
      <c r="B125" s="1219"/>
      <c r="C125">
        <v>464.20000000000005</v>
      </c>
      <c r="D125" s="91">
        <v>44882</v>
      </c>
    </row>
    <row r="126" spans="1:4">
      <c r="A126" t="s">
        <v>1287</v>
      </c>
      <c r="B126" s="1219"/>
      <c r="C126">
        <v>506.00000000000006</v>
      </c>
      <c r="D126" s="91">
        <v>44882</v>
      </c>
    </row>
    <row r="127" spans="1:4">
      <c r="A127" t="s">
        <v>1288</v>
      </c>
      <c r="B127" s="1219"/>
      <c r="C127">
        <v>168.3</v>
      </c>
      <c r="D127" s="91">
        <v>44882</v>
      </c>
    </row>
    <row r="128" spans="1:4">
      <c r="A128" t="s">
        <v>1289</v>
      </c>
      <c r="B128" s="1219"/>
      <c r="C128">
        <v>127.60000000000001</v>
      </c>
      <c r="D128" s="91">
        <v>44882</v>
      </c>
    </row>
    <row r="129" spans="1:4">
      <c r="A129" t="s">
        <v>1290</v>
      </c>
      <c r="B129" s="1219"/>
      <c r="C129">
        <v>158.4</v>
      </c>
      <c r="D129" s="91">
        <v>44882</v>
      </c>
    </row>
    <row r="130" spans="1:4">
      <c r="A130" t="s">
        <v>1291</v>
      </c>
      <c r="B130" s="1219"/>
      <c r="C130">
        <v>352</v>
      </c>
      <c r="D130" s="91">
        <v>44882</v>
      </c>
    </row>
    <row r="131" spans="1:4">
      <c r="A131" t="s">
        <v>1292</v>
      </c>
      <c r="B131" s="1219"/>
      <c r="C131">
        <v>203.50000000000003</v>
      </c>
      <c r="D131" s="91">
        <v>44882</v>
      </c>
    </row>
    <row r="132" spans="1:4">
      <c r="A132" t="s">
        <v>1293</v>
      </c>
      <c r="B132" s="1219"/>
      <c r="C132">
        <v>144.10000000000002</v>
      </c>
      <c r="D132" s="91">
        <v>44882</v>
      </c>
    </row>
    <row r="133" spans="1:4">
      <c r="A133" t="s">
        <v>1294</v>
      </c>
      <c r="B133" s="1219"/>
      <c r="C133">
        <v>392.70000000000005</v>
      </c>
      <c r="D133" s="91">
        <v>44882</v>
      </c>
    </row>
    <row r="134" spans="1:4">
      <c r="A134" t="s">
        <v>1295</v>
      </c>
      <c r="B134" s="1219"/>
      <c r="C134">
        <v>768.90000000000009</v>
      </c>
      <c r="D134" s="91">
        <v>44882</v>
      </c>
    </row>
    <row r="135" spans="1:4">
      <c r="A135" t="s">
        <v>1296</v>
      </c>
      <c r="B135" s="1219"/>
      <c r="C135">
        <v>223.3</v>
      </c>
      <c r="D135" s="91">
        <v>44882</v>
      </c>
    </row>
    <row r="136" spans="1:4">
      <c r="A136" t="s">
        <v>1297</v>
      </c>
      <c r="B136" s="1219"/>
      <c r="C136">
        <v>525.80000000000007</v>
      </c>
      <c r="D136" s="91">
        <v>44882</v>
      </c>
    </row>
    <row r="137" spans="1:4">
      <c r="A137" t="s">
        <v>1298</v>
      </c>
      <c r="B137" s="1219"/>
      <c r="C137">
        <v>290.40000000000003</v>
      </c>
      <c r="D137" s="91">
        <v>44882</v>
      </c>
    </row>
    <row r="138" spans="1:4">
      <c r="A138" t="s">
        <v>1299</v>
      </c>
      <c r="B138" s="1219"/>
      <c r="C138">
        <v>124.74000000000002</v>
      </c>
      <c r="D138" s="91">
        <v>44882</v>
      </c>
    </row>
    <row r="139" spans="1:4">
      <c r="A139" t="s">
        <v>1300</v>
      </c>
      <c r="B139" s="1219"/>
      <c r="C139">
        <v>245.52</v>
      </c>
      <c r="D139" s="91">
        <v>44882</v>
      </c>
    </row>
    <row r="140" spans="1:4">
      <c r="A140" t="s">
        <v>1301</v>
      </c>
      <c r="B140" s="1219"/>
      <c r="C140">
        <v>349.14</v>
      </c>
      <c r="D140" s="91">
        <v>44882</v>
      </c>
    </row>
    <row r="141" spans="1:4">
      <c r="A141" t="s">
        <v>1302</v>
      </c>
      <c r="B141" s="1219"/>
      <c r="C141">
        <v>154.44000000000003</v>
      </c>
      <c r="D141" s="91">
        <v>44882</v>
      </c>
    </row>
    <row r="142" spans="1:4">
      <c r="A142" t="s">
        <v>1303</v>
      </c>
      <c r="B142" s="1219"/>
      <c r="C142">
        <v>463.32000000000005</v>
      </c>
      <c r="D142" s="91">
        <v>44882</v>
      </c>
    </row>
    <row r="143" spans="1:4">
      <c r="A143" t="s">
        <v>1304</v>
      </c>
      <c r="B143" s="1219"/>
      <c r="C143">
        <v>32.89</v>
      </c>
      <c r="D143" s="91">
        <v>44882</v>
      </c>
    </row>
    <row r="144" spans="1:4">
      <c r="A144" t="s">
        <v>1305</v>
      </c>
      <c r="B144" s="1219"/>
      <c r="C144">
        <v>34.110707400000003</v>
      </c>
      <c r="D144" s="91">
        <v>44882</v>
      </c>
    </row>
    <row r="145" spans="1:4">
      <c r="A145" t="s">
        <v>1306</v>
      </c>
      <c r="B145" s="1219"/>
      <c r="C145">
        <v>11.990258499999999</v>
      </c>
      <c r="D145" s="91">
        <v>44882</v>
      </c>
    </row>
    <row r="146" spans="1:4">
      <c r="A146" t="s">
        <v>1307</v>
      </c>
      <c r="B146" s="1219"/>
      <c r="C146">
        <v>33.660000000000004</v>
      </c>
      <c r="D146" s="91">
        <v>44882</v>
      </c>
    </row>
    <row r="147" spans="1:4">
      <c r="A147" t="s">
        <v>1308</v>
      </c>
      <c r="B147" s="1219"/>
      <c r="C147">
        <v>9.3719999999999999</v>
      </c>
      <c r="D147" s="91">
        <v>44882</v>
      </c>
    </row>
    <row r="148" spans="1:4">
      <c r="A148" t="s">
        <v>1309</v>
      </c>
      <c r="B148" s="1219"/>
      <c r="C148">
        <v>11.313500000000001</v>
      </c>
      <c r="D148" s="91">
        <v>44882</v>
      </c>
    </row>
    <row r="149" spans="1:4">
      <c r="A149" t="s">
        <v>1310</v>
      </c>
      <c r="B149" s="1219"/>
      <c r="C149">
        <v>17.946500000000004</v>
      </c>
      <c r="D149" s="91">
        <v>44882</v>
      </c>
    </row>
    <row r="150" spans="1:4">
      <c r="A150" t="s">
        <v>1311</v>
      </c>
      <c r="B150" s="1219"/>
      <c r="C150">
        <v>23.111000000000004</v>
      </c>
      <c r="D150" s="91">
        <v>44882</v>
      </c>
    </row>
    <row r="151" spans="1:4">
      <c r="A151" t="s">
        <v>1312</v>
      </c>
      <c r="B151" s="1219"/>
      <c r="C151">
        <v>24.2605</v>
      </c>
      <c r="D151" s="91">
        <v>44882</v>
      </c>
    </row>
    <row r="152" spans="1:4">
      <c r="A152" t="s">
        <v>1313</v>
      </c>
      <c r="B152" s="1219"/>
      <c r="C152">
        <v>10.428000000000001</v>
      </c>
      <c r="D152" s="91">
        <v>44882</v>
      </c>
    </row>
    <row r="153" spans="1:4">
      <c r="A153" t="s">
        <v>1314</v>
      </c>
      <c r="B153" s="1219"/>
      <c r="C153">
        <v>38.751899999999999</v>
      </c>
      <c r="D153" s="91">
        <v>44882</v>
      </c>
    </row>
    <row r="154" spans="1:4">
      <c r="A154" t="s">
        <v>1315</v>
      </c>
      <c r="B154" s="1219"/>
      <c r="C154">
        <v>38.751899999999999</v>
      </c>
      <c r="D154" s="91">
        <v>44882</v>
      </c>
    </row>
    <row r="155" spans="1:4">
      <c r="A155" t="s">
        <v>1316</v>
      </c>
      <c r="B155" s="1219"/>
      <c r="C155">
        <v>36.300000000000004</v>
      </c>
      <c r="D155" s="91">
        <v>44882</v>
      </c>
    </row>
    <row r="156" spans="1:4">
      <c r="A156" t="s">
        <v>1317</v>
      </c>
      <c r="B156" s="1219"/>
      <c r="C156">
        <v>48.400000000000006</v>
      </c>
      <c r="D156" s="91">
        <v>44882</v>
      </c>
    </row>
    <row r="157" spans="1:4">
      <c r="A157" t="s">
        <v>1318</v>
      </c>
      <c r="B157" s="1219"/>
      <c r="C157">
        <v>64.900000000000006</v>
      </c>
      <c r="D157" s="91">
        <v>44882</v>
      </c>
    </row>
    <row r="158" spans="1:4">
      <c r="A158" t="s">
        <v>1319</v>
      </c>
      <c r="B158" s="1219"/>
      <c r="C158">
        <v>64.900000000000006</v>
      </c>
      <c r="D158" s="91">
        <v>44882</v>
      </c>
    </row>
    <row r="159" spans="1:4">
      <c r="A159" t="s">
        <v>1320</v>
      </c>
      <c r="B159" s="1219"/>
      <c r="C159">
        <v>64.900000000000006</v>
      </c>
      <c r="D159" s="91">
        <v>44882</v>
      </c>
    </row>
    <row r="160" spans="1:4">
      <c r="A160" t="s">
        <v>1321</v>
      </c>
      <c r="B160" s="1219"/>
      <c r="C160">
        <v>75.900000000000006</v>
      </c>
      <c r="D160" s="91">
        <v>44882</v>
      </c>
    </row>
    <row r="161" spans="1:4">
      <c r="A161" t="s">
        <v>1322</v>
      </c>
      <c r="B161" s="1219"/>
      <c r="C161">
        <v>15.178735</v>
      </c>
      <c r="D161" s="91">
        <v>44882</v>
      </c>
    </row>
    <row r="162" spans="1:4">
      <c r="A162" t="s">
        <v>1323</v>
      </c>
      <c r="B162" s="1219"/>
      <c r="C162">
        <v>90.713700000000017</v>
      </c>
      <c r="D162" s="91">
        <v>44882</v>
      </c>
    </row>
    <row r="163" spans="1:4">
      <c r="A163" t="s">
        <v>1324</v>
      </c>
      <c r="B163" s="1219"/>
      <c r="C163">
        <v>110.25630000000001</v>
      </c>
      <c r="D163" s="91">
        <v>44882</v>
      </c>
    </row>
    <row r="164" spans="1:4">
      <c r="A164" t="s">
        <v>1325</v>
      </c>
      <c r="B164" s="1219"/>
      <c r="C164">
        <v>65.912000000000006</v>
      </c>
      <c r="D164" s="91">
        <v>44882</v>
      </c>
    </row>
    <row r="165" spans="1:4">
      <c r="A165" t="s">
        <v>1326</v>
      </c>
      <c r="B165" s="1219"/>
      <c r="C165">
        <v>44</v>
      </c>
      <c r="D165" s="91">
        <v>44882</v>
      </c>
    </row>
    <row r="166" spans="1:4">
      <c r="A166" t="s">
        <v>1327</v>
      </c>
      <c r="B166" s="1219"/>
      <c r="C166">
        <v>36.300000000000004</v>
      </c>
      <c r="D166" s="91">
        <v>44882</v>
      </c>
    </row>
    <row r="167" spans="1:4">
      <c r="A167" t="s">
        <v>1328</v>
      </c>
      <c r="B167" s="1219"/>
      <c r="C167">
        <v>56.298000000000002</v>
      </c>
      <c r="D167" s="91">
        <v>44882</v>
      </c>
    </row>
    <row r="168" spans="1:4">
      <c r="A168" t="s">
        <v>1329</v>
      </c>
      <c r="B168" s="1219"/>
      <c r="C168">
        <v>16.368000000000002</v>
      </c>
      <c r="D168" s="91">
        <v>44882</v>
      </c>
    </row>
    <row r="169" spans="1:4">
      <c r="A169" t="s">
        <v>1330</v>
      </c>
      <c r="B169" s="1219"/>
      <c r="C169">
        <v>27.984000000000005</v>
      </c>
      <c r="D169" s="91">
        <v>44882</v>
      </c>
    </row>
    <row r="170" spans="1:4">
      <c r="A170" t="s">
        <v>1331</v>
      </c>
      <c r="B170" s="1219"/>
      <c r="C170">
        <v>42.570000000000007</v>
      </c>
      <c r="D170" s="91">
        <v>44882</v>
      </c>
    </row>
    <row r="171" spans="1:4">
      <c r="A171" t="s">
        <v>1332</v>
      </c>
      <c r="B171" s="1219"/>
      <c r="C171">
        <v>69.927000000000007</v>
      </c>
      <c r="D171" s="91">
        <v>44882</v>
      </c>
    </row>
    <row r="172" spans="1:4">
      <c r="A172" t="s">
        <v>1333</v>
      </c>
      <c r="B172" s="1219"/>
      <c r="C172">
        <v>124.01400000000001</v>
      </c>
      <c r="D172" s="91">
        <v>44882</v>
      </c>
    </row>
    <row r="173" spans="1:4">
      <c r="A173" t="s">
        <v>1334</v>
      </c>
      <c r="B173" s="1219"/>
      <c r="C173">
        <v>138.60000000000002</v>
      </c>
      <c r="D173" s="91">
        <v>44882</v>
      </c>
    </row>
    <row r="174" spans="1:4">
      <c r="A174" t="s">
        <v>1335</v>
      </c>
      <c r="B174" s="1219"/>
      <c r="C174">
        <v>260.75500000000005</v>
      </c>
      <c r="D174" s="91">
        <v>44882</v>
      </c>
    </row>
    <row r="175" spans="1:4">
      <c r="A175" t="s">
        <v>1336</v>
      </c>
      <c r="B175" s="1219"/>
      <c r="C175">
        <v>51.095000000000006</v>
      </c>
      <c r="D175" s="91">
        <v>44882</v>
      </c>
    </row>
    <row r="176" spans="1:4">
      <c r="A176" t="s">
        <v>1337</v>
      </c>
      <c r="B176" s="1219"/>
      <c r="C176">
        <v>5.6650000000000009</v>
      </c>
      <c r="D176" s="91">
        <v>44882</v>
      </c>
    </row>
    <row r="177" spans="1:4">
      <c r="A177" t="s">
        <v>1338</v>
      </c>
      <c r="B177" s="1219"/>
      <c r="C177">
        <v>16.104000000000003</v>
      </c>
      <c r="D177" s="91">
        <v>44882</v>
      </c>
    </row>
    <row r="178" spans="1:4">
      <c r="A178" t="s">
        <v>1339</v>
      </c>
      <c r="B178" s="1219"/>
      <c r="C178">
        <v>16.033600000000003</v>
      </c>
      <c r="D178" s="91">
        <v>44882</v>
      </c>
    </row>
    <row r="179" spans="1:4">
      <c r="A179" t="s">
        <v>1340</v>
      </c>
      <c r="B179" s="1219"/>
      <c r="C179">
        <v>384.40600000000001</v>
      </c>
      <c r="D179" s="91">
        <v>44882</v>
      </c>
    </row>
    <row r="180" spans="1:4">
      <c r="A180" t="s">
        <v>1341</v>
      </c>
      <c r="B180" s="1219"/>
      <c r="C180">
        <v>384.24100000000004</v>
      </c>
      <c r="D180" s="91">
        <v>44882</v>
      </c>
    </row>
    <row r="181" spans="1:4">
      <c r="A181" t="s">
        <v>1342</v>
      </c>
      <c r="B181" s="1219"/>
      <c r="C181">
        <v>384.39500000000004</v>
      </c>
      <c r="D181" s="91">
        <v>44882</v>
      </c>
    </row>
    <row r="182" spans="1:4">
      <c r="A182" t="s">
        <v>1343</v>
      </c>
      <c r="B182" s="1219"/>
      <c r="C182">
        <v>384.36200000000002</v>
      </c>
      <c r="D182" s="91">
        <v>44882</v>
      </c>
    </row>
    <row r="183" spans="1:4">
      <c r="A183" t="s">
        <v>1344</v>
      </c>
      <c r="B183" s="1219"/>
      <c r="C183">
        <v>395.80200000000002</v>
      </c>
      <c r="D183" s="91">
        <v>44882</v>
      </c>
    </row>
    <row r="184" spans="1:4">
      <c r="A184" t="s">
        <v>1345</v>
      </c>
      <c r="B184" s="1219"/>
      <c r="C184">
        <v>395.65900000000005</v>
      </c>
      <c r="D184" s="91">
        <v>44882</v>
      </c>
    </row>
    <row r="185" spans="1:4">
      <c r="A185" t="s">
        <v>1346</v>
      </c>
      <c r="B185" s="1219"/>
      <c r="C185">
        <v>407.56100000000004</v>
      </c>
      <c r="D185" s="91">
        <v>44882</v>
      </c>
    </row>
    <row r="186" spans="1:4">
      <c r="A186" t="s">
        <v>1347</v>
      </c>
      <c r="B186" s="1219"/>
      <c r="C186">
        <v>403.66700000000009</v>
      </c>
      <c r="D186" s="91">
        <v>44882</v>
      </c>
    </row>
    <row r="187" spans="1:4">
      <c r="A187" t="s">
        <v>1348</v>
      </c>
      <c r="B187" s="1219"/>
      <c r="C187">
        <v>463.49600000000004</v>
      </c>
      <c r="D187" s="91">
        <v>44882</v>
      </c>
    </row>
    <row r="188" spans="1:4">
      <c r="A188" t="s">
        <v>1349</v>
      </c>
      <c r="B188" s="1219"/>
      <c r="C188">
        <v>463.815</v>
      </c>
      <c r="D188" s="91">
        <v>44882</v>
      </c>
    </row>
    <row r="189" spans="1:4">
      <c r="A189" t="s">
        <v>1350</v>
      </c>
      <c r="B189" s="1219"/>
      <c r="C189">
        <v>498.75100000000009</v>
      </c>
      <c r="D189" s="91">
        <v>44882</v>
      </c>
    </row>
    <row r="190" spans="1:4">
      <c r="A190" t="s">
        <v>1351</v>
      </c>
      <c r="B190" s="1219"/>
      <c r="C190">
        <v>501.44600000000008</v>
      </c>
      <c r="D190" s="91">
        <v>44882</v>
      </c>
    </row>
    <row r="191" spans="1:4">
      <c r="A191" t="s">
        <v>1352</v>
      </c>
      <c r="B191" s="1219"/>
      <c r="C191">
        <v>500.59899999999999</v>
      </c>
      <c r="D191" s="91">
        <v>44882</v>
      </c>
    </row>
    <row r="192" spans="1:4">
      <c r="A192" t="s">
        <v>1353</v>
      </c>
      <c r="B192" s="1219"/>
      <c r="C192">
        <v>625.21800000000007</v>
      </c>
      <c r="D192" s="91">
        <v>44882</v>
      </c>
    </row>
    <row r="193" spans="1:4">
      <c r="A193" t="s">
        <v>1354</v>
      </c>
      <c r="B193" s="1219"/>
      <c r="C193">
        <v>651.29900000000009</v>
      </c>
      <c r="D193" s="91">
        <v>44882</v>
      </c>
    </row>
    <row r="194" spans="1:4">
      <c r="A194" t="s">
        <v>1355</v>
      </c>
      <c r="B194" s="1219"/>
      <c r="C194">
        <v>1000.5600000000001</v>
      </c>
      <c r="D194" s="91">
        <v>44882</v>
      </c>
    </row>
    <row r="195" spans="1:4">
      <c r="A195" t="s">
        <v>1356</v>
      </c>
      <c r="B195" s="1219"/>
      <c r="C195">
        <v>1412.7190000000001</v>
      </c>
      <c r="D195" s="91">
        <v>44882</v>
      </c>
    </row>
    <row r="196" spans="1:4">
      <c r="A196" t="s">
        <v>1357</v>
      </c>
      <c r="B196" s="1219"/>
      <c r="C196">
        <v>2816.9020000000005</v>
      </c>
      <c r="D196" s="91">
        <v>44882</v>
      </c>
    </row>
    <row r="197" spans="1:4">
      <c r="A197" t="s">
        <v>1358</v>
      </c>
      <c r="B197" s="1219"/>
      <c r="C197">
        <v>102.5376</v>
      </c>
      <c r="D197" s="91">
        <v>44882</v>
      </c>
    </row>
    <row r="198" spans="1:4">
      <c r="A198" t="s">
        <v>1359</v>
      </c>
      <c r="B198" s="1219"/>
      <c r="C198">
        <v>72.451499999999996</v>
      </c>
      <c r="D198" s="91">
        <v>44882</v>
      </c>
    </row>
    <row r="199" spans="1:4">
      <c r="A199" t="s">
        <v>1360</v>
      </c>
      <c r="B199" s="1219"/>
      <c r="C199">
        <v>71.811300000000003</v>
      </c>
      <c r="D199" s="91">
        <v>44882</v>
      </c>
    </row>
    <row r="200" spans="1:4">
      <c r="A200" t="s">
        <v>1361</v>
      </c>
      <c r="B200" s="1219"/>
      <c r="C200">
        <v>139.05870000000002</v>
      </c>
      <c r="D200" s="91">
        <v>44882</v>
      </c>
    </row>
    <row r="201" spans="1:4">
      <c r="A201" t="s">
        <v>1362</v>
      </c>
      <c r="B201" s="1219"/>
      <c r="C201">
        <v>221.1825</v>
      </c>
      <c r="D201" s="91">
        <v>44882</v>
      </c>
    </row>
    <row r="202" spans="1:4">
      <c r="A202" t="s">
        <v>1363</v>
      </c>
      <c r="B202" s="1219"/>
      <c r="C202">
        <v>100.13300000000001</v>
      </c>
      <c r="D202" s="91">
        <v>44882</v>
      </c>
    </row>
    <row r="203" spans="1:4">
      <c r="A203" t="s">
        <v>1364</v>
      </c>
      <c r="B203" s="1219"/>
      <c r="C203">
        <v>83.479000000000013</v>
      </c>
      <c r="D203" s="91">
        <v>44882</v>
      </c>
    </row>
    <row r="204" spans="1:4">
      <c r="A204" t="s">
        <v>1365</v>
      </c>
      <c r="B204" s="1219"/>
      <c r="C204">
        <v>81.664000000000001</v>
      </c>
      <c r="D204" s="91">
        <v>44882</v>
      </c>
    </row>
    <row r="205" spans="1:4">
      <c r="A205" t="s">
        <v>1366</v>
      </c>
      <c r="B205" s="1219"/>
      <c r="C205">
        <v>83.38000000000001</v>
      </c>
      <c r="D205" s="91">
        <v>44882</v>
      </c>
    </row>
    <row r="206" spans="1:4">
      <c r="A206" t="s">
        <v>1367</v>
      </c>
      <c r="B206" s="1219"/>
      <c r="C206">
        <v>92.653000000000006</v>
      </c>
      <c r="D206" s="91">
        <v>44882</v>
      </c>
    </row>
    <row r="207" spans="1:4">
      <c r="A207" t="s">
        <v>1368</v>
      </c>
      <c r="B207" s="1219"/>
      <c r="C207">
        <v>93.357000000000014</v>
      </c>
      <c r="D207" s="91">
        <v>44882</v>
      </c>
    </row>
    <row r="208" spans="1:4">
      <c r="A208" t="s">
        <v>1369</v>
      </c>
      <c r="B208" s="1219"/>
      <c r="C208">
        <v>110.08800000000001</v>
      </c>
      <c r="D208" s="91">
        <v>44882</v>
      </c>
    </row>
    <row r="209" spans="1:4">
      <c r="A209" t="s">
        <v>1370</v>
      </c>
      <c r="B209" s="1219"/>
      <c r="C209">
        <v>112.58500000000001</v>
      </c>
      <c r="D209" s="91">
        <v>44882</v>
      </c>
    </row>
    <row r="210" spans="1:4">
      <c r="A210" t="s">
        <v>1371</v>
      </c>
      <c r="B210" s="1219"/>
      <c r="C210">
        <v>90.849000000000018</v>
      </c>
      <c r="D210" s="91">
        <v>44882</v>
      </c>
    </row>
    <row r="211" spans="1:4">
      <c r="A211" t="s">
        <v>1372</v>
      </c>
      <c r="B211" s="1219"/>
      <c r="C211">
        <v>90.849000000000018</v>
      </c>
      <c r="D211" s="91">
        <v>44882</v>
      </c>
    </row>
    <row r="212" spans="1:4">
      <c r="A212" t="s">
        <v>1373</v>
      </c>
      <c r="B212" s="1219"/>
      <c r="C212">
        <v>93.709000000000003</v>
      </c>
      <c r="D212" s="91">
        <v>44882</v>
      </c>
    </row>
    <row r="213" spans="1:4">
      <c r="A213" t="s">
        <v>1374</v>
      </c>
      <c r="B213" s="1219"/>
      <c r="C213">
        <v>100.92500000000001</v>
      </c>
      <c r="D213" s="91">
        <v>44882</v>
      </c>
    </row>
    <row r="214" spans="1:4">
      <c r="A214" t="s">
        <v>1375</v>
      </c>
      <c r="B214" s="1219"/>
      <c r="C214">
        <v>104.94000000000001</v>
      </c>
      <c r="D214" s="91">
        <v>44882</v>
      </c>
    </row>
    <row r="215" spans="1:4">
      <c r="A215" t="s">
        <v>1376</v>
      </c>
      <c r="B215" s="1219"/>
      <c r="C215">
        <v>129.91</v>
      </c>
      <c r="D215" s="91">
        <v>44882</v>
      </c>
    </row>
    <row r="216" spans="1:4">
      <c r="A216" t="s">
        <v>1377</v>
      </c>
      <c r="B216" s="1219"/>
      <c r="C216">
        <v>162.14000000000001</v>
      </c>
      <c r="D216" s="91">
        <v>44882</v>
      </c>
    </row>
    <row r="217" spans="1:4">
      <c r="A217" t="s">
        <v>1378</v>
      </c>
      <c r="B217" s="1219"/>
      <c r="C217">
        <v>402.90800000000002</v>
      </c>
      <c r="D217" s="91">
        <v>44882</v>
      </c>
    </row>
    <row r="218" spans="1:4">
      <c r="A218" t="s">
        <v>1379</v>
      </c>
      <c r="B218" s="1219"/>
      <c r="C218">
        <v>130.5326</v>
      </c>
      <c r="D218" s="91">
        <v>44882</v>
      </c>
    </row>
    <row r="219" spans="1:4">
      <c r="A219" t="s">
        <v>1380</v>
      </c>
      <c r="B219" s="1219"/>
      <c r="C219">
        <v>99.751300000000015</v>
      </c>
      <c r="D219" s="91">
        <v>44882</v>
      </c>
    </row>
    <row r="220" spans="1:4">
      <c r="A220" t="s">
        <v>1381</v>
      </c>
      <c r="B220" s="1219"/>
      <c r="C220">
        <v>109.76460000000002</v>
      </c>
      <c r="D220" s="91">
        <v>44882</v>
      </c>
    </row>
    <row r="221" spans="1:4">
      <c r="A221" t="s">
        <v>1382</v>
      </c>
      <c r="B221" s="1219"/>
      <c r="C221">
        <v>258.53739999999999</v>
      </c>
      <c r="D221" s="91">
        <v>44882</v>
      </c>
    </row>
    <row r="222" spans="1:4">
      <c r="A222" t="s">
        <v>1383</v>
      </c>
      <c r="B222" s="1219"/>
      <c r="C222">
        <v>288.86330000000004</v>
      </c>
      <c r="D222" s="91">
        <v>44882</v>
      </c>
    </row>
    <row r="223" spans="1:4">
      <c r="A223" t="s">
        <v>1384</v>
      </c>
      <c r="B223" s="1219"/>
      <c r="C223">
        <v>454.58270000000005</v>
      </c>
      <c r="D223" s="91">
        <v>44882</v>
      </c>
    </row>
    <row r="224" spans="1:4">
      <c r="A224" t="s">
        <v>1385</v>
      </c>
      <c r="B224" s="1219"/>
      <c r="C224">
        <v>141.79000000000002</v>
      </c>
      <c r="D224" s="91">
        <v>44882</v>
      </c>
    </row>
    <row r="225" spans="1:4">
      <c r="A225" t="s">
        <v>1386</v>
      </c>
      <c r="B225" s="1219"/>
      <c r="C225">
        <v>115.87400000000001</v>
      </c>
      <c r="D225" s="91">
        <v>44882</v>
      </c>
    </row>
    <row r="226" spans="1:4">
      <c r="A226" t="s">
        <v>1387</v>
      </c>
      <c r="B226" s="1219"/>
      <c r="C226">
        <v>112.87100000000001</v>
      </c>
      <c r="D226" s="91">
        <v>44882</v>
      </c>
    </row>
    <row r="227" spans="1:4">
      <c r="A227" t="s">
        <v>1388</v>
      </c>
      <c r="B227" s="1219"/>
      <c r="C227">
        <v>115.75300000000001</v>
      </c>
      <c r="D227" s="91">
        <v>44882</v>
      </c>
    </row>
    <row r="228" spans="1:4">
      <c r="A228" t="s">
        <v>1389</v>
      </c>
      <c r="B228" s="1219"/>
      <c r="C228">
        <v>127.072</v>
      </c>
      <c r="D228" s="91">
        <v>44882</v>
      </c>
    </row>
    <row r="229" spans="1:4">
      <c r="A229" t="s">
        <v>1390</v>
      </c>
      <c r="B229" s="1219"/>
      <c r="C229">
        <v>132.143</v>
      </c>
      <c r="D229" s="91">
        <v>44882</v>
      </c>
    </row>
    <row r="230" spans="1:4">
      <c r="A230" t="s">
        <v>1391</v>
      </c>
      <c r="B230" s="1219"/>
      <c r="C230">
        <v>163.60300000000001</v>
      </c>
      <c r="D230" s="91">
        <v>44882</v>
      </c>
    </row>
    <row r="231" spans="1:4">
      <c r="A231" t="s">
        <v>1392</v>
      </c>
      <c r="B231" s="1219"/>
      <c r="C231">
        <v>148.54400000000001</v>
      </c>
      <c r="D231" s="91">
        <v>44882</v>
      </c>
    </row>
    <row r="232" spans="1:4">
      <c r="A232" t="s">
        <v>1393</v>
      </c>
      <c r="B232" s="1219"/>
      <c r="C232">
        <v>123.77200000000001</v>
      </c>
      <c r="D232" s="91">
        <v>44882</v>
      </c>
    </row>
    <row r="233" spans="1:4">
      <c r="A233" t="s">
        <v>1394</v>
      </c>
      <c r="B233" s="1219"/>
      <c r="C233">
        <v>123.81600000000002</v>
      </c>
      <c r="D233" s="91">
        <v>44882</v>
      </c>
    </row>
    <row r="234" spans="1:4">
      <c r="A234" t="s">
        <v>1395</v>
      </c>
      <c r="B234" s="1219"/>
      <c r="C234">
        <v>123.64000000000001</v>
      </c>
      <c r="D234" s="91">
        <v>44882</v>
      </c>
    </row>
    <row r="235" spans="1:4">
      <c r="A235" t="s">
        <v>1396</v>
      </c>
      <c r="B235" s="1219"/>
      <c r="C235">
        <v>138.36900000000003</v>
      </c>
      <c r="D235" s="91">
        <v>44882</v>
      </c>
    </row>
    <row r="236" spans="1:4">
      <c r="A236" t="s">
        <v>1397</v>
      </c>
      <c r="B236" s="1219"/>
      <c r="C236">
        <v>138.435</v>
      </c>
      <c r="D236" s="91">
        <v>44882</v>
      </c>
    </row>
    <row r="237" spans="1:4">
      <c r="A237" t="s">
        <v>1398</v>
      </c>
      <c r="B237" s="1219"/>
      <c r="C237">
        <v>87.317999999999998</v>
      </c>
      <c r="D237" s="91">
        <v>44882</v>
      </c>
    </row>
    <row r="238" spans="1:4">
      <c r="A238" t="s">
        <v>1399</v>
      </c>
      <c r="B238" s="1219"/>
      <c r="C238">
        <v>92.647500000000008</v>
      </c>
      <c r="D238" s="91">
        <v>44882</v>
      </c>
    </row>
    <row r="239" spans="1:4">
      <c r="A239" t="s">
        <v>1400</v>
      </c>
      <c r="B239" s="1219"/>
      <c r="C239">
        <v>92.873000000000019</v>
      </c>
      <c r="D239" s="91">
        <v>44882</v>
      </c>
    </row>
    <row r="240" spans="1:4">
      <c r="A240" t="s">
        <v>1401</v>
      </c>
      <c r="B240" s="1219"/>
      <c r="C240">
        <v>319.19030000000004</v>
      </c>
      <c r="D240" s="91">
        <v>44882</v>
      </c>
    </row>
    <row r="241" spans="1:4">
      <c r="A241" t="s">
        <v>1402</v>
      </c>
      <c r="B241" s="1219"/>
      <c r="C241">
        <v>39.767200000000003</v>
      </c>
      <c r="D241" s="91">
        <v>44882</v>
      </c>
    </row>
    <row r="242" spans="1:4">
      <c r="A242" t="s">
        <v>1403</v>
      </c>
      <c r="B242" s="1219"/>
      <c r="C242">
        <v>31.262000000000004</v>
      </c>
      <c r="D242" s="91">
        <v>44882</v>
      </c>
    </row>
    <row r="243" spans="1:4">
      <c r="A243" t="s">
        <v>1404</v>
      </c>
      <c r="B243" s="1219"/>
      <c r="C243">
        <v>32.945</v>
      </c>
      <c r="D243" s="91">
        <v>44882</v>
      </c>
    </row>
    <row r="244" spans="1:4">
      <c r="A244" t="s">
        <v>1405</v>
      </c>
      <c r="B244" s="1219"/>
      <c r="C244">
        <v>36.246100000000006</v>
      </c>
      <c r="D244" s="91">
        <v>44882</v>
      </c>
    </row>
    <row r="245" spans="1:4">
      <c r="A245" t="s">
        <v>1406</v>
      </c>
      <c r="B245" s="1219"/>
      <c r="C245">
        <v>24.101000000000003</v>
      </c>
      <c r="D245" s="91">
        <v>44882</v>
      </c>
    </row>
    <row r="246" spans="1:4">
      <c r="A246" t="s">
        <v>1407</v>
      </c>
      <c r="B246" s="1219"/>
      <c r="C246">
        <v>24.101000000000003</v>
      </c>
      <c r="D246" s="91">
        <v>44882</v>
      </c>
    </row>
    <row r="247" spans="1:4">
      <c r="A247" t="s">
        <v>1408</v>
      </c>
      <c r="B247" s="1219"/>
      <c r="C247">
        <v>26.411000000000005</v>
      </c>
      <c r="D247" s="91">
        <v>44882</v>
      </c>
    </row>
    <row r="248" spans="1:4">
      <c r="A248" t="s">
        <v>1409</v>
      </c>
      <c r="B248" s="1219"/>
      <c r="C248">
        <v>27.753000000000004</v>
      </c>
      <c r="D248" s="91">
        <v>44882</v>
      </c>
    </row>
    <row r="249" spans="1:4">
      <c r="A249" t="s">
        <v>1410</v>
      </c>
      <c r="B249" s="1219"/>
      <c r="C249">
        <v>28.864000000000001</v>
      </c>
      <c r="D249" s="91">
        <v>44882</v>
      </c>
    </row>
    <row r="250" spans="1:4">
      <c r="A250" t="s">
        <v>1411</v>
      </c>
      <c r="B250" s="1219"/>
      <c r="C250">
        <v>33.132000000000005</v>
      </c>
      <c r="D250" s="91">
        <v>44882</v>
      </c>
    </row>
    <row r="251" spans="1:4">
      <c r="A251" t="s">
        <v>1412</v>
      </c>
      <c r="B251" s="1219"/>
      <c r="C251">
        <v>80.41</v>
      </c>
      <c r="D251" s="91">
        <v>44882</v>
      </c>
    </row>
    <row r="252" spans="1:4">
      <c r="A252" t="s">
        <v>1413</v>
      </c>
      <c r="B252" s="1219"/>
      <c r="C252">
        <v>94.188600000000008</v>
      </c>
      <c r="D252" s="91">
        <v>44882</v>
      </c>
    </row>
    <row r="253" spans="1:4">
      <c r="A253" t="s">
        <v>1414</v>
      </c>
      <c r="B253" s="1219"/>
      <c r="C253">
        <v>92.660700000000006</v>
      </c>
      <c r="D253" s="91">
        <v>44882</v>
      </c>
    </row>
    <row r="254" spans="1:4">
      <c r="A254" t="s">
        <v>1415</v>
      </c>
      <c r="B254" s="1219"/>
      <c r="C254">
        <v>63.82200000000001</v>
      </c>
      <c r="D254" s="91">
        <v>44882</v>
      </c>
    </row>
    <row r="255" spans="1:4">
      <c r="A255" t="s">
        <v>1416</v>
      </c>
      <c r="B255" s="1219"/>
      <c r="C255">
        <v>54.692</v>
      </c>
      <c r="D255" s="91">
        <v>44882</v>
      </c>
    </row>
    <row r="256" spans="1:4">
      <c r="A256" t="s">
        <v>1417</v>
      </c>
      <c r="B256" s="1219"/>
      <c r="C256">
        <v>54.483000000000004</v>
      </c>
      <c r="D256" s="91">
        <v>44882</v>
      </c>
    </row>
    <row r="257" spans="1:4">
      <c r="A257" t="s">
        <v>1418</v>
      </c>
      <c r="B257" s="1219"/>
      <c r="C257">
        <v>58.333000000000006</v>
      </c>
      <c r="D257" s="91">
        <v>44882</v>
      </c>
    </row>
    <row r="258" spans="1:4">
      <c r="A258" t="s">
        <v>1419</v>
      </c>
      <c r="B258" s="1219"/>
      <c r="C258">
        <v>65.208000000000013</v>
      </c>
      <c r="D258" s="91">
        <v>44882</v>
      </c>
    </row>
    <row r="259" spans="1:4">
      <c r="A259" t="s">
        <v>1420</v>
      </c>
      <c r="B259" s="1219"/>
      <c r="C259">
        <v>72.688000000000002</v>
      </c>
      <c r="D259" s="91">
        <v>44882</v>
      </c>
    </row>
    <row r="260" spans="1:4">
      <c r="A260" t="s">
        <v>1421</v>
      </c>
      <c r="B260" s="1219"/>
      <c r="C260">
        <v>82.83</v>
      </c>
      <c r="D260" s="91">
        <v>44882</v>
      </c>
    </row>
    <row r="261" spans="1:4">
      <c r="A261" t="s">
        <v>1422</v>
      </c>
      <c r="B261" s="1219"/>
      <c r="C261">
        <v>170.63200000000001</v>
      </c>
      <c r="D261" s="91">
        <v>44882</v>
      </c>
    </row>
    <row r="262" spans="1:4">
      <c r="A262" t="s">
        <v>1423</v>
      </c>
      <c r="B262" s="1219"/>
      <c r="C262">
        <v>174.9</v>
      </c>
      <c r="D262" s="91">
        <v>44882</v>
      </c>
    </row>
    <row r="263" spans="1:4">
      <c r="A263" t="s">
        <v>1424</v>
      </c>
      <c r="B263" s="1219"/>
      <c r="C263">
        <v>252.78000000000003</v>
      </c>
      <c r="D263" s="91">
        <v>44882</v>
      </c>
    </row>
    <row r="264" spans="1:4">
      <c r="A264" t="s">
        <v>1425</v>
      </c>
      <c r="B264" s="1219"/>
      <c r="C264">
        <v>17.985000000000003</v>
      </c>
      <c r="D264" s="91">
        <v>44882</v>
      </c>
    </row>
    <row r="265" spans="1:4">
      <c r="A265" t="s">
        <v>1426</v>
      </c>
      <c r="B265" s="1219"/>
      <c r="C265">
        <v>64.680000000000007</v>
      </c>
      <c r="D265" s="91">
        <v>44882</v>
      </c>
    </row>
    <row r="266" spans="1:4">
      <c r="A266" t="s">
        <v>1427</v>
      </c>
      <c r="B266" s="1219"/>
      <c r="C266">
        <v>163.97315</v>
      </c>
      <c r="D266" s="91">
        <v>44882</v>
      </c>
    </row>
    <row r="267" spans="1:4">
      <c r="A267" t="s">
        <v>1428</v>
      </c>
      <c r="B267" s="1219"/>
      <c r="C267">
        <v>150.535</v>
      </c>
      <c r="D267" s="91">
        <v>44882</v>
      </c>
    </row>
    <row r="268" spans="1:4">
      <c r="A268" t="s">
        <v>1429</v>
      </c>
      <c r="B268" s="1219"/>
      <c r="C268">
        <v>9.7668999999999997</v>
      </c>
      <c r="D268" s="91">
        <v>44882</v>
      </c>
    </row>
    <row r="269" spans="1:4">
      <c r="A269" t="s">
        <v>1430</v>
      </c>
      <c r="B269" s="1219"/>
      <c r="C269">
        <v>9.3643000000000001</v>
      </c>
      <c r="D269" s="91">
        <v>44882</v>
      </c>
    </row>
    <row r="270" spans="1:4">
      <c r="A270" t="s">
        <v>1431</v>
      </c>
      <c r="B270" s="1219"/>
      <c r="C270">
        <v>9.7668999999999997</v>
      </c>
      <c r="D270" s="91">
        <v>44882</v>
      </c>
    </row>
    <row r="271" spans="1:4">
      <c r="A271" t="s">
        <v>1432</v>
      </c>
      <c r="B271" s="1219"/>
      <c r="C271">
        <v>1.1990000000000003</v>
      </c>
      <c r="D271" s="91">
        <v>44882</v>
      </c>
    </row>
    <row r="272" spans="1:4">
      <c r="A272" t="s">
        <v>1433</v>
      </c>
      <c r="B272" s="1219"/>
      <c r="C272">
        <v>2.5630000000000002</v>
      </c>
      <c r="D272" s="91">
        <v>44882</v>
      </c>
    </row>
    <row r="273" spans="1:4">
      <c r="A273" t="s">
        <v>1434</v>
      </c>
      <c r="B273" s="1219"/>
      <c r="C273">
        <v>5.7585000000000006</v>
      </c>
      <c r="D273" s="91">
        <v>44882</v>
      </c>
    </row>
    <row r="274" spans="1:4">
      <c r="A274" t="s">
        <v>1435</v>
      </c>
      <c r="B274" s="1219"/>
      <c r="C274">
        <v>7.9585000000000008</v>
      </c>
      <c r="D274" s="91">
        <v>44882</v>
      </c>
    </row>
    <row r="275" spans="1:4">
      <c r="A275" t="s">
        <v>1436</v>
      </c>
      <c r="B275" s="1219"/>
      <c r="C275">
        <v>9.5942000000000007</v>
      </c>
      <c r="D275" s="91">
        <v>44882</v>
      </c>
    </row>
    <row r="276" spans="1:4">
      <c r="A276" t="s">
        <v>1437</v>
      </c>
      <c r="B276" s="1219"/>
      <c r="C276">
        <v>12.564200000000001</v>
      </c>
      <c r="D276" s="91">
        <v>44882</v>
      </c>
    </row>
    <row r="277" spans="1:4">
      <c r="A277" t="s">
        <v>1438</v>
      </c>
      <c r="B277" s="1219"/>
      <c r="C277">
        <v>15.103000000000002</v>
      </c>
      <c r="D277" s="91">
        <v>44882</v>
      </c>
    </row>
    <row r="278" spans="1:4">
      <c r="A278" t="s">
        <v>1439</v>
      </c>
      <c r="B278" s="1219"/>
      <c r="C278">
        <v>9.2058999999999997</v>
      </c>
      <c r="D278" s="91">
        <v>44882</v>
      </c>
    </row>
    <row r="279" spans="1:4">
      <c r="A279" t="s">
        <v>1440</v>
      </c>
      <c r="B279" s="1219"/>
      <c r="C279">
        <v>3.7972000000000001</v>
      </c>
      <c r="D279" s="91">
        <v>44882</v>
      </c>
    </row>
    <row r="280" spans="1:4">
      <c r="A280" t="s">
        <v>1441</v>
      </c>
      <c r="B280" s="1219"/>
      <c r="C280">
        <v>5.1667000000000005</v>
      </c>
      <c r="D280" s="91">
        <v>44882</v>
      </c>
    </row>
    <row r="281" spans="1:4">
      <c r="A281" t="s">
        <v>1442</v>
      </c>
      <c r="B281" s="1219"/>
      <c r="C281">
        <v>11.115500000000001</v>
      </c>
      <c r="D281" s="91">
        <v>44882</v>
      </c>
    </row>
    <row r="282" spans="1:4">
      <c r="A282" t="s">
        <v>1443</v>
      </c>
      <c r="B282" s="1219"/>
      <c r="C282">
        <v>10.050700000000001</v>
      </c>
      <c r="D282" s="91">
        <v>44882</v>
      </c>
    </row>
    <row r="283" spans="1:4">
      <c r="A283" t="s">
        <v>1444</v>
      </c>
      <c r="B283" s="1219"/>
      <c r="C283">
        <v>12.503700000000002</v>
      </c>
      <c r="D283" s="91">
        <v>44882</v>
      </c>
    </row>
    <row r="284" spans="1:4">
      <c r="A284" t="s">
        <v>1445</v>
      </c>
      <c r="B284" s="1219"/>
      <c r="C284">
        <v>15.406600000000001</v>
      </c>
      <c r="D284" s="91">
        <v>44882</v>
      </c>
    </row>
    <row r="285" spans="1:4">
      <c r="A285" t="s">
        <v>1446</v>
      </c>
      <c r="B285" s="1219"/>
      <c r="C285">
        <v>19.257700000000003</v>
      </c>
      <c r="D285" s="91">
        <v>44882</v>
      </c>
    </row>
    <row r="286" spans="1:4">
      <c r="A286" t="s">
        <v>1447</v>
      </c>
      <c r="B286" s="1219"/>
      <c r="C286">
        <v>0.95810000000000006</v>
      </c>
      <c r="D286" s="91">
        <v>44882</v>
      </c>
    </row>
    <row r="287" spans="1:4">
      <c r="A287" t="s">
        <v>1448</v>
      </c>
      <c r="B287" s="1219"/>
      <c r="C287">
        <v>1.0109000000000001</v>
      </c>
      <c r="D287" s="91">
        <v>44882</v>
      </c>
    </row>
    <row r="288" spans="1:4">
      <c r="A288" t="s">
        <v>1449</v>
      </c>
      <c r="B288" s="1219"/>
      <c r="C288">
        <v>2.3023000000000002</v>
      </c>
      <c r="D288" s="91">
        <v>44882</v>
      </c>
    </row>
    <row r="289" spans="1:4">
      <c r="A289" t="s">
        <v>1450</v>
      </c>
      <c r="B289" s="1219"/>
      <c r="C289">
        <v>0.83490000000000009</v>
      </c>
      <c r="D289" s="91">
        <v>44882</v>
      </c>
    </row>
    <row r="290" spans="1:4">
      <c r="A290" t="s">
        <v>1451</v>
      </c>
      <c r="B290" s="1219"/>
      <c r="C290">
        <v>1.32</v>
      </c>
      <c r="D290" s="91">
        <v>44882</v>
      </c>
    </row>
    <row r="291" spans="1:4">
      <c r="A291" t="s">
        <v>1452</v>
      </c>
      <c r="B291" s="1219"/>
      <c r="C291">
        <v>2.9700000000000006</v>
      </c>
      <c r="D291" s="91">
        <v>44882</v>
      </c>
    </row>
    <row r="292" spans="1:4">
      <c r="A292" t="s">
        <v>1453</v>
      </c>
      <c r="B292" s="1219"/>
      <c r="C292">
        <v>2.7555000000000001</v>
      </c>
      <c r="D292" s="91">
        <v>44882</v>
      </c>
    </row>
    <row r="293" spans="1:4">
      <c r="A293" t="s">
        <v>1454</v>
      </c>
      <c r="B293" s="1219"/>
      <c r="C293">
        <v>4.1910000000000007</v>
      </c>
      <c r="D293" s="91">
        <v>44882</v>
      </c>
    </row>
    <row r="294" spans="1:4">
      <c r="A294" t="s">
        <v>1455</v>
      </c>
      <c r="B294" s="1219"/>
      <c r="C294">
        <v>5.4020999999999999</v>
      </c>
      <c r="D294" s="91">
        <v>44882</v>
      </c>
    </row>
    <row r="295" spans="1:4">
      <c r="A295" t="s">
        <v>1456</v>
      </c>
      <c r="B295" s="1219"/>
      <c r="C295">
        <v>6.7155000000000014</v>
      </c>
      <c r="D295" s="91">
        <v>44882</v>
      </c>
    </row>
    <row r="296" spans="1:4">
      <c r="A296" t="s">
        <v>1457</v>
      </c>
      <c r="B296" s="1219"/>
      <c r="C296">
        <v>9.9781000000000013</v>
      </c>
      <c r="D296" s="91">
        <v>44882</v>
      </c>
    </row>
    <row r="297" spans="1:4">
      <c r="A297" t="s">
        <v>1458</v>
      </c>
      <c r="B297" s="1219"/>
      <c r="C297">
        <v>13.2121</v>
      </c>
      <c r="D297" s="91">
        <v>44882</v>
      </c>
    </row>
    <row r="298" spans="1:4">
      <c r="A298" t="s">
        <v>1459</v>
      </c>
      <c r="B298" s="1219"/>
      <c r="C298">
        <v>15.625500000000001</v>
      </c>
      <c r="D298" s="91">
        <v>44882</v>
      </c>
    </row>
    <row r="299" spans="1:4">
      <c r="A299" t="s">
        <v>1460</v>
      </c>
      <c r="B299" s="1219"/>
      <c r="C299">
        <v>21.733800000000002</v>
      </c>
      <c r="D299" s="91">
        <v>44882</v>
      </c>
    </row>
    <row r="300" spans="1:4">
      <c r="A300" t="s">
        <v>1461</v>
      </c>
      <c r="B300" s="1219"/>
      <c r="C300">
        <v>31.020000000000003</v>
      </c>
      <c r="D300" s="91">
        <v>44882</v>
      </c>
    </row>
    <row r="301" spans="1:4">
      <c r="A301" t="s">
        <v>1462</v>
      </c>
      <c r="B301" s="1219"/>
      <c r="C301">
        <v>0.84920000000000007</v>
      </c>
      <c r="D301" s="91">
        <v>44882</v>
      </c>
    </row>
    <row r="302" spans="1:4">
      <c r="A302" t="s">
        <v>1463</v>
      </c>
      <c r="B302" s="1219"/>
      <c r="C302">
        <v>0.99220000000000008</v>
      </c>
      <c r="D302" s="91">
        <v>44882</v>
      </c>
    </row>
    <row r="303" spans="1:4">
      <c r="A303" t="s">
        <v>1464</v>
      </c>
      <c r="B303" s="1219"/>
      <c r="C303">
        <v>0.87450000000000017</v>
      </c>
      <c r="D303" s="91">
        <v>44882</v>
      </c>
    </row>
    <row r="304" spans="1:4">
      <c r="A304" t="s">
        <v>1465</v>
      </c>
      <c r="B304" s="1219"/>
      <c r="C304">
        <v>0.99880000000000013</v>
      </c>
      <c r="D304" s="91">
        <v>44882</v>
      </c>
    </row>
    <row r="305" spans="1:4">
      <c r="A305" t="s">
        <v>1466</v>
      </c>
      <c r="B305" s="1219"/>
      <c r="C305">
        <v>1.1000000000000001</v>
      </c>
      <c r="D305" s="91">
        <v>44882</v>
      </c>
    </row>
    <row r="306" spans="1:4">
      <c r="A306" t="s">
        <v>1467</v>
      </c>
      <c r="B306" s="1219"/>
      <c r="C306">
        <v>1.5235000000000001</v>
      </c>
      <c r="D306" s="91">
        <v>44882</v>
      </c>
    </row>
    <row r="307" spans="1:4">
      <c r="A307" t="s">
        <v>1468</v>
      </c>
      <c r="B307" s="1219"/>
      <c r="C307">
        <v>1.6973</v>
      </c>
      <c r="D307" s="91">
        <v>44882</v>
      </c>
    </row>
    <row r="308" spans="1:4">
      <c r="A308" t="s">
        <v>1469</v>
      </c>
      <c r="B308" s="1219"/>
      <c r="C308">
        <v>1.2188000000000001</v>
      </c>
      <c r="D308" s="91">
        <v>44882</v>
      </c>
    </row>
    <row r="309" spans="1:4">
      <c r="A309" t="s">
        <v>1470</v>
      </c>
      <c r="B309" s="1219"/>
      <c r="C309">
        <v>1.9503000000000001</v>
      </c>
      <c r="D309" s="91">
        <v>44882</v>
      </c>
    </row>
    <row r="310" spans="1:4">
      <c r="A310" t="s">
        <v>1471</v>
      </c>
      <c r="B310" s="1219"/>
      <c r="C310">
        <v>1.4872000000000003</v>
      </c>
      <c r="D310" s="91">
        <v>44882</v>
      </c>
    </row>
    <row r="311" spans="1:4">
      <c r="A311" t="s">
        <v>1472</v>
      </c>
      <c r="B311" s="1219"/>
      <c r="C311">
        <v>2.5113000000000003</v>
      </c>
      <c r="D311" s="91">
        <v>44882</v>
      </c>
    </row>
    <row r="312" spans="1:4">
      <c r="A312" t="s">
        <v>1473</v>
      </c>
      <c r="B312" s="1219"/>
      <c r="C312">
        <v>2.0240000000000005</v>
      </c>
      <c r="D312" s="91">
        <v>44882</v>
      </c>
    </row>
    <row r="313" spans="1:4">
      <c r="A313" t="s">
        <v>1474</v>
      </c>
      <c r="B313" s="1219"/>
      <c r="C313">
        <v>2.8039000000000001</v>
      </c>
      <c r="D313" s="91">
        <v>44882</v>
      </c>
    </row>
    <row r="314" spans="1:4">
      <c r="A314" t="s">
        <v>1475</v>
      </c>
      <c r="B314" s="1219"/>
      <c r="C314">
        <v>2.4068000000000005</v>
      </c>
      <c r="D314" s="91">
        <v>44882</v>
      </c>
    </row>
    <row r="315" spans="1:4">
      <c r="A315" t="s">
        <v>1476</v>
      </c>
      <c r="B315" s="1219"/>
      <c r="C315">
        <v>1.837</v>
      </c>
      <c r="D315" s="91">
        <v>44882</v>
      </c>
    </row>
    <row r="316" spans="1:4">
      <c r="A316" t="s">
        <v>1477</v>
      </c>
      <c r="B316" s="1219"/>
      <c r="C316">
        <v>0.32230000000000003</v>
      </c>
      <c r="D316" s="91">
        <v>44882</v>
      </c>
    </row>
    <row r="317" spans="1:4">
      <c r="A317" t="s">
        <v>1478</v>
      </c>
      <c r="B317" s="1219"/>
      <c r="C317">
        <v>0.49720000000000003</v>
      </c>
      <c r="D317" s="91">
        <v>44882</v>
      </c>
    </row>
    <row r="318" spans="1:4">
      <c r="A318" t="s">
        <v>1479</v>
      </c>
      <c r="B318" s="1219"/>
      <c r="C318">
        <v>0.7491000000000001</v>
      </c>
      <c r="D318" s="91">
        <v>44882</v>
      </c>
    </row>
    <row r="319" spans="1:4">
      <c r="A319" t="s">
        <v>1480</v>
      </c>
      <c r="B319" s="1219"/>
      <c r="C319">
        <v>0.60060000000000013</v>
      </c>
      <c r="D319" s="91">
        <v>44882</v>
      </c>
    </row>
    <row r="320" spans="1:4">
      <c r="A320" t="s">
        <v>1481</v>
      </c>
      <c r="B320" s="1219"/>
      <c r="C320">
        <v>1.3794000000000002</v>
      </c>
      <c r="D320" s="91">
        <v>44882</v>
      </c>
    </row>
    <row r="321" spans="1:4">
      <c r="A321" t="s">
        <v>1482</v>
      </c>
      <c r="B321" s="1219"/>
      <c r="C321">
        <v>0.43340000000000006</v>
      </c>
      <c r="D321" s="91">
        <v>44882</v>
      </c>
    </row>
    <row r="322" spans="1:4">
      <c r="A322" t="s">
        <v>1483</v>
      </c>
      <c r="B322" s="1219"/>
      <c r="C322">
        <v>0.96800000000000008</v>
      </c>
      <c r="D322" s="91">
        <v>44882</v>
      </c>
    </row>
    <row r="323" spans="1:4">
      <c r="A323" t="s">
        <v>1484</v>
      </c>
      <c r="B323" s="1219"/>
      <c r="C323">
        <v>0.73480000000000012</v>
      </c>
      <c r="D323" s="91">
        <v>44882</v>
      </c>
    </row>
    <row r="324" spans="1:4">
      <c r="A324" t="s">
        <v>1485</v>
      </c>
      <c r="B324" s="1219"/>
      <c r="C324">
        <v>1.6698000000000002</v>
      </c>
      <c r="D324" s="91">
        <v>44882</v>
      </c>
    </row>
    <row r="325" spans="1:4">
      <c r="A325" t="s">
        <v>1486</v>
      </c>
      <c r="B325" s="1219"/>
      <c r="C325">
        <v>0.96800000000000008</v>
      </c>
      <c r="D325" s="91">
        <v>44882</v>
      </c>
    </row>
    <row r="326" spans="1:4">
      <c r="A326" t="s">
        <v>1487</v>
      </c>
      <c r="B326" s="1219"/>
      <c r="C326">
        <v>1.3343000000000003</v>
      </c>
      <c r="D326" s="91">
        <v>44882</v>
      </c>
    </row>
    <row r="327" spans="1:4">
      <c r="A327" t="s">
        <v>1488</v>
      </c>
      <c r="B327" s="1219"/>
      <c r="C327">
        <v>1.5631000000000002</v>
      </c>
      <c r="D327" s="91">
        <v>44882</v>
      </c>
    </row>
    <row r="328" spans="1:4">
      <c r="A328" t="s">
        <v>1489</v>
      </c>
      <c r="B328" s="1219"/>
      <c r="C328">
        <v>1.1737</v>
      </c>
      <c r="D328" s="91">
        <v>44882</v>
      </c>
    </row>
    <row r="329" spans="1:4">
      <c r="A329" t="s">
        <v>1490</v>
      </c>
      <c r="B329" s="1219"/>
      <c r="C329">
        <v>0.1133</v>
      </c>
      <c r="D329" s="91">
        <v>44882</v>
      </c>
    </row>
    <row r="330" spans="1:4">
      <c r="A330" t="s">
        <v>1491</v>
      </c>
      <c r="B330" s="1219"/>
      <c r="C330">
        <v>0.12870000000000001</v>
      </c>
      <c r="D330" s="91">
        <v>44882</v>
      </c>
    </row>
    <row r="331" spans="1:4">
      <c r="A331" t="s">
        <v>1492</v>
      </c>
      <c r="B331" s="1219"/>
      <c r="C331">
        <v>0.1023</v>
      </c>
      <c r="D331" s="91">
        <v>44882</v>
      </c>
    </row>
    <row r="332" spans="1:4">
      <c r="A332" t="s">
        <v>1493</v>
      </c>
      <c r="B332" s="1219"/>
      <c r="C332">
        <v>0.12430000000000001</v>
      </c>
      <c r="D332" s="91">
        <v>44882</v>
      </c>
    </row>
    <row r="333" spans="1:4">
      <c r="A333" t="s">
        <v>1494</v>
      </c>
      <c r="B333" s="1219"/>
      <c r="C333">
        <v>0.1023</v>
      </c>
      <c r="D333" s="91">
        <v>44882</v>
      </c>
    </row>
    <row r="334" spans="1:4">
      <c r="A334" t="s">
        <v>1495</v>
      </c>
      <c r="B334" s="1219"/>
      <c r="C334">
        <v>0.17710000000000001</v>
      </c>
      <c r="D334" s="91">
        <v>44882</v>
      </c>
    </row>
    <row r="335" spans="1:4">
      <c r="A335" t="s">
        <v>1496</v>
      </c>
      <c r="B335" s="1219"/>
      <c r="C335">
        <v>0.17710000000000001</v>
      </c>
      <c r="D335" s="91">
        <v>44882</v>
      </c>
    </row>
    <row r="336" spans="1:4">
      <c r="A336" t="s">
        <v>1497</v>
      </c>
      <c r="B336" s="1219"/>
      <c r="C336">
        <v>0.28710000000000002</v>
      </c>
      <c r="D336" s="91">
        <v>44882</v>
      </c>
    </row>
    <row r="337" spans="1:4">
      <c r="A337" t="s">
        <v>1498</v>
      </c>
      <c r="B337" s="1219"/>
      <c r="C337">
        <v>0.48290000000000005</v>
      </c>
      <c r="D337" s="91">
        <v>44882</v>
      </c>
    </row>
    <row r="338" spans="1:4">
      <c r="A338" t="s">
        <v>1499</v>
      </c>
      <c r="B338" s="1219"/>
      <c r="C338">
        <v>0.48290000000000005</v>
      </c>
      <c r="D338" s="91">
        <v>44882</v>
      </c>
    </row>
    <row r="339" spans="1:4">
      <c r="A339" t="s">
        <v>1500</v>
      </c>
      <c r="B339" s="1219"/>
      <c r="C339">
        <v>0.69190000000000007</v>
      </c>
      <c r="D339" s="91">
        <v>44882</v>
      </c>
    </row>
    <row r="340" spans="1:4">
      <c r="A340" t="s">
        <v>1501</v>
      </c>
      <c r="B340" s="1219"/>
      <c r="C340">
        <v>1.1946000000000001</v>
      </c>
      <c r="D340" s="91">
        <v>44882</v>
      </c>
    </row>
    <row r="341" spans="1:4">
      <c r="A341" t="s">
        <v>1502</v>
      </c>
      <c r="B341" s="1219"/>
      <c r="C341">
        <v>1.8766</v>
      </c>
      <c r="D341" s="91">
        <v>44882</v>
      </c>
    </row>
    <row r="342" spans="1:4">
      <c r="A342" t="s">
        <v>1503</v>
      </c>
      <c r="B342" s="1219"/>
      <c r="C342">
        <v>2.9359000000000002</v>
      </c>
      <c r="D342" s="91">
        <v>44882</v>
      </c>
    </row>
    <row r="343" spans="1:4">
      <c r="A343" t="s">
        <v>1504</v>
      </c>
      <c r="B343" s="1219"/>
      <c r="C343">
        <v>2.9238</v>
      </c>
      <c r="D343" s="91">
        <v>44882</v>
      </c>
    </row>
    <row r="344" spans="1:4">
      <c r="A344" t="s">
        <v>1505</v>
      </c>
      <c r="B344" s="1219"/>
      <c r="C344">
        <v>4.3615000000000004</v>
      </c>
      <c r="D344" s="91">
        <v>44882</v>
      </c>
    </row>
    <row r="345" spans="1:4">
      <c r="A345" t="s">
        <v>1506</v>
      </c>
      <c r="B345" s="1219"/>
      <c r="C345">
        <v>6.4372000000000007</v>
      </c>
      <c r="D345" s="91">
        <v>44882</v>
      </c>
    </row>
    <row r="346" spans="1:4">
      <c r="A346" t="s">
        <v>1507</v>
      </c>
      <c r="B346" s="1219"/>
      <c r="C346">
        <v>9.0343</v>
      </c>
      <c r="D346" s="91">
        <v>44882</v>
      </c>
    </row>
    <row r="347" spans="1:4">
      <c r="A347" t="s">
        <v>1508</v>
      </c>
      <c r="B347" s="1219"/>
      <c r="C347">
        <v>0.80630000000000002</v>
      </c>
      <c r="D347" s="91">
        <v>44882</v>
      </c>
    </row>
    <row r="348" spans="1:4">
      <c r="A348" t="s">
        <v>1509</v>
      </c>
      <c r="B348" s="1219"/>
      <c r="C348">
        <v>1.1176000000000001</v>
      </c>
      <c r="D348" s="91">
        <v>44882</v>
      </c>
    </row>
    <row r="349" spans="1:4">
      <c r="A349" t="s">
        <v>1510</v>
      </c>
      <c r="B349" s="1219"/>
      <c r="C349">
        <v>0.94930000000000003</v>
      </c>
      <c r="D349" s="91">
        <v>44882</v>
      </c>
    </row>
    <row r="350" spans="1:4">
      <c r="A350" t="s">
        <v>1511</v>
      </c>
      <c r="B350" s="1219"/>
      <c r="C350">
        <v>1.2067000000000001</v>
      </c>
      <c r="D350" s="91">
        <v>44882</v>
      </c>
    </row>
    <row r="351" spans="1:4">
      <c r="A351" t="s">
        <v>1512</v>
      </c>
      <c r="B351" s="1219"/>
      <c r="C351">
        <v>1.3541000000000003</v>
      </c>
      <c r="D351" s="91">
        <v>44882</v>
      </c>
    </row>
    <row r="352" spans="1:4">
      <c r="A352" t="s">
        <v>1513</v>
      </c>
      <c r="B352" s="1219"/>
      <c r="C352">
        <v>1.7083000000000002</v>
      </c>
      <c r="D352" s="91">
        <v>44882</v>
      </c>
    </row>
    <row r="353" spans="1:4">
      <c r="A353" t="s">
        <v>1514</v>
      </c>
      <c r="B353" s="1219"/>
      <c r="C353">
        <v>2.3848000000000003</v>
      </c>
      <c r="D353" s="91">
        <v>44882</v>
      </c>
    </row>
    <row r="354" spans="1:4">
      <c r="A354" t="s">
        <v>1515</v>
      </c>
      <c r="B354" s="1219"/>
      <c r="C354">
        <v>1.9118000000000002</v>
      </c>
      <c r="D354" s="91">
        <v>44882</v>
      </c>
    </row>
    <row r="355" spans="1:4">
      <c r="A355" t="s">
        <v>1516</v>
      </c>
      <c r="B355" s="1219"/>
      <c r="C355">
        <v>3.6894000000000005</v>
      </c>
      <c r="D355" s="91">
        <v>44882</v>
      </c>
    </row>
    <row r="356" spans="1:4">
      <c r="A356" t="s">
        <v>1517</v>
      </c>
      <c r="B356" s="1219"/>
      <c r="C356">
        <v>2.7808000000000002</v>
      </c>
      <c r="D356" s="91">
        <v>44882</v>
      </c>
    </row>
    <row r="357" spans="1:4">
      <c r="A357" t="s">
        <v>1518</v>
      </c>
      <c r="B357" s="1219"/>
      <c r="C357">
        <v>5.1535000000000002</v>
      </c>
      <c r="D357" s="91">
        <v>44882</v>
      </c>
    </row>
    <row r="358" spans="1:4">
      <c r="A358" t="s">
        <v>1519</v>
      </c>
      <c r="B358" s="1219"/>
      <c r="C358">
        <v>4.2625000000000002</v>
      </c>
      <c r="D358" s="91">
        <v>44882</v>
      </c>
    </row>
    <row r="359" spans="1:4">
      <c r="A359" t="s">
        <v>1520</v>
      </c>
      <c r="B359" s="1219"/>
      <c r="C359">
        <v>6.2678000000000011</v>
      </c>
      <c r="D359" s="91">
        <v>44882</v>
      </c>
    </row>
    <row r="360" spans="1:4">
      <c r="A360" t="s">
        <v>1521</v>
      </c>
      <c r="B360" s="1219"/>
      <c r="C360">
        <v>7.5438000000000001</v>
      </c>
      <c r="D360" s="91">
        <v>44882</v>
      </c>
    </row>
    <row r="361" spans="1:4">
      <c r="A361" t="s">
        <v>1522</v>
      </c>
      <c r="B361" s="1219"/>
      <c r="C361">
        <v>9.0530000000000008</v>
      </c>
      <c r="D361" s="91">
        <v>44882</v>
      </c>
    </row>
    <row r="362" spans="1:4">
      <c r="A362" t="s">
        <v>1523</v>
      </c>
      <c r="B362" s="1219"/>
      <c r="C362">
        <v>10.9472</v>
      </c>
      <c r="D362" s="91">
        <v>44882</v>
      </c>
    </row>
    <row r="363" spans="1:4">
      <c r="A363" t="s">
        <v>1524</v>
      </c>
      <c r="B363" s="1219"/>
      <c r="C363">
        <v>38.165599999999998</v>
      </c>
      <c r="D363" s="91">
        <v>44882</v>
      </c>
    </row>
    <row r="364" spans="1:4">
      <c r="A364" t="s">
        <v>1525</v>
      </c>
      <c r="B364" s="1219"/>
      <c r="C364">
        <v>57.565200000000004</v>
      </c>
      <c r="D364" s="91">
        <v>44882</v>
      </c>
    </row>
    <row r="365" spans="1:4">
      <c r="A365" t="s">
        <v>1526</v>
      </c>
      <c r="B365" s="1219"/>
      <c r="C365">
        <v>70.510000000000005</v>
      </c>
      <c r="D365" s="91">
        <v>44882</v>
      </c>
    </row>
    <row r="366" spans="1:4">
      <c r="A366" t="s">
        <v>1527</v>
      </c>
      <c r="B366" s="1219"/>
      <c r="C366">
        <v>1.1693</v>
      </c>
      <c r="D366" s="91">
        <v>44882</v>
      </c>
    </row>
    <row r="367" spans="1:4">
      <c r="A367" t="s">
        <v>1528</v>
      </c>
      <c r="B367" s="1219"/>
      <c r="C367">
        <v>1.2375</v>
      </c>
      <c r="D367" s="91">
        <v>44882</v>
      </c>
    </row>
    <row r="368" spans="1:4">
      <c r="A368" t="s">
        <v>1529</v>
      </c>
      <c r="B368" s="1219"/>
      <c r="C368">
        <v>1.8502000000000001</v>
      </c>
      <c r="D368" s="91">
        <v>44882</v>
      </c>
    </row>
    <row r="369" spans="1:4">
      <c r="A369" t="s">
        <v>1530</v>
      </c>
      <c r="B369" s="1219"/>
      <c r="C369">
        <v>54.201400000000007</v>
      </c>
      <c r="D369" s="91">
        <v>44882</v>
      </c>
    </row>
    <row r="370" spans="1:4">
      <c r="A370" t="s">
        <v>1531</v>
      </c>
      <c r="B370" s="1219"/>
      <c r="C370">
        <v>3.3363</v>
      </c>
      <c r="D370" s="91">
        <v>44882</v>
      </c>
    </row>
    <row r="371" spans="1:4">
      <c r="A371" t="s">
        <v>1532</v>
      </c>
      <c r="B371" s="1219"/>
      <c r="C371">
        <v>15.823500000000001</v>
      </c>
      <c r="D371" s="91">
        <v>44882</v>
      </c>
    </row>
    <row r="372" spans="1:4">
      <c r="A372" t="s">
        <v>1533</v>
      </c>
      <c r="B372" s="1219"/>
      <c r="C372">
        <v>18.192900000000002</v>
      </c>
      <c r="D372" s="91">
        <v>44882</v>
      </c>
    </row>
    <row r="373" spans="1:4">
      <c r="A373" t="s">
        <v>1534</v>
      </c>
      <c r="B373" s="1219"/>
      <c r="C373">
        <v>22.220000000000002</v>
      </c>
      <c r="D373" s="91">
        <v>44882</v>
      </c>
    </row>
    <row r="374" spans="1:4">
      <c r="A374" t="s">
        <v>1535</v>
      </c>
      <c r="B374" s="1219"/>
      <c r="C374">
        <v>26.639800000000001</v>
      </c>
      <c r="D374" s="91">
        <v>44882</v>
      </c>
    </row>
    <row r="375" spans="1:4">
      <c r="A375" t="s">
        <v>1536</v>
      </c>
      <c r="B375" s="1219"/>
      <c r="C375">
        <v>0.74360000000000015</v>
      </c>
      <c r="D375" s="91">
        <v>44882</v>
      </c>
    </row>
    <row r="376" spans="1:4">
      <c r="A376" t="s">
        <v>1537</v>
      </c>
      <c r="B376" s="1219"/>
      <c r="C376">
        <v>0.92620000000000002</v>
      </c>
      <c r="D376" s="91">
        <v>44882</v>
      </c>
    </row>
    <row r="377" spans="1:4">
      <c r="A377" t="s">
        <v>1538</v>
      </c>
      <c r="B377" s="1219"/>
      <c r="C377">
        <v>0.21780000000000002</v>
      </c>
      <c r="D377" s="91">
        <v>44882</v>
      </c>
    </row>
    <row r="378" spans="1:4">
      <c r="A378" t="s">
        <v>1539</v>
      </c>
      <c r="B378" s="1219"/>
      <c r="C378">
        <v>4.8004000000000007</v>
      </c>
      <c r="D378" s="91">
        <v>44882</v>
      </c>
    </row>
    <row r="379" spans="1:4">
      <c r="A379" t="s">
        <v>1540</v>
      </c>
      <c r="B379" s="1219"/>
      <c r="C379">
        <v>6.9916</v>
      </c>
      <c r="D379" s="91">
        <v>44882</v>
      </c>
    </row>
    <row r="380" spans="1:4">
      <c r="A380" t="s">
        <v>1541</v>
      </c>
      <c r="B380" s="1219"/>
      <c r="C380">
        <v>11.844800000000001</v>
      </c>
      <c r="D380" s="91">
        <v>44882</v>
      </c>
    </row>
    <row r="381" spans="1:4">
      <c r="A381" t="s">
        <v>1542</v>
      </c>
      <c r="B381" s="1219"/>
      <c r="C381">
        <v>0.56540000000000001</v>
      </c>
      <c r="D381" s="91">
        <v>44882</v>
      </c>
    </row>
    <row r="382" spans="1:4">
      <c r="A382" t="s">
        <v>1543</v>
      </c>
      <c r="B382" s="1219"/>
      <c r="C382">
        <v>0.42680000000000007</v>
      </c>
      <c r="D382" s="91">
        <v>44882</v>
      </c>
    </row>
    <row r="383" spans="1:4">
      <c r="A383" t="s">
        <v>1544</v>
      </c>
      <c r="B383" s="1219"/>
      <c r="C383">
        <v>0.34430000000000005</v>
      </c>
      <c r="D383" s="91">
        <v>44882</v>
      </c>
    </row>
    <row r="384" spans="1:4">
      <c r="A384" t="s">
        <v>1545</v>
      </c>
      <c r="B384" s="1219"/>
      <c r="C384">
        <v>0.42240000000000005</v>
      </c>
      <c r="D384" s="91">
        <v>44882</v>
      </c>
    </row>
    <row r="385" spans="1:4">
      <c r="A385" t="s">
        <v>1546</v>
      </c>
      <c r="B385" s="1219"/>
      <c r="C385">
        <v>0.42240000000000005</v>
      </c>
      <c r="D385" s="91">
        <v>44882</v>
      </c>
    </row>
    <row r="386" spans="1:4">
      <c r="A386" t="s">
        <v>1547</v>
      </c>
      <c r="B386" s="1219"/>
      <c r="C386">
        <v>0.52139999999999997</v>
      </c>
      <c r="D386" s="91">
        <v>44882</v>
      </c>
    </row>
    <row r="387" spans="1:4">
      <c r="A387" t="s">
        <v>1548</v>
      </c>
      <c r="B387" s="1219"/>
      <c r="C387">
        <v>0.52139999999999997</v>
      </c>
      <c r="D387" s="91">
        <v>44882</v>
      </c>
    </row>
    <row r="388" spans="1:4">
      <c r="A388" t="s">
        <v>1549</v>
      </c>
      <c r="B388" s="1219"/>
      <c r="C388">
        <v>0.52139999999999997</v>
      </c>
      <c r="D388" s="91">
        <v>44882</v>
      </c>
    </row>
    <row r="389" spans="1:4">
      <c r="A389" t="s">
        <v>1550</v>
      </c>
      <c r="B389" s="1219"/>
      <c r="C389">
        <v>0.62149999999999994</v>
      </c>
      <c r="D389" s="91">
        <v>44882</v>
      </c>
    </row>
    <row r="390" spans="1:4">
      <c r="A390" t="s">
        <v>1551</v>
      </c>
      <c r="B390" s="1219"/>
      <c r="C390">
        <v>0.62149999999999994</v>
      </c>
      <c r="D390" s="91">
        <v>44882</v>
      </c>
    </row>
    <row r="391" spans="1:4">
      <c r="A391" t="s">
        <v>1552</v>
      </c>
      <c r="B391" s="1219"/>
      <c r="C391">
        <v>0.62149999999999994</v>
      </c>
      <c r="D391" s="91">
        <v>44882</v>
      </c>
    </row>
    <row r="392" spans="1:4">
      <c r="A392" t="s">
        <v>1553</v>
      </c>
      <c r="B392" s="1219"/>
      <c r="C392">
        <v>1.0076000000000001</v>
      </c>
      <c r="D392" s="91">
        <v>44882</v>
      </c>
    </row>
    <row r="393" spans="1:4">
      <c r="A393" t="s">
        <v>1554</v>
      </c>
      <c r="B393" s="1219"/>
      <c r="C393">
        <v>1.0076000000000001</v>
      </c>
      <c r="D393" s="91">
        <v>44882</v>
      </c>
    </row>
    <row r="394" spans="1:4">
      <c r="A394" t="s">
        <v>1555</v>
      </c>
      <c r="B394" s="1219"/>
      <c r="C394">
        <v>1.4190000000000003</v>
      </c>
      <c r="D394" s="91">
        <v>44882</v>
      </c>
    </row>
    <row r="395" spans="1:4">
      <c r="A395" t="s">
        <v>1556</v>
      </c>
      <c r="B395" s="1219"/>
      <c r="C395">
        <v>1.3134000000000001</v>
      </c>
      <c r="D395" s="91">
        <v>44882</v>
      </c>
    </row>
    <row r="396" spans="1:4">
      <c r="A396" t="s">
        <v>1557</v>
      </c>
      <c r="B396" s="1219"/>
      <c r="C396">
        <v>1.1440000000000001</v>
      </c>
      <c r="D396" s="91">
        <v>44882</v>
      </c>
    </row>
    <row r="397" spans="1:4">
      <c r="A397" t="s">
        <v>1558</v>
      </c>
      <c r="B397" s="1219"/>
      <c r="C397">
        <v>2.1537999999999999</v>
      </c>
      <c r="D397" s="91">
        <v>44882</v>
      </c>
    </row>
    <row r="398" spans="1:4">
      <c r="A398" t="s">
        <v>1559</v>
      </c>
      <c r="B398" s="1219"/>
      <c r="C398">
        <v>2.1537999999999999</v>
      </c>
      <c r="D398" s="91">
        <v>44882</v>
      </c>
    </row>
    <row r="399" spans="1:4">
      <c r="A399" t="s">
        <v>1560</v>
      </c>
      <c r="B399" s="1219"/>
      <c r="C399">
        <v>1.7358000000000002</v>
      </c>
      <c r="D399" s="91">
        <v>44882</v>
      </c>
    </row>
    <row r="400" spans="1:4">
      <c r="A400" t="s">
        <v>1561</v>
      </c>
      <c r="B400" s="1219"/>
      <c r="C400">
        <v>2.6246000000000005</v>
      </c>
      <c r="D400" s="91">
        <v>44882</v>
      </c>
    </row>
    <row r="401" spans="1:4">
      <c r="A401" t="s">
        <v>1562</v>
      </c>
      <c r="B401" s="1219"/>
      <c r="C401">
        <v>2.9656000000000002</v>
      </c>
      <c r="D401" s="91">
        <v>44882</v>
      </c>
    </row>
    <row r="402" spans="1:4">
      <c r="A402" t="s">
        <v>1563</v>
      </c>
      <c r="B402" s="1219"/>
      <c r="C402">
        <v>2.6246000000000005</v>
      </c>
      <c r="D402" s="91">
        <v>44882</v>
      </c>
    </row>
    <row r="403" spans="1:4">
      <c r="A403" t="s">
        <v>1564</v>
      </c>
      <c r="B403" s="1219"/>
      <c r="C403">
        <v>4.2647000000000004</v>
      </c>
      <c r="D403" s="91">
        <v>44882</v>
      </c>
    </row>
    <row r="404" spans="1:4">
      <c r="A404" t="s">
        <v>1565</v>
      </c>
      <c r="B404" s="1219"/>
      <c r="C404">
        <v>3.5882000000000005</v>
      </c>
      <c r="D404" s="91">
        <v>44882</v>
      </c>
    </row>
    <row r="405" spans="1:4">
      <c r="A405" t="s">
        <v>1566</v>
      </c>
      <c r="B405" s="1219"/>
      <c r="C405">
        <v>4.406600000000001</v>
      </c>
      <c r="D405" s="91">
        <v>44882</v>
      </c>
    </row>
    <row r="406" spans="1:4">
      <c r="A406" t="s">
        <v>1567</v>
      </c>
      <c r="B406" s="1219"/>
      <c r="C406">
        <v>4.406600000000001</v>
      </c>
      <c r="D406" s="91">
        <v>44882</v>
      </c>
    </row>
    <row r="407" spans="1:4">
      <c r="A407" t="s">
        <v>1568</v>
      </c>
      <c r="B407" s="1219"/>
      <c r="C407">
        <v>5.5</v>
      </c>
      <c r="D407" s="91">
        <v>44882</v>
      </c>
    </row>
    <row r="408" spans="1:4">
      <c r="A408" t="s">
        <v>1569</v>
      </c>
      <c r="B408" s="1219"/>
      <c r="C408">
        <v>3.2186000000000003</v>
      </c>
      <c r="D408" s="91">
        <v>44882</v>
      </c>
    </row>
    <row r="409" spans="1:4">
      <c r="A409" t="s">
        <v>1570</v>
      </c>
      <c r="B409" s="1219"/>
      <c r="C409">
        <v>0.80520000000000003</v>
      </c>
      <c r="D409" s="91">
        <v>44882</v>
      </c>
    </row>
    <row r="410" spans="1:4">
      <c r="A410" t="s">
        <v>1571</v>
      </c>
      <c r="B410" s="1219"/>
      <c r="C410">
        <v>1.0274000000000001</v>
      </c>
      <c r="D410" s="91">
        <v>44882</v>
      </c>
    </row>
    <row r="411" spans="1:4">
      <c r="A411" t="s">
        <v>1572</v>
      </c>
      <c r="B411" s="1219"/>
      <c r="C411">
        <v>1.5015000000000001</v>
      </c>
      <c r="D411" s="91">
        <v>44882</v>
      </c>
    </row>
    <row r="412" spans="1:4">
      <c r="A412" t="s">
        <v>1573</v>
      </c>
      <c r="B412" s="1219"/>
      <c r="C412">
        <v>66</v>
      </c>
      <c r="D412" s="91">
        <v>44882</v>
      </c>
    </row>
    <row r="413" spans="1:4">
      <c r="A413" t="s">
        <v>1574</v>
      </c>
      <c r="B413" s="1219"/>
      <c r="C413">
        <v>66</v>
      </c>
      <c r="D413" s="91">
        <v>44882</v>
      </c>
    </row>
    <row r="414" spans="1:4">
      <c r="A414" t="s">
        <v>1575</v>
      </c>
      <c r="B414" s="1219"/>
      <c r="C414">
        <v>66</v>
      </c>
      <c r="D414" s="91">
        <v>44882</v>
      </c>
    </row>
    <row r="415" spans="1:4">
      <c r="A415" t="s">
        <v>1576</v>
      </c>
      <c r="B415" s="1219"/>
      <c r="C415">
        <v>66</v>
      </c>
      <c r="D415" s="91">
        <v>44882</v>
      </c>
    </row>
    <row r="416" spans="1:4">
      <c r="A416" t="s">
        <v>1577</v>
      </c>
      <c r="B416" s="1219"/>
      <c r="C416">
        <v>110.00000000000001</v>
      </c>
      <c r="D416" s="91">
        <v>44882</v>
      </c>
    </row>
    <row r="417" spans="1:4">
      <c r="A417" t="s">
        <v>1578</v>
      </c>
      <c r="B417" s="1219"/>
      <c r="C417">
        <v>176</v>
      </c>
      <c r="D417" s="91">
        <v>44882</v>
      </c>
    </row>
    <row r="418" spans="1:4">
      <c r="A418" t="s">
        <v>1579</v>
      </c>
      <c r="B418" s="1219"/>
      <c r="C418">
        <v>242.00000000000003</v>
      </c>
      <c r="D418" s="91">
        <v>44882</v>
      </c>
    </row>
    <row r="419" spans="1:4">
      <c r="A419" t="s">
        <v>1580</v>
      </c>
      <c r="B419" s="1219"/>
      <c r="C419">
        <v>28.6</v>
      </c>
      <c r="D419" s="91">
        <v>44882</v>
      </c>
    </row>
    <row r="420" spans="1:4">
      <c r="A420" t="s">
        <v>1581</v>
      </c>
      <c r="B420" s="1219"/>
      <c r="C420">
        <v>63.371000000000002</v>
      </c>
      <c r="D420" s="91">
        <v>44882</v>
      </c>
    </row>
    <row r="421" spans="1:4">
      <c r="A421" t="s">
        <v>1582</v>
      </c>
      <c r="B421" s="1219"/>
      <c r="C421">
        <v>32.175000000000004</v>
      </c>
      <c r="D421" s="91">
        <v>44882</v>
      </c>
    </row>
    <row r="422" spans="1:4">
      <c r="A422" t="s">
        <v>1583</v>
      </c>
      <c r="B422" s="1219"/>
      <c r="C422">
        <v>18.480000000000004</v>
      </c>
      <c r="D422" s="91">
        <v>44882</v>
      </c>
    </row>
    <row r="423" spans="1:4">
      <c r="A423" t="s">
        <v>1584</v>
      </c>
      <c r="B423" s="1219"/>
      <c r="C423">
        <v>97.240000000000009</v>
      </c>
      <c r="D423" s="91">
        <v>44882</v>
      </c>
    </row>
    <row r="424" spans="1:4">
      <c r="A424" t="s">
        <v>1585</v>
      </c>
      <c r="B424" s="1219"/>
      <c r="C424">
        <v>120.83500000000001</v>
      </c>
      <c r="D424" s="91">
        <v>44882</v>
      </c>
    </row>
    <row r="425" spans="1:4">
      <c r="A425" t="s">
        <v>1586</v>
      </c>
      <c r="B425" s="1219"/>
      <c r="C425">
        <v>478.50000000000006</v>
      </c>
      <c r="D425" s="91">
        <v>44882</v>
      </c>
    </row>
    <row r="426" spans="1:4">
      <c r="A426" t="s">
        <v>1587</v>
      </c>
      <c r="B426" s="1219"/>
      <c r="C426">
        <v>145.86000000000001</v>
      </c>
      <c r="D426" s="91">
        <v>44882</v>
      </c>
    </row>
    <row r="427" spans="1:4">
      <c r="A427" t="s">
        <v>1588</v>
      </c>
      <c r="B427" s="1219"/>
      <c r="C427">
        <v>186.61500000000001</v>
      </c>
      <c r="D427" s="91">
        <v>44882</v>
      </c>
    </row>
    <row r="428" spans="1:4">
      <c r="A428" t="s">
        <v>1589</v>
      </c>
      <c r="B428" s="1219"/>
      <c r="C428">
        <v>175.17500000000001</v>
      </c>
      <c r="D428" s="91">
        <v>44882</v>
      </c>
    </row>
    <row r="429" spans="1:4">
      <c r="A429" t="s">
        <v>1590</v>
      </c>
      <c r="B429" s="1219"/>
      <c r="C429">
        <v>175.17500000000001</v>
      </c>
      <c r="D429" s="91">
        <v>44882</v>
      </c>
    </row>
    <row r="430" spans="1:4">
      <c r="A430" t="s">
        <v>1591</v>
      </c>
      <c r="B430" s="1219"/>
      <c r="C430">
        <v>175.17500000000001</v>
      </c>
      <c r="D430" s="91">
        <v>44882</v>
      </c>
    </row>
    <row r="431" spans="1:4">
      <c r="A431" t="s">
        <v>1592</v>
      </c>
      <c r="B431" s="1219"/>
      <c r="C431">
        <v>186.61500000000001</v>
      </c>
      <c r="D431" s="91">
        <v>44882</v>
      </c>
    </row>
    <row r="432" spans="1:4">
      <c r="A432" t="s">
        <v>1593</v>
      </c>
      <c r="B432" s="1219"/>
      <c r="C432">
        <v>175.17500000000001</v>
      </c>
      <c r="D432" s="91">
        <v>44882</v>
      </c>
    </row>
    <row r="433" spans="1:4">
      <c r="A433" t="s">
        <v>1594</v>
      </c>
      <c r="B433" s="1219"/>
      <c r="C433">
        <v>278.85000000000002</v>
      </c>
      <c r="D433" s="91">
        <v>44882</v>
      </c>
    </row>
    <row r="434" spans="1:4">
      <c r="A434" t="s">
        <v>1595</v>
      </c>
      <c r="B434" s="1219"/>
      <c r="C434">
        <v>268.84000000000003</v>
      </c>
      <c r="D434" s="91">
        <v>44882</v>
      </c>
    </row>
    <row r="435" spans="1:4">
      <c r="A435" t="s">
        <v>1596</v>
      </c>
      <c r="B435" s="1219"/>
      <c r="C435">
        <v>268.84000000000003</v>
      </c>
      <c r="D435" s="91">
        <v>44882</v>
      </c>
    </row>
    <row r="436" spans="1:4">
      <c r="A436" t="s">
        <v>1597</v>
      </c>
      <c r="B436" s="1219"/>
      <c r="C436">
        <v>279.56500000000005</v>
      </c>
      <c r="D436" s="91">
        <v>44882</v>
      </c>
    </row>
    <row r="437" spans="1:4">
      <c r="A437" t="s">
        <v>1598</v>
      </c>
      <c r="B437" s="1219"/>
      <c r="C437">
        <v>494.78000000000003</v>
      </c>
      <c r="D437" s="91">
        <v>44882</v>
      </c>
    </row>
    <row r="438" spans="1:4">
      <c r="A438" t="s">
        <v>1599</v>
      </c>
      <c r="B438" s="1219"/>
      <c r="C438">
        <v>475.47500000000002</v>
      </c>
      <c r="D438" s="91">
        <v>44882</v>
      </c>
    </row>
    <row r="439" spans="1:4">
      <c r="A439" t="s">
        <v>1600</v>
      </c>
      <c r="B439" s="1219"/>
      <c r="C439">
        <v>471.90000000000003</v>
      </c>
      <c r="D439" s="91">
        <v>44882</v>
      </c>
    </row>
    <row r="440" spans="1:4">
      <c r="A440" t="s">
        <v>1601</v>
      </c>
      <c r="B440" s="1219"/>
      <c r="C440">
        <v>950.23500000000013</v>
      </c>
      <c r="D440" s="91">
        <v>44882</v>
      </c>
    </row>
    <row r="441" spans="1:4">
      <c r="A441" t="s">
        <v>1602</v>
      </c>
      <c r="B441" s="1219"/>
      <c r="C441">
        <v>501.21500000000003</v>
      </c>
      <c r="D441" s="91">
        <v>44882</v>
      </c>
    </row>
    <row r="442" spans="1:4">
      <c r="A442" t="s">
        <v>1603</v>
      </c>
      <c r="B442" s="1219"/>
      <c r="C442">
        <v>467.61000000000007</v>
      </c>
      <c r="D442" s="91">
        <v>44882</v>
      </c>
    </row>
    <row r="443" spans="1:4">
      <c r="A443" t="s">
        <v>1604</v>
      </c>
      <c r="B443" s="1219"/>
      <c r="C443">
        <v>733.59</v>
      </c>
      <c r="D443" s="91">
        <v>44882</v>
      </c>
    </row>
    <row r="444" spans="1:4">
      <c r="A444" t="s">
        <v>1605</v>
      </c>
      <c r="B444" s="1219"/>
      <c r="C444">
        <v>541.97</v>
      </c>
      <c r="D444" s="91">
        <v>44882</v>
      </c>
    </row>
    <row r="445" spans="1:4">
      <c r="A445" t="s">
        <v>1606</v>
      </c>
      <c r="B445" s="1219"/>
      <c r="C445">
        <v>945.23</v>
      </c>
      <c r="D445" s="91">
        <v>44882</v>
      </c>
    </row>
    <row r="446" spans="1:4">
      <c r="A446" t="s">
        <v>1607</v>
      </c>
      <c r="B446" s="1219"/>
      <c r="C446">
        <v>945.23</v>
      </c>
      <c r="D446" s="91">
        <v>44882</v>
      </c>
    </row>
    <row r="447" spans="1:4">
      <c r="A447" t="s">
        <v>1608</v>
      </c>
      <c r="B447" s="1219"/>
      <c r="C447">
        <v>712.14</v>
      </c>
      <c r="D447" s="91">
        <v>44882</v>
      </c>
    </row>
    <row r="448" spans="1:4">
      <c r="A448" t="s">
        <v>1609</v>
      </c>
      <c r="B448" s="1219"/>
      <c r="C448">
        <v>903.7600000000001</v>
      </c>
      <c r="D448" s="91">
        <v>44882</v>
      </c>
    </row>
    <row r="449" spans="1:4">
      <c r="A449" t="s">
        <v>1610</v>
      </c>
      <c r="B449" s="1219"/>
      <c r="C449">
        <v>66</v>
      </c>
      <c r="D449" s="91">
        <v>44882</v>
      </c>
    </row>
    <row r="450" spans="1:4">
      <c r="A450" t="s">
        <v>1611</v>
      </c>
      <c r="B450" s="1219"/>
      <c r="C450">
        <v>66</v>
      </c>
      <c r="D450" s="91">
        <v>44882</v>
      </c>
    </row>
    <row r="451" spans="1:4">
      <c r="A451" t="s">
        <v>1612</v>
      </c>
      <c r="B451" s="1219"/>
      <c r="C451">
        <v>66</v>
      </c>
      <c r="D451" s="91">
        <v>44882</v>
      </c>
    </row>
    <row r="452" spans="1:4">
      <c r="A452" t="s">
        <v>1613</v>
      </c>
      <c r="B452" s="1219"/>
      <c r="C452">
        <v>66</v>
      </c>
      <c r="D452" s="91">
        <v>44882</v>
      </c>
    </row>
    <row r="453" spans="1:4">
      <c r="A453" t="s">
        <v>1614</v>
      </c>
      <c r="B453" s="1219"/>
      <c r="C453">
        <v>66</v>
      </c>
      <c r="D453" s="91">
        <v>44882</v>
      </c>
    </row>
    <row r="454" spans="1:4">
      <c r="A454" t="s">
        <v>1615</v>
      </c>
      <c r="B454" s="1219"/>
      <c r="C454">
        <v>88</v>
      </c>
      <c r="D454" s="91">
        <v>44882</v>
      </c>
    </row>
    <row r="455" spans="1:4">
      <c r="A455" t="s">
        <v>1616</v>
      </c>
      <c r="B455" s="1219"/>
      <c r="C455">
        <v>66</v>
      </c>
      <c r="D455" s="91">
        <v>44882</v>
      </c>
    </row>
    <row r="456" spans="1:4">
      <c r="A456" t="s">
        <v>1617</v>
      </c>
      <c r="B456" s="1219"/>
      <c r="C456">
        <v>66</v>
      </c>
      <c r="D456" s="91">
        <v>44882</v>
      </c>
    </row>
    <row r="457" spans="1:4">
      <c r="A457" t="s">
        <v>1618</v>
      </c>
      <c r="B457" s="1219"/>
      <c r="C457">
        <v>110.00000000000001</v>
      </c>
      <c r="D457" s="91">
        <v>44882</v>
      </c>
    </row>
    <row r="458" spans="1:4">
      <c r="A458" t="s">
        <v>1619</v>
      </c>
      <c r="B458" s="1219"/>
      <c r="C458">
        <v>110.00000000000001</v>
      </c>
      <c r="D458" s="91">
        <v>44882</v>
      </c>
    </row>
    <row r="459" spans="1:4">
      <c r="A459" t="s">
        <v>1620</v>
      </c>
      <c r="B459" s="1219"/>
      <c r="C459">
        <v>110.00000000000001</v>
      </c>
      <c r="D459" s="91">
        <v>44882</v>
      </c>
    </row>
    <row r="460" spans="1:4">
      <c r="A460" t="s">
        <v>1621</v>
      </c>
      <c r="B460" s="1219"/>
      <c r="C460">
        <v>110.00000000000001</v>
      </c>
      <c r="D460" s="91">
        <v>44882</v>
      </c>
    </row>
    <row r="461" spans="1:4">
      <c r="A461" t="s">
        <v>1622</v>
      </c>
      <c r="B461" s="1219"/>
      <c r="C461">
        <v>176</v>
      </c>
      <c r="D461" s="91">
        <v>44882</v>
      </c>
    </row>
    <row r="462" spans="1:4">
      <c r="A462" t="s">
        <v>1623</v>
      </c>
      <c r="B462" s="1219"/>
      <c r="C462">
        <v>176</v>
      </c>
      <c r="D462" s="91">
        <v>44882</v>
      </c>
    </row>
    <row r="463" spans="1:4">
      <c r="A463" t="s">
        <v>1624</v>
      </c>
      <c r="B463" s="1219"/>
      <c r="C463">
        <v>242.00000000000003</v>
      </c>
      <c r="D463" s="91">
        <v>44882</v>
      </c>
    </row>
    <row r="464" spans="1:4">
      <c r="A464" t="s">
        <v>1625</v>
      </c>
      <c r="B464" s="1219"/>
      <c r="C464">
        <v>242.00000000000003</v>
      </c>
      <c r="D464" s="91">
        <v>44882</v>
      </c>
    </row>
    <row r="465" spans="1:4">
      <c r="A465" t="s">
        <v>1626</v>
      </c>
      <c r="B465" s="1219"/>
      <c r="C465">
        <v>242.00000000000003</v>
      </c>
      <c r="D465" s="91">
        <v>44882</v>
      </c>
    </row>
    <row r="466" spans="1:4">
      <c r="A466" t="s">
        <v>1627</v>
      </c>
      <c r="B466" s="1219"/>
      <c r="C466">
        <v>242.00000000000003</v>
      </c>
      <c r="D466" s="91">
        <v>44882</v>
      </c>
    </row>
    <row r="467" spans="1:4">
      <c r="A467" t="s">
        <v>1628</v>
      </c>
      <c r="B467" s="1219"/>
      <c r="C467">
        <v>242.00000000000003</v>
      </c>
      <c r="D467" s="91">
        <v>44882</v>
      </c>
    </row>
    <row r="468" spans="1:4">
      <c r="A468" t="s">
        <v>1629</v>
      </c>
      <c r="B468" s="1219"/>
      <c r="C468">
        <v>242.00000000000003</v>
      </c>
      <c r="D468" s="91">
        <v>44882</v>
      </c>
    </row>
    <row r="469" spans="1:4">
      <c r="A469" t="s">
        <v>1630</v>
      </c>
      <c r="B469" s="1219"/>
      <c r="C469">
        <v>1540.0000000000002</v>
      </c>
      <c r="D469" s="91">
        <v>44882</v>
      </c>
    </row>
    <row r="470" spans="1:4">
      <c r="A470" t="s">
        <v>1631</v>
      </c>
      <c r="B470" s="1219"/>
      <c r="C470">
        <v>242.00000000000003</v>
      </c>
      <c r="D470" s="91">
        <v>44882</v>
      </c>
    </row>
    <row r="471" spans="1:4">
      <c r="A471" t="s">
        <v>1632</v>
      </c>
      <c r="B471" s="1219"/>
      <c r="C471">
        <v>943.08500000000015</v>
      </c>
      <c r="D471" s="91">
        <v>44882</v>
      </c>
    </row>
    <row r="472" spans="1:4">
      <c r="A472" t="s">
        <v>1633</v>
      </c>
      <c r="B472" s="1219"/>
      <c r="C472">
        <v>9784.7750000000015</v>
      </c>
      <c r="D472" s="91">
        <v>44882</v>
      </c>
    </row>
    <row r="473" spans="1:4">
      <c r="A473" t="s">
        <v>1634</v>
      </c>
      <c r="B473" s="1219"/>
      <c r="C473">
        <v>15143.7</v>
      </c>
      <c r="D473" s="91">
        <v>44882</v>
      </c>
    </row>
    <row r="474" spans="1:4">
      <c r="A474" t="s">
        <v>1635</v>
      </c>
      <c r="B474" s="1219"/>
      <c r="C474">
        <v>572</v>
      </c>
      <c r="D474" s="91">
        <v>44882</v>
      </c>
    </row>
    <row r="475" spans="1:4">
      <c r="A475" t="s">
        <v>1636</v>
      </c>
      <c r="B475" s="1219"/>
      <c r="C475">
        <v>627</v>
      </c>
      <c r="D475" s="91">
        <v>44882</v>
      </c>
    </row>
    <row r="476" spans="1:4">
      <c r="A476" t="s">
        <v>1637</v>
      </c>
      <c r="B476" s="1219"/>
      <c r="C476">
        <v>737.00000000000011</v>
      </c>
      <c r="D476" s="91">
        <v>44882</v>
      </c>
    </row>
    <row r="477" spans="1:4">
      <c r="A477" t="s">
        <v>1638</v>
      </c>
      <c r="B477" s="1219"/>
      <c r="C477">
        <v>957.00000000000011</v>
      </c>
      <c r="D477" s="91">
        <v>44882</v>
      </c>
    </row>
    <row r="478" spans="1:4">
      <c r="A478" t="s">
        <v>1639</v>
      </c>
      <c r="B478" s="1219"/>
      <c r="C478">
        <v>1.1000000000000001E-2</v>
      </c>
      <c r="D478" s="91">
        <v>44882</v>
      </c>
    </row>
    <row r="479" spans="1:4">
      <c r="A479" t="s">
        <v>1640</v>
      </c>
      <c r="B479" s="1219"/>
      <c r="C479">
        <v>1.1000000000000001E-2</v>
      </c>
      <c r="D479" s="91">
        <v>44882</v>
      </c>
    </row>
    <row r="480" spans="1:4">
      <c r="A480" t="s">
        <v>1641</v>
      </c>
      <c r="B480" s="1219"/>
      <c r="C480">
        <v>1.1000000000000001E-2</v>
      </c>
      <c r="D480" s="91">
        <v>44882</v>
      </c>
    </row>
    <row r="481" spans="1:4">
      <c r="A481" t="s">
        <v>1642</v>
      </c>
      <c r="B481" s="1219"/>
      <c r="C481">
        <v>1.1000000000000001E-2</v>
      </c>
      <c r="D481" s="91">
        <v>44882</v>
      </c>
    </row>
    <row r="482" spans="1:4">
      <c r="A482" t="s">
        <v>1643</v>
      </c>
      <c r="B482" s="1219"/>
      <c r="C482">
        <v>1.1000000000000001E-2</v>
      </c>
      <c r="D482" s="91">
        <v>44882</v>
      </c>
    </row>
    <row r="483" spans="1:4">
      <c r="A483" t="s">
        <v>1644</v>
      </c>
      <c r="B483" s="1219"/>
      <c r="C483">
        <v>1.1000000000000001E-2</v>
      </c>
      <c r="D483" s="91">
        <v>44882</v>
      </c>
    </row>
    <row r="484" spans="1:4">
      <c r="A484" t="s">
        <v>1645</v>
      </c>
      <c r="B484" s="1219"/>
      <c r="C484">
        <v>104.39000000000001</v>
      </c>
      <c r="D484" s="91">
        <v>44882</v>
      </c>
    </row>
    <row r="485" spans="1:4">
      <c r="A485" t="s">
        <v>1646</v>
      </c>
      <c r="B485" s="1219"/>
      <c r="C485">
        <v>220.22</v>
      </c>
      <c r="D485" s="91">
        <v>44882</v>
      </c>
    </row>
    <row r="486" spans="1:4">
      <c r="A486" t="s">
        <v>1647</v>
      </c>
      <c r="B486" s="1219"/>
      <c r="C486">
        <v>34.32</v>
      </c>
      <c r="D486" s="91">
        <v>44882</v>
      </c>
    </row>
    <row r="487" spans="1:4">
      <c r="A487" t="s">
        <v>1648</v>
      </c>
      <c r="B487" s="1219"/>
      <c r="C487">
        <v>212.52</v>
      </c>
      <c r="D487" s="91">
        <v>44882</v>
      </c>
    </row>
    <row r="488" spans="1:4">
      <c r="A488" t="s">
        <v>1649</v>
      </c>
      <c r="B488" s="1219"/>
      <c r="C488">
        <v>334.62</v>
      </c>
      <c r="D488" s="91">
        <v>44882</v>
      </c>
    </row>
    <row r="489" spans="1:4">
      <c r="A489" t="s">
        <v>1650</v>
      </c>
      <c r="B489" s="1219"/>
      <c r="C489">
        <v>55.055</v>
      </c>
      <c r="D489" s="91">
        <v>44882</v>
      </c>
    </row>
    <row r="490" spans="1:4">
      <c r="A490" t="s">
        <v>1651</v>
      </c>
      <c r="B490" s="1219"/>
      <c r="C490">
        <v>136.1217</v>
      </c>
      <c r="D490" s="91">
        <v>44882</v>
      </c>
    </row>
    <row r="491" spans="1:4">
      <c r="A491" t="s">
        <v>1652</v>
      </c>
      <c r="B491" s="1219"/>
      <c r="C491">
        <v>279.18</v>
      </c>
      <c r="D491" s="91">
        <v>44882</v>
      </c>
    </row>
    <row r="492" spans="1:4">
      <c r="A492" t="s">
        <v>1653</v>
      </c>
      <c r="B492" s="1219"/>
      <c r="C492">
        <v>463.32000000000005</v>
      </c>
      <c r="D492" s="91">
        <v>44882</v>
      </c>
    </row>
    <row r="493" spans="1:4">
      <c r="A493" t="s">
        <v>1654</v>
      </c>
      <c r="B493" s="1219"/>
      <c r="C493">
        <v>433.29</v>
      </c>
      <c r="D493" s="91">
        <v>44882</v>
      </c>
    </row>
    <row r="494" spans="1:4">
      <c r="A494" t="s">
        <v>1655</v>
      </c>
      <c r="B494" s="1219"/>
      <c r="C494">
        <v>166.386</v>
      </c>
      <c r="D494" s="91">
        <v>44882</v>
      </c>
    </row>
    <row r="495" spans="1:4">
      <c r="A495" t="s">
        <v>1656</v>
      </c>
      <c r="B495" s="1219"/>
      <c r="C495">
        <v>241.23000000000002</v>
      </c>
      <c r="D495" s="91">
        <v>44882</v>
      </c>
    </row>
    <row r="496" spans="1:4">
      <c r="A496" t="s">
        <v>1657</v>
      </c>
      <c r="B496" s="1219"/>
      <c r="C496">
        <v>471.18500000000006</v>
      </c>
      <c r="D496" s="91">
        <v>44882</v>
      </c>
    </row>
    <row r="497" spans="1:4">
      <c r="A497" t="s">
        <v>1658</v>
      </c>
      <c r="B497" s="1219"/>
      <c r="C497">
        <v>737.00000000000011</v>
      </c>
      <c r="D497" s="91">
        <v>44882</v>
      </c>
    </row>
    <row r="498" spans="1:4">
      <c r="A498" t="s">
        <v>1659</v>
      </c>
      <c r="B498" s="1219"/>
      <c r="C498">
        <v>415.8</v>
      </c>
      <c r="D498" s="91">
        <v>44882</v>
      </c>
    </row>
    <row r="499" spans="1:4">
      <c r="A499" t="s">
        <v>1660</v>
      </c>
      <c r="B499" s="1219"/>
      <c r="C499">
        <v>415.8</v>
      </c>
      <c r="D499" s="91">
        <v>44882</v>
      </c>
    </row>
    <row r="500" spans="1:4">
      <c r="A500" t="s">
        <v>1661</v>
      </c>
      <c r="B500" s="1219"/>
      <c r="C500">
        <v>632.77500000000009</v>
      </c>
      <c r="D500" s="91">
        <v>44882</v>
      </c>
    </row>
    <row r="501" spans="1:4">
      <c r="A501" t="s">
        <v>1662</v>
      </c>
      <c r="B501" s="1219"/>
      <c r="C501">
        <v>1281.6342</v>
      </c>
      <c r="D501" s="91">
        <v>44882</v>
      </c>
    </row>
    <row r="502" spans="1:4">
      <c r="A502" t="s">
        <v>1663</v>
      </c>
      <c r="B502" s="1219"/>
      <c r="C502">
        <v>268.125</v>
      </c>
      <c r="D502" s="91">
        <v>44882</v>
      </c>
    </row>
    <row r="503" spans="1:4">
      <c r="A503" t="s">
        <v>1664</v>
      </c>
      <c r="B503" s="1219"/>
      <c r="C503">
        <v>367.16900000000004</v>
      </c>
      <c r="D503" s="91">
        <v>44882</v>
      </c>
    </row>
    <row r="504" spans="1:4">
      <c r="A504" t="s">
        <v>1665</v>
      </c>
      <c r="B504" s="1219"/>
      <c r="C504">
        <v>775.50000000000011</v>
      </c>
      <c r="D504" s="91">
        <v>44882</v>
      </c>
    </row>
    <row r="505" spans="1:4">
      <c r="A505" t="s">
        <v>1666</v>
      </c>
      <c r="B505" s="1219"/>
      <c r="C505">
        <v>3069.0000000000005</v>
      </c>
      <c r="D505" s="91">
        <v>44882</v>
      </c>
    </row>
    <row r="506" spans="1:4">
      <c r="A506" t="s">
        <v>1667</v>
      </c>
      <c r="B506" s="1219"/>
      <c r="C506">
        <v>371.12768000000005</v>
      </c>
      <c r="D506" s="91">
        <v>44882</v>
      </c>
    </row>
    <row r="507" spans="1:4">
      <c r="A507" t="s">
        <v>1668</v>
      </c>
      <c r="B507" s="1219"/>
      <c r="C507">
        <v>448.1400000000001</v>
      </c>
      <c r="D507" s="91">
        <v>44882</v>
      </c>
    </row>
    <row r="508" spans="1:4">
      <c r="A508" t="s">
        <v>1669</v>
      </c>
      <c r="B508" s="1219"/>
      <c r="C508">
        <v>378.22399999999999</v>
      </c>
      <c r="D508" s="91">
        <v>44882</v>
      </c>
    </row>
    <row r="509" spans="1:4">
      <c r="A509" t="s">
        <v>1670</v>
      </c>
      <c r="B509" s="1219"/>
      <c r="C509">
        <v>396.06335999999999</v>
      </c>
      <c r="D509" s="91">
        <v>44882</v>
      </c>
    </row>
    <row r="510" spans="1:4">
      <c r="A510" t="s">
        <v>1671</v>
      </c>
      <c r="B510" s="1219"/>
      <c r="C510">
        <v>1165.7184000000002</v>
      </c>
      <c r="D510" s="91">
        <v>44882</v>
      </c>
    </row>
    <row r="511" spans="1:4">
      <c r="A511" t="s">
        <v>1672</v>
      </c>
      <c r="B511" s="1219"/>
      <c r="C511">
        <v>1390.6816000000001</v>
      </c>
      <c r="D511" s="91">
        <v>44882</v>
      </c>
    </row>
    <row r="512" spans="1:4">
      <c r="A512" t="s">
        <v>1673</v>
      </c>
      <c r="B512" s="1219"/>
      <c r="C512">
        <v>1104.3648000000001</v>
      </c>
      <c r="D512" s="91">
        <v>44882</v>
      </c>
    </row>
    <row r="513" spans="1:4">
      <c r="A513" t="s">
        <v>1674</v>
      </c>
      <c r="B513" s="1219"/>
      <c r="C513">
        <v>2303.84</v>
      </c>
      <c r="D513" s="91">
        <v>44882</v>
      </c>
    </row>
    <row r="514" spans="1:4">
      <c r="A514" t="s">
        <v>1675</v>
      </c>
      <c r="B514" s="1219"/>
      <c r="C514">
        <v>1008.0840000000002</v>
      </c>
      <c r="D514" s="91">
        <v>44882</v>
      </c>
    </row>
    <row r="515" spans="1:4">
      <c r="A515" t="s">
        <v>1676</v>
      </c>
      <c r="B515" s="1219"/>
      <c r="C515">
        <v>965.0995200000001</v>
      </c>
      <c r="D515" s="91">
        <v>44882</v>
      </c>
    </row>
    <row r="516" spans="1:4">
      <c r="A516" t="s">
        <v>1677</v>
      </c>
      <c r="B516" s="1219"/>
      <c r="C516">
        <v>912.91200000000003</v>
      </c>
      <c r="D516" s="91">
        <v>44882</v>
      </c>
    </row>
    <row r="517" spans="1:4">
      <c r="A517" t="s">
        <v>1678</v>
      </c>
      <c r="B517" s="1219"/>
      <c r="C517">
        <v>1052.2265600000001</v>
      </c>
      <c r="D517" s="91">
        <v>44882</v>
      </c>
    </row>
    <row r="518" spans="1:4">
      <c r="A518" t="s">
        <v>1679</v>
      </c>
      <c r="B518" s="1219"/>
      <c r="C518">
        <v>2032.8000000000002</v>
      </c>
      <c r="D518" s="91">
        <v>44882</v>
      </c>
    </row>
    <row r="519" spans="1:4">
      <c r="A519" t="s">
        <v>1680</v>
      </c>
      <c r="B519" s="1219"/>
      <c r="C519">
        <v>1151.92</v>
      </c>
      <c r="D519" s="91">
        <v>44882</v>
      </c>
    </row>
    <row r="520" spans="1:4">
      <c r="A520" t="s">
        <v>1681</v>
      </c>
      <c r="B520" s="1219"/>
      <c r="C520">
        <v>1157.7720000000002</v>
      </c>
      <c r="D520" s="91">
        <v>44882</v>
      </c>
    </row>
    <row r="521" spans="1:4">
      <c r="A521" t="s">
        <v>1682</v>
      </c>
      <c r="B521" s="1219"/>
      <c r="C521">
        <v>4607.68</v>
      </c>
      <c r="D521" s="91">
        <v>44882</v>
      </c>
    </row>
    <row r="522" spans="1:4">
      <c r="A522" t="s">
        <v>1683</v>
      </c>
      <c r="B522" s="1219"/>
      <c r="C522">
        <v>400.40000000000003</v>
      </c>
      <c r="D522" s="91">
        <v>44882</v>
      </c>
    </row>
    <row r="523" spans="1:4">
      <c r="A523" t="s">
        <v>1684</v>
      </c>
      <c r="B523" s="1219"/>
      <c r="C523">
        <v>1406.405</v>
      </c>
      <c r="D523" s="91">
        <v>44882</v>
      </c>
    </row>
    <row r="524" spans="1:4">
      <c r="A524" t="s">
        <v>1685</v>
      </c>
      <c r="B524" s="1219"/>
      <c r="C524">
        <v>689.2600000000001</v>
      </c>
      <c r="D524" s="91">
        <v>44882</v>
      </c>
    </row>
    <row r="525" spans="1:4">
      <c r="A525" t="s">
        <v>1686</v>
      </c>
      <c r="B525" s="1219"/>
      <c r="C525">
        <v>816.53</v>
      </c>
      <c r="D525" s="91">
        <v>44882</v>
      </c>
    </row>
    <row r="526" spans="1:4">
      <c r="A526" t="s">
        <v>1687</v>
      </c>
      <c r="B526" s="1219"/>
      <c r="C526">
        <v>827.255</v>
      </c>
      <c r="D526" s="91">
        <v>44882</v>
      </c>
    </row>
    <row r="527" spans="1:4">
      <c r="A527" t="s">
        <v>1688</v>
      </c>
      <c r="B527" s="1219"/>
      <c r="C527">
        <v>956.67000000000007</v>
      </c>
      <c r="D527" s="91">
        <v>44882</v>
      </c>
    </row>
    <row r="528" spans="1:4">
      <c r="A528" t="s">
        <v>1689</v>
      </c>
      <c r="B528" s="1219"/>
      <c r="C528">
        <v>2674.8150000000005</v>
      </c>
      <c r="D528" s="91">
        <v>44882</v>
      </c>
    </row>
    <row r="529" spans="1:4">
      <c r="A529" t="s">
        <v>1690</v>
      </c>
      <c r="B529" s="1219"/>
      <c r="C529">
        <v>959.53</v>
      </c>
      <c r="D529" s="91">
        <v>44882</v>
      </c>
    </row>
    <row r="530" spans="1:4">
      <c r="A530" t="s">
        <v>1691</v>
      </c>
      <c r="B530" s="1219"/>
      <c r="C530">
        <v>1091.8050000000001</v>
      </c>
      <c r="D530" s="91">
        <v>44882</v>
      </c>
    </row>
    <row r="531" spans="1:4">
      <c r="A531" t="s">
        <v>1692</v>
      </c>
      <c r="B531" s="1219"/>
      <c r="C531">
        <v>1251.9650000000001</v>
      </c>
      <c r="D531" s="91">
        <v>44882</v>
      </c>
    </row>
    <row r="532" spans="1:4">
      <c r="A532" t="s">
        <v>1693</v>
      </c>
      <c r="B532" s="1219"/>
      <c r="C532">
        <v>1367.7950000000001</v>
      </c>
      <c r="D532" s="91">
        <v>44882</v>
      </c>
    </row>
    <row r="533" spans="1:4">
      <c r="A533" t="s">
        <v>1694</v>
      </c>
      <c r="B533" s="1219"/>
      <c r="C533">
        <v>4069.7800000000007</v>
      </c>
      <c r="D533" s="91">
        <v>44882</v>
      </c>
    </row>
    <row r="534" spans="1:4">
      <c r="A534" t="s">
        <v>1695</v>
      </c>
      <c r="B534" s="1219"/>
      <c r="C534">
        <v>1990.5600000000002</v>
      </c>
      <c r="D534" s="91">
        <v>44882</v>
      </c>
    </row>
    <row r="535" spans="1:4">
      <c r="A535" t="s">
        <v>1696</v>
      </c>
      <c r="B535" s="1219"/>
      <c r="C535">
        <v>1896.8950000000002</v>
      </c>
      <c r="D535" s="91">
        <v>44882</v>
      </c>
    </row>
    <row r="536" spans="1:4">
      <c r="A536" t="s">
        <v>1697</v>
      </c>
      <c r="B536" s="1219"/>
      <c r="C536">
        <v>2426.71</v>
      </c>
      <c r="D536" s="91">
        <v>44882</v>
      </c>
    </row>
    <row r="537" spans="1:4">
      <c r="A537" t="s">
        <v>1698</v>
      </c>
      <c r="B537" s="1219"/>
      <c r="C537">
        <v>7433.14</v>
      </c>
      <c r="D537" s="91">
        <v>44882</v>
      </c>
    </row>
    <row r="538" spans="1:4">
      <c r="A538" t="s">
        <v>1699</v>
      </c>
      <c r="B538" s="1219"/>
      <c r="C538">
        <v>15557.685000000001</v>
      </c>
      <c r="D538" s="91">
        <v>44882</v>
      </c>
    </row>
    <row r="539" spans="1:4">
      <c r="A539" t="s">
        <v>1700</v>
      </c>
      <c r="B539" s="1219"/>
      <c r="C539">
        <v>3542.8250000000003</v>
      </c>
      <c r="D539" s="91">
        <v>44882</v>
      </c>
    </row>
    <row r="540" spans="1:4">
      <c r="A540" t="s">
        <v>1701</v>
      </c>
      <c r="B540" s="1219"/>
      <c r="C540">
        <v>4508.0750000000007</v>
      </c>
      <c r="D540" s="91">
        <v>44882</v>
      </c>
    </row>
    <row r="541" spans="1:4">
      <c r="A541" t="s">
        <v>1702</v>
      </c>
      <c r="B541" s="1219"/>
      <c r="C541">
        <v>4976.4000000000005</v>
      </c>
      <c r="D541" s="91">
        <v>44882</v>
      </c>
    </row>
    <row r="542" spans="1:4">
      <c r="A542" t="s">
        <v>1703</v>
      </c>
      <c r="B542" s="1219"/>
      <c r="C542">
        <v>5996.7050000000008</v>
      </c>
      <c r="D542" s="91">
        <v>44882</v>
      </c>
    </row>
    <row r="543" spans="1:4">
      <c r="A543" t="s">
        <v>1704</v>
      </c>
      <c r="B543" s="1219"/>
      <c r="C543">
        <v>8841.69</v>
      </c>
      <c r="D543" s="91">
        <v>44882</v>
      </c>
    </row>
    <row r="544" spans="1:4">
      <c r="A544" t="s">
        <v>1705</v>
      </c>
      <c r="B544" s="1219"/>
      <c r="C544">
        <v>12987.975</v>
      </c>
      <c r="D544" s="91">
        <v>44882</v>
      </c>
    </row>
    <row r="545" spans="1:4">
      <c r="A545" t="s">
        <v>1706</v>
      </c>
      <c r="B545" s="1219"/>
      <c r="C545">
        <v>14796.925000000001</v>
      </c>
      <c r="D545" s="91">
        <v>44882</v>
      </c>
    </row>
    <row r="546" spans="1:4">
      <c r="A546" t="s">
        <v>1707</v>
      </c>
      <c r="B546" s="1219"/>
      <c r="C546">
        <v>21876.140000000003</v>
      </c>
      <c r="D546" s="91">
        <v>44882</v>
      </c>
    </row>
    <row r="547" spans="1:4">
      <c r="A547" t="s">
        <v>1708</v>
      </c>
      <c r="B547" s="1219"/>
      <c r="C547">
        <v>17285.84</v>
      </c>
      <c r="D547" s="91">
        <v>44882</v>
      </c>
    </row>
    <row r="548" spans="1:4">
      <c r="A548" t="s">
        <v>1709</v>
      </c>
      <c r="B548" s="1219"/>
      <c r="C548">
        <v>27706.965000000004</v>
      </c>
      <c r="D548" s="91">
        <v>44882</v>
      </c>
    </row>
    <row r="549" spans="1:4">
      <c r="A549" t="s">
        <v>1710</v>
      </c>
      <c r="B549" s="1219"/>
      <c r="C549">
        <v>418.00000000000006</v>
      </c>
      <c r="D549" s="91">
        <v>44882</v>
      </c>
    </row>
    <row r="550" spans="1:4">
      <c r="A550" t="s">
        <v>1711</v>
      </c>
      <c r="B550" s="1219"/>
      <c r="C550">
        <v>462.00000000000006</v>
      </c>
      <c r="D550" s="91">
        <v>44882</v>
      </c>
    </row>
    <row r="551" spans="1:4">
      <c r="A551" t="s">
        <v>1712</v>
      </c>
      <c r="B551" s="1219"/>
      <c r="C551">
        <v>550</v>
      </c>
      <c r="D551" s="91">
        <v>44882</v>
      </c>
    </row>
    <row r="552" spans="1:4">
      <c r="A552" t="s">
        <v>1713</v>
      </c>
      <c r="B552" s="1219"/>
      <c r="C552">
        <v>594</v>
      </c>
      <c r="D552" s="91">
        <v>44882</v>
      </c>
    </row>
    <row r="553" spans="1:4">
      <c r="A553" t="s">
        <v>1714</v>
      </c>
      <c r="B553" s="1219"/>
      <c r="C553">
        <v>946.00000000000011</v>
      </c>
      <c r="D553" s="91">
        <v>44882</v>
      </c>
    </row>
    <row r="554" spans="1:4">
      <c r="A554" t="s">
        <v>1715</v>
      </c>
      <c r="B554" s="1219"/>
      <c r="C554">
        <v>654.5</v>
      </c>
      <c r="D554" s="91">
        <v>44882</v>
      </c>
    </row>
    <row r="555" spans="1:4">
      <c r="A555" t="s">
        <v>1716</v>
      </c>
      <c r="B555" s="1219"/>
      <c r="C555">
        <v>1133</v>
      </c>
      <c r="D555" s="91">
        <v>44882</v>
      </c>
    </row>
    <row r="556" spans="1:4">
      <c r="A556" t="s">
        <v>1717</v>
      </c>
      <c r="B556" s="1219"/>
      <c r="C556">
        <v>1375</v>
      </c>
      <c r="D556" s="91">
        <v>44882</v>
      </c>
    </row>
    <row r="557" spans="1:4">
      <c r="A557" t="s">
        <v>1718</v>
      </c>
      <c r="B557" s="1219"/>
      <c r="C557">
        <v>1408</v>
      </c>
      <c r="D557" s="91">
        <v>44882</v>
      </c>
    </row>
    <row r="558" spans="1:4">
      <c r="A558" t="s">
        <v>1719</v>
      </c>
      <c r="B558" s="1219"/>
      <c r="C558">
        <v>1408</v>
      </c>
      <c r="D558" s="91">
        <v>44882</v>
      </c>
    </row>
    <row r="559" spans="1:4">
      <c r="A559" t="s">
        <v>1720</v>
      </c>
      <c r="B559" s="1219"/>
      <c r="C559">
        <v>1760.0000000000002</v>
      </c>
      <c r="D559" s="91">
        <v>44882</v>
      </c>
    </row>
    <row r="560" spans="1:4">
      <c r="A560" t="s">
        <v>1721</v>
      </c>
      <c r="B560" s="1219"/>
      <c r="C560">
        <v>1.1000000000000001E-2</v>
      </c>
      <c r="D560" s="91">
        <v>44882</v>
      </c>
    </row>
    <row r="561" spans="1:4">
      <c r="A561" t="s">
        <v>1722</v>
      </c>
      <c r="B561" s="1219"/>
      <c r="C561">
        <v>2420</v>
      </c>
      <c r="D561" s="91">
        <v>44882</v>
      </c>
    </row>
    <row r="562" spans="1:4">
      <c r="A562" t="s">
        <v>1723</v>
      </c>
      <c r="B562" s="1219"/>
      <c r="C562">
        <v>1.1000000000000001E-2</v>
      </c>
      <c r="D562" s="91">
        <v>44882</v>
      </c>
    </row>
    <row r="563" spans="1:4">
      <c r="A563" t="s">
        <v>1724</v>
      </c>
      <c r="B563" s="1219"/>
      <c r="C563">
        <v>3080.0000000000005</v>
      </c>
      <c r="D563" s="91">
        <v>44882</v>
      </c>
    </row>
    <row r="564" spans="1:4">
      <c r="A564" t="s">
        <v>1725</v>
      </c>
      <c r="B564" s="1219"/>
      <c r="C564">
        <v>2530</v>
      </c>
      <c r="D564" s="91">
        <v>44882</v>
      </c>
    </row>
    <row r="565" spans="1:4">
      <c r="A565" t="s">
        <v>1726</v>
      </c>
      <c r="B565" s="1219"/>
      <c r="C565">
        <v>4620</v>
      </c>
      <c r="D565" s="91">
        <v>44882</v>
      </c>
    </row>
    <row r="566" spans="1:4">
      <c r="A566" t="s">
        <v>1727</v>
      </c>
      <c r="B566" s="1219"/>
      <c r="C566">
        <v>1.1000000000000001E-2</v>
      </c>
      <c r="D566" s="91">
        <v>44882</v>
      </c>
    </row>
    <row r="567" spans="1:4">
      <c r="A567" t="s">
        <v>1728</v>
      </c>
      <c r="B567" s="1219"/>
      <c r="C567">
        <v>6490.0000000000009</v>
      </c>
      <c r="D567" s="91">
        <v>44882</v>
      </c>
    </row>
    <row r="568" spans="1:4">
      <c r="A568" t="s">
        <v>1729</v>
      </c>
      <c r="B568" s="1219"/>
      <c r="C568">
        <v>1.1000000000000001E-2</v>
      </c>
      <c r="D568" s="91">
        <v>44882</v>
      </c>
    </row>
    <row r="569" spans="1:4">
      <c r="A569" t="s">
        <v>1730</v>
      </c>
      <c r="B569" s="1219"/>
      <c r="C569">
        <v>1.1000000000000001E-2</v>
      </c>
      <c r="D569" s="91">
        <v>44882</v>
      </c>
    </row>
    <row r="570" spans="1:4">
      <c r="A570" t="s">
        <v>1731</v>
      </c>
      <c r="B570" s="1219"/>
      <c r="C570">
        <v>1.1000000000000001E-2</v>
      </c>
      <c r="D570" s="91">
        <v>44882</v>
      </c>
    </row>
    <row r="571" spans="1:4">
      <c r="A571" t="s">
        <v>1732</v>
      </c>
      <c r="B571" s="1219"/>
      <c r="C571">
        <v>1.1000000000000001E-2</v>
      </c>
      <c r="D571" s="91">
        <v>44882</v>
      </c>
    </row>
    <row r="572" spans="1:4">
      <c r="A572" t="s">
        <v>1733</v>
      </c>
      <c r="B572" s="1219"/>
      <c r="C572">
        <v>1.1000000000000001E-2</v>
      </c>
      <c r="D572" s="91">
        <v>44882</v>
      </c>
    </row>
    <row r="573" spans="1:4">
      <c r="A573" t="s">
        <v>1734</v>
      </c>
      <c r="B573" s="1219"/>
      <c r="C573">
        <v>1.1000000000000001E-2</v>
      </c>
      <c r="D573" s="91">
        <v>44882</v>
      </c>
    </row>
    <row r="574" spans="1:4">
      <c r="A574" t="s">
        <v>1735</v>
      </c>
      <c r="B574" s="1219"/>
      <c r="C574">
        <v>1.1000000000000001E-2</v>
      </c>
      <c r="D574" s="91">
        <v>44882</v>
      </c>
    </row>
    <row r="575" spans="1:4">
      <c r="A575" t="s">
        <v>1736</v>
      </c>
      <c r="B575" s="1219"/>
      <c r="C575">
        <v>220.22</v>
      </c>
      <c r="D575" s="91">
        <v>44882</v>
      </c>
    </row>
    <row r="576" spans="1:4">
      <c r="A576" t="s">
        <v>1737</v>
      </c>
      <c r="B576" s="1219"/>
      <c r="C576">
        <v>286</v>
      </c>
      <c r="D576" s="91">
        <v>44882</v>
      </c>
    </row>
    <row r="577" spans="1:4">
      <c r="A577" t="s">
        <v>1738</v>
      </c>
      <c r="B577" s="1219"/>
      <c r="C577">
        <v>211.20000000000002</v>
      </c>
      <c r="D577" s="91">
        <v>44882</v>
      </c>
    </row>
    <row r="578" spans="1:4">
      <c r="A578" t="s">
        <v>1739</v>
      </c>
      <c r="B578" s="1219"/>
      <c r="C578">
        <v>482.62500000000006</v>
      </c>
      <c r="D578" s="91">
        <v>44882</v>
      </c>
    </row>
    <row r="579" spans="1:4">
      <c r="A579" t="s">
        <v>1740</v>
      </c>
      <c r="B579" s="1219"/>
      <c r="C579">
        <v>414.70000000000005</v>
      </c>
      <c r="D579" s="91">
        <v>44882</v>
      </c>
    </row>
    <row r="580" spans="1:4">
      <c r="A580" t="s">
        <v>1741</v>
      </c>
      <c r="B580" s="1219"/>
      <c r="C580">
        <v>271.92</v>
      </c>
      <c r="D580" s="91">
        <v>44882</v>
      </c>
    </row>
    <row r="581" spans="1:4">
      <c r="A581" t="s">
        <v>1742</v>
      </c>
      <c r="B581" s="1219"/>
      <c r="C581">
        <v>481.91000000000008</v>
      </c>
      <c r="D581" s="91">
        <v>44882</v>
      </c>
    </row>
    <row r="582" spans="1:4">
      <c r="A582" t="s">
        <v>1743</v>
      </c>
      <c r="B582" s="1219"/>
      <c r="C582">
        <v>403.92</v>
      </c>
      <c r="D582" s="91">
        <v>44882</v>
      </c>
    </row>
    <row r="583" spans="1:4">
      <c r="A583" t="s">
        <v>1744</v>
      </c>
      <c r="B583" s="1219"/>
      <c r="C583">
        <v>361.52600000000007</v>
      </c>
      <c r="D583" s="91">
        <v>44882</v>
      </c>
    </row>
    <row r="584" spans="1:4">
      <c r="A584" t="s">
        <v>1745</v>
      </c>
      <c r="B584" s="1219"/>
      <c r="C584">
        <v>272.44800000000004</v>
      </c>
      <c r="D584" s="91">
        <v>44882</v>
      </c>
    </row>
    <row r="585" spans="1:4">
      <c r="A585" t="s">
        <v>1746</v>
      </c>
      <c r="B585" s="1219"/>
      <c r="C585">
        <v>239.25000000000003</v>
      </c>
      <c r="D585" s="91">
        <v>44882</v>
      </c>
    </row>
    <row r="586" spans="1:4">
      <c r="A586" t="s">
        <v>1747</v>
      </c>
      <c r="B586" s="1219"/>
      <c r="C586">
        <v>389.40000000000003</v>
      </c>
      <c r="D586" s="91">
        <v>44882</v>
      </c>
    </row>
    <row r="587" spans="1:4">
      <c r="A587" t="s">
        <v>1748</v>
      </c>
      <c r="B587" s="1219"/>
      <c r="C587">
        <v>579.15000000000009</v>
      </c>
      <c r="D587" s="91">
        <v>44882</v>
      </c>
    </row>
    <row r="588" spans="1:4">
      <c r="A588" t="s">
        <v>1749</v>
      </c>
      <c r="B588" s="1219"/>
      <c r="C588">
        <v>738.59500000000014</v>
      </c>
      <c r="D588" s="91">
        <v>44882</v>
      </c>
    </row>
    <row r="589" spans="1:4">
      <c r="A589" t="s">
        <v>1750</v>
      </c>
      <c r="B589" s="1219"/>
      <c r="C589">
        <v>723.29399999999998</v>
      </c>
      <c r="D589" s="91">
        <v>44882</v>
      </c>
    </row>
    <row r="590" spans="1:4">
      <c r="A590" t="s">
        <v>1751</v>
      </c>
      <c r="B590" s="1219"/>
      <c r="C590">
        <v>402.6</v>
      </c>
      <c r="D590" s="91">
        <v>44882</v>
      </c>
    </row>
    <row r="591" spans="1:4">
      <c r="A591" t="s">
        <v>1752</v>
      </c>
      <c r="B591" s="1219"/>
      <c r="C591">
        <v>451.88000000000005</v>
      </c>
      <c r="D591" s="91">
        <v>44882</v>
      </c>
    </row>
    <row r="592" spans="1:4">
      <c r="A592" t="s">
        <v>1753</v>
      </c>
      <c r="B592" s="1219"/>
      <c r="C592">
        <v>586.74</v>
      </c>
      <c r="D592" s="91">
        <v>44882</v>
      </c>
    </row>
    <row r="593" spans="1:4">
      <c r="A593" t="s">
        <v>1754</v>
      </c>
      <c r="B593" s="1219"/>
      <c r="C593">
        <v>616.88</v>
      </c>
      <c r="D593" s="91">
        <v>44882</v>
      </c>
    </row>
    <row r="594" spans="1:4">
      <c r="A594" t="s">
        <v>1755</v>
      </c>
      <c r="B594" s="1219"/>
      <c r="C594">
        <v>838.2</v>
      </c>
      <c r="D594" s="91">
        <v>44882</v>
      </c>
    </row>
    <row r="595" spans="1:4">
      <c r="A595" t="s">
        <v>1756</v>
      </c>
      <c r="B595" s="1219"/>
      <c r="C595">
        <v>469.92</v>
      </c>
      <c r="D595" s="91">
        <v>44882</v>
      </c>
    </row>
    <row r="596" spans="1:4">
      <c r="A596" t="s">
        <v>1757</v>
      </c>
      <c r="B596" s="1219"/>
      <c r="C596">
        <v>673.2</v>
      </c>
      <c r="D596" s="91">
        <v>44882</v>
      </c>
    </row>
    <row r="597" spans="1:4">
      <c r="A597" t="s">
        <v>1758</v>
      </c>
      <c r="B597" s="1219"/>
      <c r="C597">
        <v>456.06000000000006</v>
      </c>
      <c r="D597" s="91">
        <v>44882</v>
      </c>
    </row>
    <row r="598" spans="1:4">
      <c r="A598" t="s">
        <v>1759</v>
      </c>
      <c r="B598" s="1219"/>
      <c r="C598">
        <v>1182.6099999999999</v>
      </c>
      <c r="D598" s="91">
        <v>44882</v>
      </c>
    </row>
    <row r="599" spans="1:4">
      <c r="A599" t="s">
        <v>1760</v>
      </c>
      <c r="B599" s="1219"/>
      <c r="C599">
        <v>1117.5450000000001</v>
      </c>
      <c r="D599" s="91">
        <v>44882</v>
      </c>
    </row>
    <row r="600" spans="1:4">
      <c r="A600" t="s">
        <v>1761</v>
      </c>
      <c r="B600" s="1219"/>
      <c r="C600">
        <v>1122</v>
      </c>
      <c r="D600" s="91">
        <v>44882</v>
      </c>
    </row>
    <row r="601" spans="1:4">
      <c r="A601" t="s">
        <v>1762</v>
      </c>
      <c r="B601" s="1219"/>
      <c r="C601">
        <v>703.99560000000019</v>
      </c>
      <c r="D601" s="91">
        <v>44882</v>
      </c>
    </row>
    <row r="602" spans="1:4">
      <c r="A602" t="s">
        <v>1763</v>
      </c>
      <c r="B602" s="1219"/>
      <c r="C602">
        <v>1140.48</v>
      </c>
      <c r="D602" s="91">
        <v>44882</v>
      </c>
    </row>
    <row r="603" spans="1:4">
      <c r="A603" t="s">
        <v>1764</v>
      </c>
      <c r="B603" s="1219"/>
      <c r="C603">
        <v>1234.2</v>
      </c>
      <c r="D603" s="91">
        <v>44882</v>
      </c>
    </row>
    <row r="604" spans="1:4">
      <c r="A604" t="s">
        <v>1765</v>
      </c>
      <c r="B604" s="1219"/>
      <c r="C604">
        <v>1153.1520000000003</v>
      </c>
      <c r="D604" s="91">
        <v>44882</v>
      </c>
    </row>
    <row r="605" spans="1:4">
      <c r="A605" t="s">
        <v>1766</v>
      </c>
      <c r="B605" s="1219"/>
      <c r="C605">
        <v>1368.51</v>
      </c>
      <c r="D605" s="91">
        <v>44882</v>
      </c>
    </row>
    <row r="606" spans="1:4">
      <c r="A606" t="s">
        <v>1767</v>
      </c>
      <c r="B606" s="1219"/>
      <c r="C606">
        <v>4354.3500000000004</v>
      </c>
      <c r="D606" s="91">
        <v>44882</v>
      </c>
    </row>
    <row r="607" spans="1:4">
      <c r="A607" t="s">
        <v>1768</v>
      </c>
      <c r="B607" s="1219"/>
      <c r="C607">
        <v>2733.4450000000002</v>
      </c>
      <c r="D607" s="91">
        <v>44882</v>
      </c>
    </row>
    <row r="608" spans="1:4">
      <c r="A608" t="s">
        <v>1769</v>
      </c>
      <c r="B608" s="1219"/>
      <c r="C608">
        <v>11605.000000000002</v>
      </c>
      <c r="D608" s="91">
        <v>44882</v>
      </c>
    </row>
    <row r="609" spans="1:4">
      <c r="A609" t="s">
        <v>1770</v>
      </c>
      <c r="B609" s="1219"/>
      <c r="C609">
        <v>1369.5</v>
      </c>
      <c r="D609" s="91">
        <v>44882</v>
      </c>
    </row>
    <row r="610" spans="1:4">
      <c r="A610" t="s">
        <v>1771</v>
      </c>
      <c r="B610" s="1219"/>
      <c r="C610">
        <v>880.00000000000011</v>
      </c>
      <c r="D610" s="91">
        <v>44882</v>
      </c>
    </row>
    <row r="611" spans="1:4">
      <c r="A611" t="s">
        <v>1772</v>
      </c>
      <c r="B611" s="1219"/>
      <c r="C611">
        <v>1002.5400000000001</v>
      </c>
      <c r="D611" s="91">
        <v>44882</v>
      </c>
    </row>
    <row r="612" spans="1:4">
      <c r="A612" t="s">
        <v>1773</v>
      </c>
      <c r="B612" s="1219"/>
      <c r="C612">
        <v>1174.8000000000002</v>
      </c>
      <c r="D612" s="91">
        <v>44882</v>
      </c>
    </row>
    <row r="613" spans="1:4">
      <c r="A613" t="s">
        <v>1774</v>
      </c>
      <c r="B613" s="1219"/>
      <c r="C613">
        <v>1862.0800000000002</v>
      </c>
      <c r="D613" s="91">
        <v>44882</v>
      </c>
    </row>
    <row r="614" spans="1:4">
      <c r="A614" t="s">
        <v>1775</v>
      </c>
      <c r="B614" s="1219"/>
      <c r="C614">
        <v>3270.6300000000006</v>
      </c>
      <c r="D614" s="91">
        <v>44882</v>
      </c>
    </row>
    <row r="615" spans="1:4">
      <c r="A615" t="s">
        <v>1776</v>
      </c>
      <c r="B615" s="1219"/>
      <c r="C615">
        <v>1394.8000000000002</v>
      </c>
      <c r="D615" s="91">
        <v>44882</v>
      </c>
    </row>
    <row r="616" spans="1:4">
      <c r="A616" t="s">
        <v>1777</v>
      </c>
      <c r="B616" s="1219"/>
      <c r="C616">
        <v>1691.3600000000001</v>
      </c>
      <c r="D616" s="91">
        <v>44882</v>
      </c>
    </row>
    <row r="617" spans="1:4">
      <c r="A617" t="s">
        <v>1778</v>
      </c>
      <c r="B617" s="1219"/>
      <c r="C617">
        <v>1925.4400000000003</v>
      </c>
      <c r="D617" s="91">
        <v>44882</v>
      </c>
    </row>
    <row r="618" spans="1:4">
      <c r="A618" t="s">
        <v>1779</v>
      </c>
      <c r="B618" s="1219"/>
      <c r="C618">
        <v>7631.8</v>
      </c>
      <c r="D618" s="91">
        <v>44882</v>
      </c>
    </row>
    <row r="619" spans="1:4">
      <c r="A619" t="s">
        <v>1780</v>
      </c>
      <c r="B619" s="1219"/>
      <c r="C619">
        <v>10083.700000000001</v>
      </c>
      <c r="D619" s="91">
        <v>44882</v>
      </c>
    </row>
    <row r="620" spans="1:4">
      <c r="A620" t="s">
        <v>1781</v>
      </c>
      <c r="B620" s="1219"/>
      <c r="C620">
        <v>26541.218000000004</v>
      </c>
      <c r="D620" s="91">
        <v>44882</v>
      </c>
    </row>
    <row r="621" spans="1:4">
      <c r="A621" t="s">
        <v>1782</v>
      </c>
      <c r="B621" s="1219"/>
      <c r="C621">
        <v>1.1000000000000001E-2</v>
      </c>
      <c r="D621" s="91">
        <v>44882</v>
      </c>
    </row>
    <row r="622" spans="1:4">
      <c r="A622" t="s">
        <v>1783</v>
      </c>
      <c r="B622" s="1219"/>
      <c r="C622">
        <v>1.1000000000000001E-2</v>
      </c>
      <c r="D622" s="91">
        <v>44882</v>
      </c>
    </row>
    <row r="623" spans="1:4">
      <c r="A623" t="s">
        <v>1784</v>
      </c>
      <c r="B623" s="1219"/>
      <c r="C623">
        <v>1.1000000000000001E-2</v>
      </c>
      <c r="D623" s="91">
        <v>44882</v>
      </c>
    </row>
    <row r="624" spans="1:4">
      <c r="A624" t="s">
        <v>1785</v>
      </c>
      <c r="B624" s="1219"/>
      <c r="C624">
        <v>1.1000000000000001E-2</v>
      </c>
      <c r="D624" s="91">
        <v>44882</v>
      </c>
    </row>
    <row r="625" spans="1:4">
      <c r="A625" t="s">
        <v>1786</v>
      </c>
      <c r="B625" s="1219"/>
      <c r="C625">
        <v>0.55110000000000003</v>
      </c>
      <c r="D625" s="91">
        <v>44882</v>
      </c>
    </row>
    <row r="626" spans="1:4">
      <c r="A626" t="s">
        <v>1787</v>
      </c>
      <c r="B626" s="1219"/>
      <c r="C626">
        <v>0.47300000000000003</v>
      </c>
      <c r="D626" s="91">
        <v>44882</v>
      </c>
    </row>
    <row r="627" spans="1:4">
      <c r="A627" t="s">
        <v>1788</v>
      </c>
      <c r="B627" s="1219"/>
      <c r="C627">
        <v>0.63800000000000001</v>
      </c>
      <c r="D627" s="91">
        <v>44882</v>
      </c>
    </row>
    <row r="628" spans="1:4">
      <c r="A628" t="s">
        <v>1789</v>
      </c>
      <c r="B628" s="1219"/>
      <c r="C628">
        <v>2.9854000000000003</v>
      </c>
      <c r="D628" s="91">
        <v>44882</v>
      </c>
    </row>
    <row r="629" spans="1:4">
      <c r="A629" t="s">
        <v>1790</v>
      </c>
      <c r="B629" s="1219"/>
      <c r="C629">
        <v>1.2056000000000002</v>
      </c>
      <c r="D629" s="91">
        <v>44882</v>
      </c>
    </row>
    <row r="630" spans="1:4">
      <c r="A630" t="s">
        <v>1791</v>
      </c>
      <c r="B630" s="1219"/>
      <c r="C630">
        <v>0.29700000000000004</v>
      </c>
      <c r="D630" s="91">
        <v>44882</v>
      </c>
    </row>
    <row r="631" spans="1:4">
      <c r="A631" t="s">
        <v>1792</v>
      </c>
      <c r="B631" s="1219"/>
      <c r="C631">
        <v>4.3109000000000002</v>
      </c>
      <c r="D631" s="91">
        <v>44882</v>
      </c>
    </row>
    <row r="632" spans="1:4">
      <c r="A632" t="s">
        <v>1793</v>
      </c>
      <c r="B632" s="1219"/>
      <c r="C632">
        <v>0.7370000000000001</v>
      </c>
      <c r="D632" s="91">
        <v>44882</v>
      </c>
    </row>
    <row r="633" spans="1:4">
      <c r="A633" t="s">
        <v>1794</v>
      </c>
      <c r="B633" s="1219"/>
      <c r="C633">
        <v>0.7370000000000001</v>
      </c>
      <c r="D633" s="91">
        <v>44882</v>
      </c>
    </row>
    <row r="634" spans="1:4">
      <c r="A634" t="s">
        <v>1795</v>
      </c>
      <c r="B634" s="1219"/>
      <c r="C634">
        <v>0.79200000000000004</v>
      </c>
      <c r="D634" s="91">
        <v>44882</v>
      </c>
    </row>
    <row r="635" spans="1:4">
      <c r="A635" t="s">
        <v>1796</v>
      </c>
      <c r="B635" s="1219"/>
      <c r="C635">
        <v>0.79200000000000004</v>
      </c>
      <c r="D635" s="91">
        <v>44882</v>
      </c>
    </row>
    <row r="636" spans="1:4">
      <c r="A636" t="s">
        <v>1797</v>
      </c>
      <c r="B636" s="1219"/>
      <c r="C636">
        <v>1.1440000000000001</v>
      </c>
      <c r="D636" s="91">
        <v>44882</v>
      </c>
    </row>
    <row r="637" spans="1:4">
      <c r="A637" t="s">
        <v>1798</v>
      </c>
      <c r="B637" s="1219"/>
      <c r="C637">
        <v>0.79200000000000004</v>
      </c>
      <c r="D637" s="91">
        <v>44882</v>
      </c>
    </row>
    <row r="638" spans="1:4">
      <c r="A638" t="s">
        <v>1799</v>
      </c>
      <c r="B638" s="1219"/>
      <c r="C638">
        <v>1.573</v>
      </c>
      <c r="D638" s="91">
        <v>44882</v>
      </c>
    </row>
    <row r="639" spans="1:4">
      <c r="A639" t="s">
        <v>1800</v>
      </c>
      <c r="B639" s="1219"/>
      <c r="C639">
        <v>0.19800000000000001</v>
      </c>
      <c r="D639" s="91">
        <v>44882</v>
      </c>
    </row>
    <row r="640" spans="1:4">
      <c r="A640" t="s">
        <v>1801</v>
      </c>
      <c r="B640" s="1219"/>
      <c r="C640">
        <v>0.22440000000000002</v>
      </c>
      <c r="D640" s="91">
        <v>44882</v>
      </c>
    </row>
    <row r="641" spans="1:4">
      <c r="A641" t="s">
        <v>1802</v>
      </c>
      <c r="B641" s="1219"/>
      <c r="C641">
        <v>12.308999999999999</v>
      </c>
      <c r="D641" s="91">
        <v>44882</v>
      </c>
    </row>
    <row r="642" spans="1:4">
      <c r="A642" t="s">
        <v>1803</v>
      </c>
      <c r="B642" s="1219"/>
      <c r="C642">
        <v>16.203000000000003</v>
      </c>
      <c r="D642" s="91">
        <v>44882</v>
      </c>
    </row>
    <row r="643" spans="1:4">
      <c r="A643" t="s">
        <v>1804</v>
      </c>
      <c r="B643" s="1219"/>
      <c r="C643">
        <v>0.25300000000000006</v>
      </c>
      <c r="D643" s="91">
        <v>44882</v>
      </c>
    </row>
    <row r="644" spans="1:4">
      <c r="A644" t="s">
        <v>1805</v>
      </c>
      <c r="B644" s="1219"/>
      <c r="C644">
        <v>0.24200000000000002</v>
      </c>
      <c r="D644" s="91">
        <v>44882</v>
      </c>
    </row>
    <row r="645" spans="1:4">
      <c r="A645" t="s">
        <v>1806</v>
      </c>
      <c r="B645" s="1219"/>
      <c r="C645">
        <v>0.26400000000000001</v>
      </c>
      <c r="D645" s="91">
        <v>44882</v>
      </c>
    </row>
    <row r="646" spans="1:4">
      <c r="A646" t="s">
        <v>1807</v>
      </c>
      <c r="B646" s="1219"/>
      <c r="C646">
        <v>0.12100000000000001</v>
      </c>
      <c r="D646" s="91">
        <v>44882</v>
      </c>
    </row>
    <row r="647" spans="1:4">
      <c r="A647" t="s">
        <v>1808</v>
      </c>
      <c r="B647" s="1219"/>
      <c r="C647">
        <v>0.39490000000000003</v>
      </c>
      <c r="D647" s="91">
        <v>44882</v>
      </c>
    </row>
    <row r="648" spans="1:4">
      <c r="A648" t="s">
        <v>1809</v>
      </c>
      <c r="B648" s="1219"/>
      <c r="C648">
        <v>0.2772</v>
      </c>
      <c r="D648" s="91">
        <v>44882</v>
      </c>
    </row>
    <row r="649" spans="1:4">
      <c r="A649" t="s">
        <v>1810</v>
      </c>
      <c r="B649" s="1219"/>
      <c r="C649">
        <v>0.48290000000000005</v>
      </c>
      <c r="D649" s="91">
        <v>44882</v>
      </c>
    </row>
    <row r="650" spans="1:4">
      <c r="A650" t="s">
        <v>1811</v>
      </c>
      <c r="B650" s="1219"/>
      <c r="C650">
        <v>0.76670000000000005</v>
      </c>
      <c r="D650" s="91">
        <v>44882</v>
      </c>
    </row>
    <row r="651" spans="1:4">
      <c r="A651" t="s">
        <v>1812</v>
      </c>
      <c r="B651" s="1219"/>
      <c r="C651">
        <v>1.276</v>
      </c>
      <c r="D651" s="91">
        <v>44882</v>
      </c>
    </row>
    <row r="652" spans="1:4">
      <c r="A652" t="s">
        <v>1813</v>
      </c>
      <c r="B652" s="1219"/>
      <c r="C652">
        <v>0.70400000000000007</v>
      </c>
      <c r="D652" s="91">
        <v>44882</v>
      </c>
    </row>
    <row r="653" spans="1:4">
      <c r="A653" t="s">
        <v>1141</v>
      </c>
      <c r="B653" s="1219"/>
      <c r="C653">
        <v>0.60720000000000007</v>
      </c>
      <c r="D653" s="91">
        <v>44882</v>
      </c>
    </row>
    <row r="654" spans="1:4">
      <c r="A654" t="s">
        <v>1142</v>
      </c>
      <c r="B654" s="1219"/>
      <c r="C654">
        <v>1.6060000000000001</v>
      </c>
      <c r="D654" s="91">
        <v>44882</v>
      </c>
    </row>
    <row r="655" spans="1:4">
      <c r="A655" t="s">
        <v>1143</v>
      </c>
      <c r="B655" s="1219"/>
      <c r="C655">
        <v>1.3860000000000001</v>
      </c>
      <c r="D655" s="91">
        <v>44882</v>
      </c>
    </row>
    <row r="656" spans="1:4">
      <c r="A656" t="s">
        <v>1814</v>
      </c>
      <c r="B656" s="1219"/>
      <c r="C656">
        <v>0.46200000000000002</v>
      </c>
      <c r="D656" s="91">
        <v>44882</v>
      </c>
    </row>
    <row r="657" spans="1:4">
      <c r="A657" t="s">
        <v>1815</v>
      </c>
      <c r="B657" s="1219"/>
      <c r="C657">
        <v>0.74800000000000011</v>
      </c>
      <c r="D657" s="91">
        <v>44882</v>
      </c>
    </row>
    <row r="658" spans="1:4">
      <c r="A658" t="s">
        <v>1816</v>
      </c>
      <c r="B658" s="1219"/>
      <c r="C658">
        <v>1.3541000000000003</v>
      </c>
      <c r="D658" s="91">
        <v>44882</v>
      </c>
    </row>
    <row r="659" spans="1:4">
      <c r="A659" t="s">
        <v>1817</v>
      </c>
      <c r="B659" s="1219"/>
      <c r="C659">
        <v>1.2869999999999999</v>
      </c>
      <c r="D659" s="91">
        <v>44882</v>
      </c>
    </row>
    <row r="660" spans="1:4">
      <c r="A660" t="s">
        <v>1818</v>
      </c>
      <c r="B660" s="1219"/>
      <c r="C660">
        <v>1.2210000000000003</v>
      </c>
      <c r="D660" s="91">
        <v>44882</v>
      </c>
    </row>
    <row r="661" spans="1:4">
      <c r="A661" t="s">
        <v>1819</v>
      </c>
      <c r="B661" s="1219"/>
      <c r="C661">
        <v>1.1220000000000001</v>
      </c>
      <c r="D661" s="91">
        <v>44882</v>
      </c>
    </row>
    <row r="662" spans="1:4">
      <c r="A662" t="s">
        <v>1820</v>
      </c>
      <c r="B662" s="1219"/>
      <c r="C662">
        <v>1.7050000000000003</v>
      </c>
      <c r="D662" s="91">
        <v>44882</v>
      </c>
    </row>
    <row r="663" spans="1:4">
      <c r="A663" t="s">
        <v>1821</v>
      </c>
      <c r="B663" s="1219"/>
      <c r="C663">
        <v>1.87</v>
      </c>
      <c r="D663" s="91">
        <v>44882</v>
      </c>
    </row>
    <row r="664" spans="1:4">
      <c r="A664" t="s">
        <v>1822</v>
      </c>
      <c r="B664" s="1219"/>
      <c r="C664">
        <v>17.767200000000003</v>
      </c>
      <c r="D664" s="91">
        <v>44882</v>
      </c>
    </row>
    <row r="665" spans="1:4">
      <c r="A665" t="s">
        <v>1823</v>
      </c>
      <c r="B665" s="1219"/>
      <c r="C665">
        <v>0.75020000000000009</v>
      </c>
      <c r="D665" s="91">
        <v>44882</v>
      </c>
    </row>
    <row r="666" spans="1:4">
      <c r="A666" t="s">
        <v>1824</v>
      </c>
      <c r="B666" s="1219"/>
      <c r="C666">
        <v>0.79749999999999999</v>
      </c>
      <c r="D666" s="91">
        <v>44882</v>
      </c>
    </row>
    <row r="667" spans="1:4">
      <c r="A667" t="s">
        <v>1825</v>
      </c>
      <c r="B667" s="1219"/>
      <c r="C667">
        <v>0.82940000000000003</v>
      </c>
      <c r="D667" s="91">
        <v>44882</v>
      </c>
    </row>
    <row r="668" spans="1:4">
      <c r="A668" t="s">
        <v>1826</v>
      </c>
      <c r="B668" s="1219"/>
      <c r="C668">
        <v>0.8459000000000001</v>
      </c>
      <c r="D668" s="91">
        <v>44882</v>
      </c>
    </row>
    <row r="669" spans="1:4">
      <c r="A669" t="s">
        <v>1827</v>
      </c>
      <c r="B669" s="1219"/>
      <c r="C669">
        <v>1.8183000000000002</v>
      </c>
      <c r="D669" s="91">
        <v>44882</v>
      </c>
    </row>
    <row r="670" spans="1:4">
      <c r="A670" t="s">
        <v>1828</v>
      </c>
      <c r="B670" s="1219"/>
      <c r="C670">
        <v>6.2150000000000007</v>
      </c>
      <c r="D670" s="91">
        <v>44882</v>
      </c>
    </row>
    <row r="671" spans="1:4">
      <c r="A671" t="s">
        <v>1829</v>
      </c>
      <c r="B671" s="1219"/>
      <c r="C671">
        <v>8.14</v>
      </c>
      <c r="D671" s="91">
        <v>44882</v>
      </c>
    </row>
    <row r="672" spans="1:4">
      <c r="A672" t="s">
        <v>1830</v>
      </c>
      <c r="B672" s="1219"/>
      <c r="C672">
        <v>6.6330000000000018</v>
      </c>
      <c r="D672" s="91">
        <v>44882</v>
      </c>
    </row>
    <row r="673" spans="1:4">
      <c r="A673" t="s">
        <v>1831</v>
      </c>
      <c r="B673" s="1219"/>
      <c r="C673">
        <v>7.854000000000001</v>
      </c>
      <c r="D673" s="91">
        <v>44882</v>
      </c>
    </row>
    <row r="674" spans="1:4">
      <c r="A674" t="s">
        <v>1832</v>
      </c>
      <c r="B674" s="1219"/>
      <c r="C674">
        <v>0.59290000000000009</v>
      </c>
      <c r="D674" s="91">
        <v>44882</v>
      </c>
    </row>
    <row r="675" spans="1:4">
      <c r="A675" t="s">
        <v>1833</v>
      </c>
      <c r="B675" s="1219"/>
      <c r="C675">
        <v>6.6198000000000006</v>
      </c>
      <c r="D675" s="91">
        <v>44882</v>
      </c>
    </row>
    <row r="676" spans="1:4">
      <c r="A676" t="s">
        <v>1834</v>
      </c>
      <c r="B676" s="1219"/>
      <c r="C676">
        <v>21.458250000000003</v>
      </c>
      <c r="D676" s="91">
        <v>44882</v>
      </c>
    </row>
    <row r="677" spans="1:4">
      <c r="A677" t="s">
        <v>1835</v>
      </c>
      <c r="B677" s="1219"/>
      <c r="C677">
        <v>76.738200000000006</v>
      </c>
      <c r="D677" s="91">
        <v>44882</v>
      </c>
    </row>
    <row r="678" spans="1:4">
      <c r="A678" t="s">
        <v>1836</v>
      </c>
      <c r="B678" s="1219"/>
      <c r="C678">
        <v>0.12100000000000001</v>
      </c>
      <c r="D678" s="91">
        <v>44882</v>
      </c>
    </row>
    <row r="679" spans="1:4">
      <c r="A679" t="s">
        <v>1837</v>
      </c>
      <c r="B679" s="1219"/>
      <c r="C679">
        <v>0.42350000000000004</v>
      </c>
      <c r="D679" s="91">
        <v>44882</v>
      </c>
    </row>
    <row r="680" spans="1:4">
      <c r="A680" t="s">
        <v>1838</v>
      </c>
      <c r="B680" s="1219"/>
      <c r="C680">
        <v>0.48400000000000004</v>
      </c>
      <c r="D680" s="91">
        <v>44882</v>
      </c>
    </row>
    <row r="681" spans="1:4">
      <c r="A681" t="s">
        <v>1839</v>
      </c>
      <c r="B681" s="1219"/>
      <c r="C681">
        <v>3.6410000000000005</v>
      </c>
      <c r="D681" s="91">
        <v>44882</v>
      </c>
    </row>
    <row r="682" spans="1:4">
      <c r="A682" t="s">
        <v>1840</v>
      </c>
      <c r="B682" s="1219"/>
      <c r="C682">
        <v>0.67320000000000013</v>
      </c>
      <c r="D682" s="91">
        <v>44882</v>
      </c>
    </row>
    <row r="683" spans="1:4">
      <c r="A683" t="s">
        <v>1841</v>
      </c>
      <c r="B683" s="1219"/>
      <c r="C683">
        <v>0.88329999999999997</v>
      </c>
      <c r="D683" s="91">
        <v>44882</v>
      </c>
    </row>
    <row r="684" spans="1:4">
      <c r="A684" t="s">
        <v>1842</v>
      </c>
      <c r="B684" s="1219"/>
      <c r="C684">
        <v>1.1814000000000002</v>
      </c>
      <c r="D684" s="91">
        <v>44882</v>
      </c>
    </row>
    <row r="685" spans="1:4">
      <c r="A685" t="s">
        <v>1843</v>
      </c>
      <c r="B685" s="1219"/>
      <c r="C685">
        <v>1.7754000000000003</v>
      </c>
      <c r="D685" s="91">
        <v>44882</v>
      </c>
    </row>
    <row r="686" spans="1:4">
      <c r="A686" t="s">
        <v>1844</v>
      </c>
      <c r="B686" s="1219"/>
      <c r="C686">
        <v>5.4340000000000002</v>
      </c>
      <c r="D686" s="91">
        <v>44882</v>
      </c>
    </row>
    <row r="687" spans="1:4">
      <c r="A687" t="s">
        <v>1845</v>
      </c>
      <c r="B687" s="1219"/>
      <c r="C687">
        <v>6.3492000000000006</v>
      </c>
      <c r="D687" s="91">
        <v>44882</v>
      </c>
    </row>
    <row r="688" spans="1:4">
      <c r="A688" t="s">
        <v>1846</v>
      </c>
      <c r="B688" s="1219"/>
      <c r="C688">
        <v>12.319450000000002</v>
      </c>
      <c r="D688" s="91">
        <v>44882</v>
      </c>
    </row>
    <row r="689" spans="1:4">
      <c r="A689" t="s">
        <v>1847</v>
      </c>
      <c r="B689" s="1219"/>
      <c r="C689">
        <v>1.3089999999999999</v>
      </c>
      <c r="D689" s="91">
        <v>44882</v>
      </c>
    </row>
    <row r="690" spans="1:4">
      <c r="A690" t="s">
        <v>1848</v>
      </c>
      <c r="B690" s="1219"/>
      <c r="C690">
        <v>1.4256000000000002</v>
      </c>
      <c r="D690" s="91">
        <v>44882</v>
      </c>
    </row>
    <row r="691" spans="1:4">
      <c r="A691" t="s">
        <v>1849</v>
      </c>
      <c r="B691" s="1219"/>
      <c r="C691">
        <v>1.5043600000000001</v>
      </c>
      <c r="D691" s="91">
        <v>44882</v>
      </c>
    </row>
    <row r="692" spans="1:4">
      <c r="A692" t="s">
        <v>1850</v>
      </c>
      <c r="B692" s="1219"/>
      <c r="C692">
        <v>1.3398000000000001</v>
      </c>
      <c r="D692" s="91">
        <v>44882</v>
      </c>
    </row>
    <row r="693" spans="1:4">
      <c r="A693" t="s">
        <v>1851</v>
      </c>
      <c r="B693" s="1219"/>
      <c r="C693">
        <v>1.6030300000000002</v>
      </c>
      <c r="D693" s="91">
        <v>44882</v>
      </c>
    </row>
    <row r="694" spans="1:4">
      <c r="A694" t="s">
        <v>1852</v>
      </c>
      <c r="B694" s="1219"/>
      <c r="C694">
        <v>1.6773900000000004</v>
      </c>
      <c r="D694" s="91">
        <v>44882</v>
      </c>
    </row>
    <row r="695" spans="1:4">
      <c r="A695" t="s">
        <v>1853</v>
      </c>
      <c r="B695" s="1219"/>
      <c r="C695">
        <v>1.6038000000000003</v>
      </c>
      <c r="D695" s="91">
        <v>44882</v>
      </c>
    </row>
    <row r="696" spans="1:4">
      <c r="A696" t="s">
        <v>1854</v>
      </c>
      <c r="B696" s="1219"/>
      <c r="C696">
        <v>2.3496000000000001</v>
      </c>
      <c r="D696" s="91">
        <v>44882</v>
      </c>
    </row>
    <row r="697" spans="1:4">
      <c r="A697" t="s">
        <v>1855</v>
      </c>
      <c r="B697" s="1219"/>
      <c r="C697">
        <v>2.5938000000000003</v>
      </c>
      <c r="D697" s="91">
        <v>44882</v>
      </c>
    </row>
    <row r="698" spans="1:4">
      <c r="A698" t="s">
        <v>1856</v>
      </c>
      <c r="B698" s="1219"/>
      <c r="C698">
        <v>5.2295099999999994</v>
      </c>
      <c r="D698" s="91">
        <v>44882</v>
      </c>
    </row>
    <row r="699" spans="1:4">
      <c r="A699" t="s">
        <v>1031</v>
      </c>
      <c r="B699" s="1219"/>
      <c r="C699">
        <v>2.9370000000000003</v>
      </c>
      <c r="D699" s="91">
        <v>44882</v>
      </c>
    </row>
    <row r="700" spans="1:4">
      <c r="A700" t="s">
        <v>1032</v>
      </c>
      <c r="B700" s="1219"/>
      <c r="C700">
        <v>2.7829999999999999</v>
      </c>
      <c r="D700" s="91">
        <v>44882</v>
      </c>
    </row>
    <row r="701" spans="1:4">
      <c r="A701" t="s">
        <v>1033</v>
      </c>
      <c r="B701" s="1219"/>
      <c r="C701">
        <v>2.827</v>
      </c>
      <c r="D701" s="91">
        <v>44882</v>
      </c>
    </row>
    <row r="702" spans="1:4">
      <c r="A702" t="s">
        <v>1035</v>
      </c>
      <c r="B702" s="1219"/>
      <c r="C702">
        <v>3.278</v>
      </c>
      <c r="D702" s="91">
        <v>44882</v>
      </c>
    </row>
    <row r="703" spans="1:4">
      <c r="A703" t="s">
        <v>1036</v>
      </c>
      <c r="B703" s="1219"/>
      <c r="C703">
        <v>2.8996000000000004</v>
      </c>
      <c r="D703" s="91">
        <v>44882</v>
      </c>
    </row>
    <row r="704" spans="1:4">
      <c r="A704" t="s">
        <v>1037</v>
      </c>
      <c r="B704" s="1219"/>
      <c r="C704">
        <v>4.2625000000000002</v>
      </c>
      <c r="D704" s="91">
        <v>44882</v>
      </c>
    </row>
    <row r="705" spans="1:4">
      <c r="A705" t="s">
        <v>1039</v>
      </c>
      <c r="B705" s="1219"/>
      <c r="C705">
        <v>8.1455000000000002</v>
      </c>
      <c r="D705" s="91">
        <v>44882</v>
      </c>
    </row>
    <row r="706" spans="1:4">
      <c r="A706" t="s">
        <v>1040</v>
      </c>
      <c r="B706" s="1219"/>
      <c r="C706">
        <v>9.4380000000000006</v>
      </c>
      <c r="D706" s="91">
        <v>44882</v>
      </c>
    </row>
    <row r="707" spans="1:4">
      <c r="A707" t="s">
        <v>1042</v>
      </c>
      <c r="B707" s="1219"/>
      <c r="C707">
        <v>5.9729999999999999</v>
      </c>
      <c r="D707" s="91">
        <v>44882</v>
      </c>
    </row>
    <row r="708" spans="1:4">
      <c r="A708" t="s">
        <v>1043</v>
      </c>
      <c r="B708" s="1219"/>
      <c r="C708">
        <v>5.9729999999999999</v>
      </c>
      <c r="D708" s="91">
        <v>44882</v>
      </c>
    </row>
    <row r="709" spans="1:4">
      <c r="A709" t="s">
        <v>1044</v>
      </c>
      <c r="B709" s="1219"/>
      <c r="C709">
        <v>6.0830000000000011</v>
      </c>
      <c r="D709" s="91">
        <v>44882</v>
      </c>
    </row>
    <row r="710" spans="1:4">
      <c r="A710" t="s">
        <v>1045</v>
      </c>
      <c r="B710" s="1219"/>
      <c r="C710">
        <v>5.0643999999999991</v>
      </c>
      <c r="D710" s="91">
        <v>44882</v>
      </c>
    </row>
    <row r="711" spans="1:4">
      <c r="A711" t="s">
        <v>1046</v>
      </c>
      <c r="B711" s="1219"/>
      <c r="C711">
        <v>6.7045000000000003</v>
      </c>
      <c r="D711" s="91">
        <v>44882</v>
      </c>
    </row>
    <row r="712" spans="1:4">
      <c r="A712" t="s">
        <v>1047</v>
      </c>
      <c r="B712" s="1219"/>
      <c r="C712">
        <v>7.815500000000001</v>
      </c>
      <c r="D712" s="91">
        <v>44882</v>
      </c>
    </row>
    <row r="713" spans="1:4">
      <c r="A713" t="s">
        <v>1049</v>
      </c>
      <c r="B713" s="1219"/>
      <c r="C713">
        <v>12.936</v>
      </c>
      <c r="D713" s="91">
        <v>44882</v>
      </c>
    </row>
    <row r="714" spans="1:4">
      <c r="A714" t="s">
        <v>1050</v>
      </c>
      <c r="B714" s="1219"/>
      <c r="C714">
        <v>11.2156</v>
      </c>
      <c r="D714" s="91">
        <v>44882</v>
      </c>
    </row>
    <row r="715" spans="1:4">
      <c r="A715" t="s">
        <v>1051</v>
      </c>
      <c r="B715" s="1219"/>
      <c r="C715">
        <v>9.3940000000000019</v>
      </c>
      <c r="D715" s="91">
        <v>44882</v>
      </c>
    </row>
    <row r="716" spans="1:4">
      <c r="A716" t="s">
        <v>1857</v>
      </c>
      <c r="B716" s="1219"/>
      <c r="C716">
        <v>0.93170000000000008</v>
      </c>
      <c r="D716" s="91">
        <v>44882</v>
      </c>
    </row>
    <row r="717" spans="1:4">
      <c r="A717" t="s">
        <v>1858</v>
      </c>
      <c r="B717" s="1219"/>
      <c r="C717">
        <v>4.07E-2</v>
      </c>
      <c r="D717" s="91">
        <v>44882</v>
      </c>
    </row>
    <row r="718" spans="1:4">
      <c r="A718" t="s">
        <v>1859</v>
      </c>
      <c r="B718" s="1219"/>
      <c r="C718">
        <v>4.7300000000000002E-2</v>
      </c>
      <c r="D718" s="91">
        <v>44882</v>
      </c>
    </row>
    <row r="719" spans="1:4">
      <c r="A719" t="s">
        <v>1860</v>
      </c>
      <c r="B719" s="1219"/>
      <c r="C719">
        <v>0.10670000000000002</v>
      </c>
      <c r="D719" s="91">
        <v>44882</v>
      </c>
    </row>
    <row r="720" spans="1:4">
      <c r="A720" t="s">
        <v>1861</v>
      </c>
      <c r="B720" s="1219"/>
      <c r="C720">
        <v>0.12100000000000001</v>
      </c>
      <c r="D720" s="91">
        <v>44882</v>
      </c>
    </row>
    <row r="721" spans="1:4">
      <c r="A721" t="s">
        <v>1862</v>
      </c>
      <c r="B721" s="1219"/>
      <c r="C721">
        <v>0.69960000000000011</v>
      </c>
      <c r="D721" s="91">
        <v>44882</v>
      </c>
    </row>
    <row r="722" spans="1:4">
      <c r="A722" t="s">
        <v>1117</v>
      </c>
      <c r="B722" s="1219"/>
      <c r="C722">
        <v>289.67400000000004</v>
      </c>
      <c r="D722" s="91">
        <v>44882</v>
      </c>
    </row>
    <row r="723" spans="1:4">
      <c r="A723" t="s">
        <v>1118</v>
      </c>
      <c r="B723" s="1219"/>
      <c r="C723">
        <v>338.67880200000002</v>
      </c>
      <c r="D723" s="91">
        <v>44882</v>
      </c>
    </row>
    <row r="724" spans="1:4">
      <c r="A724" t="s">
        <v>1119</v>
      </c>
      <c r="B724" s="1219"/>
      <c r="C724">
        <v>487.17900000000003</v>
      </c>
      <c r="D724" s="91">
        <v>44882</v>
      </c>
    </row>
    <row r="725" spans="1:4">
      <c r="A725" t="s">
        <v>1863</v>
      </c>
      <c r="B725" s="1219"/>
      <c r="C725">
        <v>13.97</v>
      </c>
      <c r="D725" s="91">
        <v>44882</v>
      </c>
    </row>
    <row r="726" spans="1:4">
      <c r="A726" t="s">
        <v>1864</v>
      </c>
      <c r="B726" s="1219"/>
      <c r="C726">
        <v>9.7911000000000001</v>
      </c>
      <c r="D726" s="91">
        <v>44882</v>
      </c>
    </row>
    <row r="727" spans="1:4">
      <c r="A727" t="s">
        <v>1110</v>
      </c>
      <c r="B727" s="1219"/>
      <c r="C727">
        <v>16.742000000000001</v>
      </c>
      <c r="D727" s="91">
        <v>44882</v>
      </c>
    </row>
    <row r="728" spans="1:4">
      <c r="A728" t="s">
        <v>1865</v>
      </c>
      <c r="B728" s="1219"/>
      <c r="C728">
        <v>18.320500000000003</v>
      </c>
      <c r="D728" s="91">
        <v>44882</v>
      </c>
    </row>
    <row r="729" spans="1:4">
      <c r="A729" t="s">
        <v>1866</v>
      </c>
      <c r="B729" s="1219"/>
      <c r="C729">
        <v>23.716000000000001</v>
      </c>
      <c r="D729" s="91">
        <v>44882</v>
      </c>
    </row>
    <row r="730" spans="1:4">
      <c r="A730" t="s">
        <v>1867</v>
      </c>
      <c r="B730" s="1219"/>
      <c r="C730">
        <v>95.883700000000005</v>
      </c>
      <c r="D730" s="91">
        <v>44882</v>
      </c>
    </row>
    <row r="731" spans="1:4">
      <c r="A731" t="s">
        <v>1868</v>
      </c>
      <c r="B731" s="1219"/>
      <c r="C731">
        <v>44.1188</v>
      </c>
      <c r="D731" s="91">
        <v>44882</v>
      </c>
    </row>
    <row r="732" spans="1:4">
      <c r="A732" t="s">
        <v>1869</v>
      </c>
      <c r="B732" s="1219"/>
      <c r="C732">
        <v>52.459000000000003</v>
      </c>
      <c r="D732" s="91">
        <v>44882</v>
      </c>
    </row>
    <row r="733" spans="1:4">
      <c r="A733" t="s">
        <v>1870</v>
      </c>
      <c r="B733" s="1219"/>
      <c r="C733">
        <v>33.187000000000005</v>
      </c>
      <c r="D733" s="91">
        <v>44882</v>
      </c>
    </row>
    <row r="734" spans="1:4">
      <c r="A734" t="s">
        <v>1871</v>
      </c>
      <c r="B734" s="1219"/>
      <c r="C734">
        <v>82.031950000000009</v>
      </c>
      <c r="D734" s="91">
        <v>44882</v>
      </c>
    </row>
    <row r="735" spans="1:4">
      <c r="A735" t="s">
        <v>1872</v>
      </c>
      <c r="B735" s="1219"/>
      <c r="C735">
        <v>18.320500000000003</v>
      </c>
      <c r="D735" s="91">
        <v>44882</v>
      </c>
    </row>
    <row r="736" spans="1:4">
      <c r="A736" t="s">
        <v>1111</v>
      </c>
      <c r="B736" s="1219"/>
      <c r="C736">
        <v>23.703900000000001</v>
      </c>
      <c r="D736" s="91">
        <v>44882</v>
      </c>
    </row>
    <row r="737" spans="1:4">
      <c r="A737" t="s">
        <v>1873</v>
      </c>
      <c r="B737" s="1219"/>
      <c r="C737">
        <v>24.192299999999999</v>
      </c>
      <c r="D737" s="91">
        <v>44882</v>
      </c>
    </row>
    <row r="738" spans="1:4">
      <c r="A738" t="s">
        <v>1874</v>
      </c>
      <c r="B738" s="1219"/>
      <c r="C738">
        <v>78.0428</v>
      </c>
      <c r="D738" s="91">
        <v>44882</v>
      </c>
    </row>
    <row r="739" spans="1:4">
      <c r="A739" t="s">
        <v>1875</v>
      </c>
      <c r="B739" s="1219"/>
      <c r="C739">
        <v>43.427999999999997</v>
      </c>
      <c r="D739" s="91">
        <v>44882</v>
      </c>
    </row>
    <row r="740" spans="1:4">
      <c r="A740" t="s">
        <v>1876</v>
      </c>
      <c r="B740" s="1219"/>
      <c r="C740">
        <v>35.706000000000003</v>
      </c>
      <c r="D740" s="91">
        <v>44882</v>
      </c>
    </row>
    <row r="741" spans="1:4">
      <c r="A741" t="s">
        <v>1877</v>
      </c>
      <c r="B741" s="1219"/>
      <c r="C741">
        <v>71.508800000000008</v>
      </c>
      <c r="D741" s="91">
        <v>44882</v>
      </c>
    </row>
    <row r="742" spans="1:4">
      <c r="A742" t="s">
        <v>1878</v>
      </c>
      <c r="B742" s="1219"/>
      <c r="C742">
        <v>68.046000000000006</v>
      </c>
      <c r="D742" s="91">
        <v>44882</v>
      </c>
    </row>
    <row r="743" spans="1:4">
      <c r="A743" t="s">
        <v>1879</v>
      </c>
      <c r="B743" s="1219"/>
      <c r="C743">
        <v>46.519000000000005</v>
      </c>
      <c r="D743" s="91">
        <v>44882</v>
      </c>
    </row>
    <row r="744" spans="1:4">
      <c r="A744" t="s">
        <v>1880</v>
      </c>
      <c r="B744" s="1219"/>
      <c r="C744">
        <v>37.869700000000002</v>
      </c>
      <c r="D744" s="91">
        <v>44882</v>
      </c>
    </row>
    <row r="745" spans="1:4">
      <c r="A745" t="s">
        <v>1112</v>
      </c>
      <c r="B745" s="1219"/>
      <c r="C745">
        <v>42.328000000000003</v>
      </c>
      <c r="D745" s="91">
        <v>44882</v>
      </c>
    </row>
    <row r="746" spans="1:4">
      <c r="A746" t="s">
        <v>1881</v>
      </c>
      <c r="B746" s="1219"/>
      <c r="C746">
        <v>42.339000000000006</v>
      </c>
      <c r="D746" s="91">
        <v>44882</v>
      </c>
    </row>
    <row r="747" spans="1:4">
      <c r="A747" t="s">
        <v>1882</v>
      </c>
      <c r="B747" s="1219"/>
      <c r="C747">
        <v>55.527999999999999</v>
      </c>
      <c r="D747" s="91">
        <v>44882</v>
      </c>
    </row>
    <row r="748" spans="1:4">
      <c r="A748" t="s">
        <v>1883</v>
      </c>
      <c r="B748" s="1219"/>
      <c r="C748">
        <v>42.780100000000004</v>
      </c>
      <c r="D748" s="91">
        <v>44882</v>
      </c>
    </row>
    <row r="749" spans="1:4">
      <c r="A749" t="s">
        <v>1884</v>
      </c>
      <c r="B749" s="1219"/>
      <c r="C749">
        <v>61.923400000000001</v>
      </c>
      <c r="D749" s="91">
        <v>44882</v>
      </c>
    </row>
    <row r="750" spans="1:4">
      <c r="A750" t="s">
        <v>1885</v>
      </c>
      <c r="B750" s="1219"/>
      <c r="C750">
        <v>62.414000000000009</v>
      </c>
      <c r="D750" s="91">
        <v>44882</v>
      </c>
    </row>
    <row r="751" spans="1:4">
      <c r="A751" t="s">
        <v>1886</v>
      </c>
      <c r="B751" s="1219"/>
      <c r="C751">
        <v>174.01120000000003</v>
      </c>
      <c r="D751" s="91">
        <v>44882</v>
      </c>
    </row>
    <row r="752" spans="1:4">
      <c r="A752" t="s">
        <v>1887</v>
      </c>
      <c r="B752" s="1219"/>
      <c r="C752">
        <v>91.075600000000009</v>
      </c>
      <c r="D752" s="91">
        <v>44882</v>
      </c>
    </row>
    <row r="753" spans="1:4">
      <c r="A753" t="s">
        <v>1888</v>
      </c>
      <c r="B753" s="1219"/>
      <c r="C753">
        <v>113.30000000000001</v>
      </c>
      <c r="D753" s="91">
        <v>44882</v>
      </c>
    </row>
    <row r="754" spans="1:4">
      <c r="A754" t="s">
        <v>1889</v>
      </c>
      <c r="B754" s="1219"/>
      <c r="C754">
        <v>176.4444</v>
      </c>
      <c r="D754" s="91">
        <v>44882</v>
      </c>
    </row>
    <row r="755" spans="1:4">
      <c r="A755" t="s">
        <v>1890</v>
      </c>
      <c r="B755" s="1219"/>
      <c r="C755">
        <v>99.506</v>
      </c>
      <c r="D755" s="91">
        <v>44882</v>
      </c>
    </row>
    <row r="756" spans="1:4">
      <c r="A756" t="s">
        <v>1891</v>
      </c>
      <c r="B756" s="1219"/>
      <c r="C756">
        <v>101.12300000000002</v>
      </c>
      <c r="D756" s="91">
        <v>44882</v>
      </c>
    </row>
    <row r="757" spans="1:4">
      <c r="A757" t="s">
        <v>1892</v>
      </c>
      <c r="B757" s="1219"/>
      <c r="C757">
        <v>102.74000000000001</v>
      </c>
      <c r="D757" s="91">
        <v>44882</v>
      </c>
    </row>
    <row r="758" spans="1:4">
      <c r="A758" t="s">
        <v>1893</v>
      </c>
      <c r="B758" s="1219"/>
      <c r="C758">
        <v>75.89670000000001</v>
      </c>
      <c r="D758" s="91">
        <v>44882</v>
      </c>
    </row>
    <row r="759" spans="1:4">
      <c r="A759" t="s">
        <v>1894</v>
      </c>
      <c r="B759" s="1219"/>
      <c r="C759">
        <v>111.85900000000001</v>
      </c>
      <c r="D759" s="91">
        <v>44882</v>
      </c>
    </row>
    <row r="760" spans="1:4">
      <c r="A760" t="s">
        <v>1895</v>
      </c>
      <c r="B760" s="1219"/>
      <c r="C760">
        <v>144.88100000000003</v>
      </c>
      <c r="D760" s="91">
        <v>44882</v>
      </c>
    </row>
    <row r="761" spans="1:4">
      <c r="A761" t="s">
        <v>1896</v>
      </c>
      <c r="B761" s="1219"/>
      <c r="C761">
        <v>134.816</v>
      </c>
      <c r="D761" s="91">
        <v>44882</v>
      </c>
    </row>
    <row r="762" spans="1:4">
      <c r="A762" t="s">
        <v>1897</v>
      </c>
      <c r="B762" s="1219"/>
      <c r="C762">
        <v>305.79120000000006</v>
      </c>
      <c r="D762" s="91">
        <v>44882</v>
      </c>
    </row>
    <row r="763" spans="1:4">
      <c r="A763" t="s">
        <v>1898</v>
      </c>
      <c r="B763" s="1219"/>
      <c r="C763">
        <v>163.3544</v>
      </c>
      <c r="D763" s="91">
        <v>44882</v>
      </c>
    </row>
    <row r="764" spans="1:4">
      <c r="A764" t="s">
        <v>1899</v>
      </c>
      <c r="B764" s="1219"/>
      <c r="C764">
        <v>111.4894</v>
      </c>
      <c r="D764" s="91">
        <v>44882</v>
      </c>
    </row>
    <row r="765" spans="1:4">
      <c r="A765" t="s">
        <v>1900</v>
      </c>
      <c r="B765" s="1219"/>
      <c r="C765">
        <v>114.55400000000002</v>
      </c>
      <c r="D765" s="91">
        <v>44882</v>
      </c>
    </row>
    <row r="766" spans="1:4">
      <c r="A766" t="s">
        <v>1901</v>
      </c>
      <c r="B766" s="1219"/>
      <c r="C766">
        <v>128.37880000000001</v>
      </c>
      <c r="D766" s="91">
        <v>44882</v>
      </c>
    </row>
    <row r="767" spans="1:4">
      <c r="A767" t="s">
        <v>1902</v>
      </c>
      <c r="B767" s="1219"/>
      <c r="C767">
        <v>148.33830000000003</v>
      </c>
      <c r="D767" s="91">
        <v>44882</v>
      </c>
    </row>
    <row r="768" spans="1:4">
      <c r="A768" t="s">
        <v>1903</v>
      </c>
      <c r="B768" s="1219"/>
      <c r="C768">
        <v>144.02190000000002</v>
      </c>
      <c r="D768" s="91">
        <v>44882</v>
      </c>
    </row>
    <row r="769" spans="1:4">
      <c r="A769" t="s">
        <v>1904</v>
      </c>
      <c r="B769" s="1219"/>
      <c r="C769">
        <v>134.2517</v>
      </c>
      <c r="D769" s="91">
        <v>44882</v>
      </c>
    </row>
    <row r="770" spans="1:4">
      <c r="A770" t="s">
        <v>1905</v>
      </c>
      <c r="B770" s="1219"/>
      <c r="C770">
        <v>177.40360000000004</v>
      </c>
      <c r="D770" s="91">
        <v>44882</v>
      </c>
    </row>
    <row r="771" spans="1:4">
      <c r="A771" t="s">
        <v>1906</v>
      </c>
      <c r="B771" s="1219"/>
      <c r="C771">
        <v>208.6711</v>
      </c>
      <c r="D771" s="91">
        <v>44882</v>
      </c>
    </row>
    <row r="772" spans="1:4">
      <c r="A772" t="s">
        <v>1907</v>
      </c>
      <c r="B772" s="1219"/>
      <c r="C772">
        <v>184.84399999999999</v>
      </c>
      <c r="D772" s="91">
        <v>44882</v>
      </c>
    </row>
    <row r="773" spans="1:4">
      <c r="A773" t="s">
        <v>1908</v>
      </c>
      <c r="B773" s="1219"/>
      <c r="C773">
        <v>262.625</v>
      </c>
      <c r="D773" s="91">
        <v>44882</v>
      </c>
    </row>
    <row r="774" spans="1:4">
      <c r="A774" t="s">
        <v>1909</v>
      </c>
      <c r="B774" s="1219"/>
      <c r="C774">
        <v>2602.2040000000002</v>
      </c>
      <c r="D774" s="91">
        <v>44882</v>
      </c>
    </row>
    <row r="775" spans="1:4">
      <c r="A775" t="s">
        <v>1910</v>
      </c>
      <c r="B775" s="1219"/>
      <c r="C775">
        <v>280.61440000000005</v>
      </c>
      <c r="D775" s="91">
        <v>44882</v>
      </c>
    </row>
    <row r="776" spans="1:4">
      <c r="A776" t="s">
        <v>1911</v>
      </c>
      <c r="B776" s="1219"/>
      <c r="C776">
        <v>304.55700000000002</v>
      </c>
      <c r="D776" s="91">
        <v>44882</v>
      </c>
    </row>
    <row r="777" spans="1:4">
      <c r="A777" t="s">
        <v>1912</v>
      </c>
      <c r="B777" s="1219"/>
      <c r="C777">
        <v>359.0763</v>
      </c>
      <c r="D777" s="91">
        <v>44882</v>
      </c>
    </row>
    <row r="778" spans="1:4">
      <c r="A778" t="s">
        <v>1913</v>
      </c>
      <c r="B778" s="1219"/>
      <c r="C778">
        <v>408.91400000000004</v>
      </c>
      <c r="D778" s="91">
        <v>44882</v>
      </c>
    </row>
    <row r="779" spans="1:4">
      <c r="A779" t="s">
        <v>1914</v>
      </c>
      <c r="B779" s="1219"/>
      <c r="C779">
        <v>638</v>
      </c>
      <c r="D779" s="91">
        <v>44882</v>
      </c>
    </row>
    <row r="780" spans="1:4">
      <c r="A780" t="s">
        <v>1915</v>
      </c>
      <c r="B780" s="1219"/>
      <c r="C780">
        <v>1003.4750000000001</v>
      </c>
      <c r="D780" s="91">
        <v>44882</v>
      </c>
    </row>
    <row r="781" spans="1:4">
      <c r="A781" t="s">
        <v>1916</v>
      </c>
      <c r="B781" s="1219"/>
      <c r="C781">
        <v>14.869800000000001</v>
      </c>
      <c r="D781" s="91">
        <v>44882</v>
      </c>
    </row>
    <row r="782" spans="1:4">
      <c r="A782" t="s">
        <v>1917</v>
      </c>
      <c r="B782" s="1219"/>
      <c r="C782">
        <v>24.541</v>
      </c>
      <c r="D782" s="91">
        <v>44882</v>
      </c>
    </row>
    <row r="783" spans="1:4">
      <c r="A783" t="s">
        <v>1918</v>
      </c>
      <c r="B783" s="1219"/>
      <c r="C783">
        <v>94.585700000000003</v>
      </c>
      <c r="D783" s="91">
        <v>44882</v>
      </c>
    </row>
    <row r="784" spans="1:4">
      <c r="A784" t="s">
        <v>1919</v>
      </c>
      <c r="B784" s="1219"/>
      <c r="C784">
        <v>19.170800000000003</v>
      </c>
      <c r="D784" s="91">
        <v>44882</v>
      </c>
    </row>
    <row r="785" spans="1:4">
      <c r="A785" t="s">
        <v>1920</v>
      </c>
      <c r="B785" s="1219"/>
      <c r="C785">
        <v>28.721</v>
      </c>
      <c r="D785" s="91">
        <v>44882</v>
      </c>
    </row>
    <row r="786" spans="1:4">
      <c r="A786" t="s">
        <v>1921</v>
      </c>
      <c r="B786" s="1219"/>
      <c r="C786">
        <v>58.806000000000004</v>
      </c>
      <c r="D786" s="91">
        <v>44882</v>
      </c>
    </row>
    <row r="787" spans="1:4">
      <c r="A787" t="s">
        <v>1922</v>
      </c>
      <c r="B787" s="1219"/>
      <c r="C787">
        <v>28.216100000000001</v>
      </c>
      <c r="D787" s="91">
        <v>44882</v>
      </c>
    </row>
    <row r="788" spans="1:4">
      <c r="A788" t="s">
        <v>1923</v>
      </c>
      <c r="B788" s="1219"/>
      <c r="C788">
        <v>59.637600000000006</v>
      </c>
      <c r="D788" s="91">
        <v>44882</v>
      </c>
    </row>
    <row r="789" spans="1:4">
      <c r="A789" t="s">
        <v>1924</v>
      </c>
      <c r="B789" s="1219"/>
      <c r="C789">
        <v>64.878</v>
      </c>
      <c r="D789" s="91">
        <v>44882</v>
      </c>
    </row>
    <row r="790" spans="1:4">
      <c r="A790" t="s">
        <v>1113</v>
      </c>
      <c r="B790" s="1219"/>
      <c r="C790">
        <v>50.9465</v>
      </c>
      <c r="D790" s="91">
        <v>44882</v>
      </c>
    </row>
    <row r="791" spans="1:4">
      <c r="A791" t="s">
        <v>1925</v>
      </c>
      <c r="B791" s="1219"/>
      <c r="C791">
        <v>95.285300000000007</v>
      </c>
      <c r="D791" s="91">
        <v>44882</v>
      </c>
    </row>
    <row r="792" spans="1:4">
      <c r="A792" t="s">
        <v>1926</v>
      </c>
      <c r="B792" s="1219"/>
      <c r="C792">
        <v>65.173900000000003</v>
      </c>
      <c r="D792" s="91">
        <v>44882</v>
      </c>
    </row>
    <row r="793" spans="1:4">
      <c r="A793" t="s">
        <v>1114</v>
      </c>
      <c r="B793" s="1219"/>
      <c r="C793">
        <v>60.550600000000003</v>
      </c>
      <c r="D793" s="91">
        <v>44882</v>
      </c>
    </row>
    <row r="794" spans="1:4">
      <c r="A794" t="s">
        <v>1927</v>
      </c>
      <c r="B794" s="1219"/>
      <c r="C794">
        <v>96.346800000000002</v>
      </c>
      <c r="D794" s="91">
        <v>44882</v>
      </c>
    </row>
    <row r="795" spans="1:4">
      <c r="A795" t="s">
        <v>1115</v>
      </c>
      <c r="B795" s="1219"/>
      <c r="C795">
        <v>108.2257</v>
      </c>
      <c r="D795" s="91">
        <v>44882</v>
      </c>
    </row>
    <row r="796" spans="1:4">
      <c r="A796" t="s">
        <v>1928</v>
      </c>
      <c r="B796" s="1219"/>
      <c r="C796">
        <v>174.75810000000001</v>
      </c>
      <c r="D796" s="91">
        <v>44882</v>
      </c>
    </row>
    <row r="797" spans="1:4">
      <c r="A797" t="s">
        <v>1929</v>
      </c>
      <c r="B797" s="1219"/>
      <c r="C797">
        <v>227.4547</v>
      </c>
      <c r="D797" s="91">
        <v>44882</v>
      </c>
    </row>
    <row r="798" spans="1:4">
      <c r="A798" t="s">
        <v>1930</v>
      </c>
      <c r="B798" s="1219"/>
      <c r="C798">
        <v>211.40790000000001</v>
      </c>
      <c r="D798" s="91">
        <v>44882</v>
      </c>
    </row>
    <row r="799" spans="1:4">
      <c r="A799" t="s">
        <v>1931</v>
      </c>
      <c r="B799" s="1219"/>
      <c r="C799">
        <v>259.41300000000001</v>
      </c>
      <c r="D799" s="91">
        <v>44882</v>
      </c>
    </row>
    <row r="800" spans="1:4">
      <c r="A800" t="s">
        <v>1932</v>
      </c>
      <c r="B800" s="1219"/>
      <c r="C800">
        <v>1.8260000000000001</v>
      </c>
      <c r="D800" s="91">
        <v>44882</v>
      </c>
    </row>
    <row r="801" spans="1:4">
      <c r="A801" t="s">
        <v>1933</v>
      </c>
      <c r="B801" s="1219"/>
      <c r="C801">
        <v>1.089</v>
      </c>
      <c r="D801" s="91">
        <v>44882</v>
      </c>
    </row>
    <row r="802" spans="1:4">
      <c r="A802" t="s">
        <v>1934</v>
      </c>
      <c r="B802" s="1219"/>
      <c r="C802">
        <v>2.145</v>
      </c>
      <c r="D802" s="91">
        <v>44882</v>
      </c>
    </row>
    <row r="803" spans="1:4">
      <c r="A803" t="s">
        <v>1935</v>
      </c>
      <c r="B803" s="1219"/>
      <c r="C803">
        <v>1.7325000000000002</v>
      </c>
      <c r="D803" s="91">
        <v>44882</v>
      </c>
    </row>
    <row r="804" spans="1:4">
      <c r="A804" t="s">
        <v>1936</v>
      </c>
      <c r="B804" s="1219"/>
      <c r="C804">
        <v>8.4260000000000002</v>
      </c>
      <c r="D804" s="91">
        <v>44882</v>
      </c>
    </row>
    <row r="805" spans="1:4">
      <c r="A805" t="s">
        <v>1937</v>
      </c>
      <c r="B805" s="1219"/>
      <c r="C805">
        <v>8.3996000000000013</v>
      </c>
      <c r="D805" s="91">
        <v>44882</v>
      </c>
    </row>
    <row r="806" spans="1:4">
      <c r="A806" t="s">
        <v>1938</v>
      </c>
      <c r="B806" s="1219"/>
      <c r="C806">
        <v>0.35970000000000002</v>
      </c>
      <c r="D806" s="91">
        <v>44882</v>
      </c>
    </row>
    <row r="807" spans="1:4">
      <c r="A807" t="s">
        <v>1939</v>
      </c>
      <c r="B807" s="1219"/>
      <c r="C807">
        <v>0.80300000000000005</v>
      </c>
      <c r="D807" s="91">
        <v>44882</v>
      </c>
    </row>
    <row r="808" spans="1:4">
      <c r="A808" t="s">
        <v>1940</v>
      </c>
      <c r="B808" s="1219"/>
      <c r="C808">
        <v>1.3089999999999999</v>
      </c>
      <c r="D808" s="91">
        <v>44882</v>
      </c>
    </row>
    <row r="809" spans="1:4">
      <c r="A809" t="s">
        <v>1941</v>
      </c>
      <c r="B809" s="1219"/>
      <c r="C809">
        <v>1.9096000000000002</v>
      </c>
      <c r="D809" s="91">
        <v>44882</v>
      </c>
    </row>
    <row r="810" spans="1:4">
      <c r="A810" t="s">
        <v>1942</v>
      </c>
      <c r="B810" s="1219"/>
      <c r="C810">
        <v>2.3463000000000003</v>
      </c>
      <c r="D810" s="91">
        <v>44882</v>
      </c>
    </row>
    <row r="811" spans="1:4">
      <c r="A811" t="s">
        <v>1943</v>
      </c>
      <c r="B811" s="1219"/>
      <c r="C811">
        <v>2.7214000000000005</v>
      </c>
      <c r="D811" s="91">
        <v>44882</v>
      </c>
    </row>
    <row r="812" spans="1:4">
      <c r="A812" t="s">
        <v>1944</v>
      </c>
      <c r="B812" s="1219"/>
      <c r="C812">
        <v>1.0208000000000002</v>
      </c>
      <c r="D812" s="91">
        <v>44882</v>
      </c>
    </row>
    <row r="813" spans="1:4">
      <c r="A813" t="s">
        <v>1945</v>
      </c>
      <c r="B813" s="1219"/>
      <c r="C813">
        <v>0.63800000000000001</v>
      </c>
      <c r="D813" s="91">
        <v>44882</v>
      </c>
    </row>
    <row r="814" spans="1:4">
      <c r="A814" t="s">
        <v>1946</v>
      </c>
      <c r="B814" s="1219"/>
      <c r="C814">
        <v>1.3089999999999999</v>
      </c>
      <c r="D814" s="91">
        <v>44882</v>
      </c>
    </row>
    <row r="815" spans="1:4">
      <c r="A815" t="s">
        <v>1947</v>
      </c>
      <c r="B815" s="1219"/>
      <c r="C815">
        <v>1.0449999999999999</v>
      </c>
      <c r="D815" s="91">
        <v>44882</v>
      </c>
    </row>
    <row r="816" spans="1:4">
      <c r="A816" t="s">
        <v>1137</v>
      </c>
      <c r="B816" s="1219"/>
      <c r="C816">
        <v>1.034</v>
      </c>
      <c r="D816" s="91">
        <v>44882</v>
      </c>
    </row>
    <row r="817" spans="1:4">
      <c r="A817" t="s">
        <v>1948</v>
      </c>
      <c r="B817" s="1219"/>
      <c r="C817">
        <v>2.7258000000000004</v>
      </c>
      <c r="D817" s="91">
        <v>44882</v>
      </c>
    </row>
    <row r="818" spans="1:4">
      <c r="A818" t="s">
        <v>1138</v>
      </c>
      <c r="B818" s="1219"/>
      <c r="C818">
        <v>3.4100000000000006</v>
      </c>
      <c r="D818" s="91">
        <v>44882</v>
      </c>
    </row>
    <row r="819" spans="1:4">
      <c r="A819" t="s">
        <v>1139</v>
      </c>
      <c r="B819" s="1219"/>
      <c r="C819">
        <v>4.5166000000000004</v>
      </c>
      <c r="D819" s="91">
        <v>44882</v>
      </c>
    </row>
    <row r="820" spans="1:4">
      <c r="A820" t="s">
        <v>1949</v>
      </c>
      <c r="B820" s="1219"/>
      <c r="C820">
        <v>8.5459000000000014</v>
      </c>
      <c r="D820" s="91">
        <v>44882</v>
      </c>
    </row>
    <row r="821" spans="1:4">
      <c r="A821" t="s">
        <v>1950</v>
      </c>
      <c r="B821" s="1219"/>
      <c r="C821">
        <v>3.927</v>
      </c>
      <c r="D821" s="91">
        <v>44882</v>
      </c>
    </row>
    <row r="822" spans="1:4">
      <c r="A822" t="s">
        <v>1951</v>
      </c>
      <c r="B822" s="1219"/>
      <c r="C822">
        <v>0.66</v>
      </c>
      <c r="D822" s="91">
        <v>44882</v>
      </c>
    </row>
    <row r="823" spans="1:4">
      <c r="A823" t="s">
        <v>1952</v>
      </c>
      <c r="B823" s="1219"/>
      <c r="C823">
        <v>3.3979000000000004</v>
      </c>
      <c r="D823" s="91">
        <v>44882</v>
      </c>
    </row>
    <row r="824" spans="1:4">
      <c r="A824" t="s">
        <v>1953</v>
      </c>
      <c r="B824" s="1219"/>
      <c r="C824">
        <v>16.747500000000002</v>
      </c>
      <c r="D824" s="91">
        <v>44882</v>
      </c>
    </row>
    <row r="825" spans="1:4">
      <c r="A825" t="s">
        <v>1954</v>
      </c>
      <c r="B825" s="1219"/>
      <c r="C825">
        <v>8.6130000000000013</v>
      </c>
      <c r="D825" s="91">
        <v>44882</v>
      </c>
    </row>
    <row r="826" spans="1:4">
      <c r="A826" t="s">
        <v>1955</v>
      </c>
      <c r="B826" s="1219"/>
      <c r="C826">
        <v>11.739200000000002</v>
      </c>
      <c r="D826" s="91">
        <v>44882</v>
      </c>
    </row>
    <row r="827" spans="1:4">
      <c r="A827" t="s">
        <v>1956</v>
      </c>
      <c r="B827" s="1219"/>
      <c r="C827">
        <v>1.3958999999999999</v>
      </c>
      <c r="D827" s="91">
        <v>44882</v>
      </c>
    </row>
    <row r="828" spans="1:4">
      <c r="A828" t="s">
        <v>1957</v>
      </c>
      <c r="B828" s="1219"/>
      <c r="C828">
        <v>2.4354</v>
      </c>
      <c r="D828" s="91">
        <v>44882</v>
      </c>
    </row>
    <row r="829" spans="1:4">
      <c r="A829" t="s">
        <v>1958</v>
      </c>
      <c r="B829" s="1219"/>
      <c r="C829">
        <v>3.2076000000000007</v>
      </c>
      <c r="D829" s="91">
        <v>44882</v>
      </c>
    </row>
    <row r="830" spans="1:4">
      <c r="A830" t="s">
        <v>1959</v>
      </c>
      <c r="B830" s="1219"/>
      <c r="C830">
        <v>3.4133000000000004</v>
      </c>
      <c r="D830" s="91">
        <v>44882</v>
      </c>
    </row>
    <row r="831" spans="1:4">
      <c r="A831" t="s">
        <v>1960</v>
      </c>
      <c r="B831" s="1219"/>
      <c r="C831">
        <v>14.511200000000001</v>
      </c>
      <c r="D831" s="91">
        <v>44882</v>
      </c>
    </row>
    <row r="832" spans="1:4">
      <c r="A832" t="s">
        <v>1961</v>
      </c>
      <c r="B832" s="1219"/>
      <c r="C832">
        <v>1.5290990000000004</v>
      </c>
      <c r="D832" s="91">
        <v>44882</v>
      </c>
    </row>
    <row r="833" spans="1:4">
      <c r="A833" t="s">
        <v>1962</v>
      </c>
      <c r="B833" s="1219"/>
      <c r="C833">
        <v>7.1775000000000011</v>
      </c>
      <c r="D833" s="91">
        <v>44882</v>
      </c>
    </row>
    <row r="834" spans="1:4">
      <c r="A834" t="s">
        <v>1963</v>
      </c>
      <c r="B834" s="1219"/>
      <c r="C834">
        <v>11.053900000000001</v>
      </c>
      <c r="D834" s="91">
        <v>44882</v>
      </c>
    </row>
    <row r="835" spans="1:4">
      <c r="A835" t="s">
        <v>1964</v>
      </c>
      <c r="B835" s="1219"/>
      <c r="C835">
        <v>4.2273000000000005</v>
      </c>
      <c r="D835" s="91">
        <v>44882</v>
      </c>
    </row>
    <row r="836" spans="1:4">
      <c r="A836" t="s">
        <v>1965</v>
      </c>
      <c r="B836" s="1219"/>
      <c r="C836">
        <v>4.2273000000000005</v>
      </c>
      <c r="D836" s="91">
        <v>44882</v>
      </c>
    </row>
    <row r="837" spans="1:4">
      <c r="A837" t="s">
        <v>1966</v>
      </c>
      <c r="B837" s="1219"/>
      <c r="C837">
        <v>1.4300000000000002</v>
      </c>
      <c r="D837" s="91">
        <v>44882</v>
      </c>
    </row>
    <row r="838" spans="1:4">
      <c r="A838" t="s">
        <v>1967</v>
      </c>
      <c r="B838" s="1219"/>
      <c r="C838">
        <v>5.423</v>
      </c>
      <c r="D838" s="91">
        <v>44882</v>
      </c>
    </row>
    <row r="839" spans="1:4">
      <c r="A839" t="s">
        <v>1968</v>
      </c>
      <c r="B839" s="1219"/>
      <c r="C839">
        <v>1.2649999999999999</v>
      </c>
      <c r="D839" s="91">
        <v>44882</v>
      </c>
    </row>
    <row r="840" spans="1:4">
      <c r="A840" t="s">
        <v>1969</v>
      </c>
      <c r="B840" s="1219"/>
      <c r="C840">
        <v>6.6352000000000002</v>
      </c>
      <c r="D840" s="91">
        <v>44882</v>
      </c>
    </row>
    <row r="841" spans="1:4">
      <c r="A841" t="s">
        <v>1970</v>
      </c>
      <c r="B841" s="1219"/>
      <c r="C841">
        <v>1.6940000000000002</v>
      </c>
      <c r="D841" s="91">
        <v>44882</v>
      </c>
    </row>
    <row r="842" spans="1:4">
      <c r="A842" t="s">
        <v>1971</v>
      </c>
      <c r="B842" s="1219"/>
      <c r="C842">
        <v>6.6990000000000007</v>
      </c>
      <c r="D842" s="91">
        <v>44882</v>
      </c>
    </row>
    <row r="843" spans="1:4">
      <c r="A843" t="s">
        <v>1972</v>
      </c>
      <c r="B843" s="1219"/>
      <c r="C843">
        <v>5.742</v>
      </c>
      <c r="D843" s="91">
        <v>44882</v>
      </c>
    </row>
    <row r="844" spans="1:4">
      <c r="A844" t="s">
        <v>1973</v>
      </c>
      <c r="B844" s="1219"/>
      <c r="C844">
        <v>4.620000000000001</v>
      </c>
      <c r="D844" s="91">
        <v>44882</v>
      </c>
    </row>
    <row r="845" spans="1:4">
      <c r="A845" t="s">
        <v>1974</v>
      </c>
      <c r="B845" s="1219"/>
      <c r="C845">
        <v>10.912000000000001</v>
      </c>
      <c r="D845" s="91">
        <v>44882</v>
      </c>
    </row>
    <row r="846" spans="1:4">
      <c r="A846" t="s">
        <v>1975</v>
      </c>
      <c r="B846" s="1219"/>
      <c r="C846">
        <v>1.1484000000000001</v>
      </c>
      <c r="D846" s="91">
        <v>44882</v>
      </c>
    </row>
    <row r="847" spans="1:4">
      <c r="A847" t="s">
        <v>1976</v>
      </c>
      <c r="B847" s="1219"/>
      <c r="C847">
        <v>5.1623000000000001</v>
      </c>
      <c r="D847" s="91">
        <v>44882</v>
      </c>
    </row>
    <row r="848" spans="1:4">
      <c r="A848" t="s">
        <v>1977</v>
      </c>
      <c r="B848" s="1219"/>
      <c r="C848">
        <v>18.023500000000002</v>
      </c>
      <c r="D848" s="91">
        <v>44882</v>
      </c>
    </row>
    <row r="849" spans="1:4">
      <c r="A849" t="s">
        <v>1978</v>
      </c>
      <c r="B849" s="1219"/>
      <c r="C849">
        <v>3.6366000000000005</v>
      </c>
      <c r="D849" s="91">
        <v>44882</v>
      </c>
    </row>
    <row r="850" spans="1:4">
      <c r="A850" t="s">
        <v>1979</v>
      </c>
      <c r="B850" s="1219"/>
      <c r="C850">
        <v>34.388200000000005</v>
      </c>
      <c r="D850" s="91">
        <v>44882</v>
      </c>
    </row>
    <row r="851" spans="1:4">
      <c r="A851" t="s">
        <v>1980</v>
      </c>
      <c r="B851" s="1219"/>
      <c r="C851">
        <v>8.6790000000000003</v>
      </c>
      <c r="D851" s="91">
        <v>44882</v>
      </c>
    </row>
    <row r="852" spans="1:4">
      <c r="A852" t="s">
        <v>1981</v>
      </c>
      <c r="B852" s="1219"/>
      <c r="C852">
        <v>5.4232750000000012</v>
      </c>
      <c r="D852" s="91">
        <v>44882</v>
      </c>
    </row>
    <row r="853" spans="1:4">
      <c r="A853" t="s">
        <v>1982</v>
      </c>
      <c r="B853" s="1219"/>
      <c r="C853">
        <v>8.8000000000000007</v>
      </c>
      <c r="D853" s="91">
        <v>44882</v>
      </c>
    </row>
    <row r="854" spans="1:4">
      <c r="A854" t="s">
        <v>1983</v>
      </c>
      <c r="B854" s="1219"/>
      <c r="C854">
        <v>11.915200000000002</v>
      </c>
      <c r="D854" s="91">
        <v>44882</v>
      </c>
    </row>
    <row r="855" spans="1:4">
      <c r="A855" t="s">
        <v>1984</v>
      </c>
      <c r="B855" s="1219"/>
      <c r="C855">
        <v>0.86900000000000011</v>
      </c>
      <c r="D855" s="91">
        <v>44882</v>
      </c>
    </row>
    <row r="856" spans="1:4">
      <c r="A856" t="s">
        <v>1985</v>
      </c>
      <c r="B856" s="1219"/>
      <c r="C856">
        <v>2.2330000000000001</v>
      </c>
      <c r="D856" s="91">
        <v>44882</v>
      </c>
    </row>
    <row r="857" spans="1:4">
      <c r="A857" t="s">
        <v>1986</v>
      </c>
      <c r="B857" s="1219"/>
      <c r="C857">
        <v>3.399</v>
      </c>
      <c r="D857" s="91">
        <v>44882</v>
      </c>
    </row>
    <row r="858" spans="1:4">
      <c r="A858" t="s">
        <v>1987</v>
      </c>
      <c r="B858" s="1219"/>
      <c r="C858">
        <v>1.089</v>
      </c>
      <c r="D858" s="91">
        <v>44882</v>
      </c>
    </row>
    <row r="859" spans="1:4">
      <c r="A859" t="s">
        <v>1988</v>
      </c>
      <c r="B859" s="1219"/>
      <c r="C859">
        <v>3.63</v>
      </c>
      <c r="D859" s="91">
        <v>44882</v>
      </c>
    </row>
    <row r="860" spans="1:4">
      <c r="A860" t="s">
        <v>1989</v>
      </c>
      <c r="B860" s="1219"/>
      <c r="C860">
        <v>4.4330000000000007</v>
      </c>
      <c r="D860" s="91">
        <v>44882</v>
      </c>
    </row>
    <row r="861" spans="1:4">
      <c r="A861" t="s">
        <v>1990</v>
      </c>
      <c r="B861" s="1219"/>
      <c r="C861">
        <v>0.92400000000000004</v>
      </c>
      <c r="D861" s="91">
        <v>44882</v>
      </c>
    </row>
    <row r="862" spans="1:4">
      <c r="A862" t="s">
        <v>1991</v>
      </c>
      <c r="B862" s="1219"/>
      <c r="C862">
        <v>1.089</v>
      </c>
      <c r="D862" s="91">
        <v>44882</v>
      </c>
    </row>
    <row r="863" spans="1:4">
      <c r="A863" t="s">
        <v>1992</v>
      </c>
      <c r="B863" s="1219"/>
      <c r="C863">
        <v>1.1770000000000003</v>
      </c>
      <c r="D863" s="91">
        <v>44882</v>
      </c>
    </row>
    <row r="864" spans="1:4">
      <c r="A864" t="s">
        <v>1993</v>
      </c>
      <c r="B864" s="1219"/>
      <c r="C864">
        <v>12.536700000000002</v>
      </c>
      <c r="D864" s="91">
        <v>44882</v>
      </c>
    </row>
    <row r="865" spans="1:4">
      <c r="A865" t="s">
        <v>1994</v>
      </c>
      <c r="B865" s="1219"/>
      <c r="C865">
        <v>1.5289999999999999</v>
      </c>
      <c r="D865" s="91">
        <v>44882</v>
      </c>
    </row>
    <row r="866" spans="1:4">
      <c r="A866" t="s">
        <v>1995</v>
      </c>
      <c r="B866" s="1219"/>
      <c r="C866">
        <v>2.9260000000000006</v>
      </c>
      <c r="D866" s="91">
        <v>44882</v>
      </c>
    </row>
    <row r="867" spans="1:4">
      <c r="A867" t="s">
        <v>1996</v>
      </c>
      <c r="B867" s="1219"/>
      <c r="C867">
        <v>1.8975000000000002</v>
      </c>
      <c r="D867" s="91">
        <v>44882</v>
      </c>
    </row>
    <row r="868" spans="1:4">
      <c r="A868" t="s">
        <v>1997</v>
      </c>
      <c r="B868" s="1219"/>
      <c r="C868">
        <v>1.1220000000000001</v>
      </c>
      <c r="D868" s="91">
        <v>44882</v>
      </c>
    </row>
    <row r="869" spans="1:4">
      <c r="A869" t="s">
        <v>1998</v>
      </c>
      <c r="B869" s="1219"/>
      <c r="C869">
        <v>0.60500000000000009</v>
      </c>
      <c r="D869" s="91">
        <v>44882</v>
      </c>
    </row>
    <row r="870" spans="1:4">
      <c r="A870" t="s">
        <v>1999</v>
      </c>
      <c r="B870" s="1219"/>
      <c r="C870">
        <v>5.3239999999999998</v>
      </c>
      <c r="D870" s="91">
        <v>44882</v>
      </c>
    </row>
    <row r="871" spans="1:4">
      <c r="A871" t="s">
        <v>2000</v>
      </c>
      <c r="B871" s="1219"/>
      <c r="C871">
        <v>11.913</v>
      </c>
      <c r="D871" s="91">
        <v>44882</v>
      </c>
    </row>
    <row r="872" spans="1:4">
      <c r="A872" t="s">
        <v>2001</v>
      </c>
      <c r="B872" s="1219"/>
      <c r="C872">
        <v>6.7650000000000006</v>
      </c>
      <c r="D872" s="91">
        <v>44882</v>
      </c>
    </row>
    <row r="873" spans="1:4">
      <c r="A873" t="s">
        <v>2002</v>
      </c>
      <c r="B873" s="1219"/>
      <c r="C873">
        <v>1.298</v>
      </c>
      <c r="D873" s="91">
        <v>44882</v>
      </c>
    </row>
    <row r="874" spans="1:4">
      <c r="A874" t="s">
        <v>2003</v>
      </c>
      <c r="B874" s="1219"/>
      <c r="C874">
        <v>0.71720000000000006</v>
      </c>
      <c r="D874" s="91">
        <v>44882</v>
      </c>
    </row>
    <row r="875" spans="1:4">
      <c r="A875" t="s">
        <v>2004</v>
      </c>
      <c r="B875" s="1219"/>
      <c r="C875">
        <v>14.674000000000001</v>
      </c>
      <c r="D875" s="91">
        <v>44882</v>
      </c>
    </row>
    <row r="876" spans="1:4">
      <c r="A876" t="s">
        <v>2005</v>
      </c>
      <c r="B876" s="1219"/>
      <c r="C876">
        <v>1.1220000000000001</v>
      </c>
      <c r="D876" s="91">
        <v>44882</v>
      </c>
    </row>
    <row r="877" spans="1:4">
      <c r="A877" t="s">
        <v>2006</v>
      </c>
      <c r="B877" s="1219"/>
      <c r="C877">
        <v>2.2220000000000004</v>
      </c>
      <c r="D877" s="91">
        <v>44882</v>
      </c>
    </row>
    <row r="878" spans="1:4">
      <c r="A878" t="s">
        <v>2007</v>
      </c>
      <c r="B878" s="1219"/>
      <c r="C878">
        <v>1.8260000000000001</v>
      </c>
      <c r="D878" s="91">
        <v>44882</v>
      </c>
    </row>
    <row r="879" spans="1:4">
      <c r="A879" t="s">
        <v>2008</v>
      </c>
      <c r="B879" s="1219"/>
      <c r="C879">
        <v>0.66</v>
      </c>
      <c r="D879" s="91">
        <v>44882</v>
      </c>
    </row>
    <row r="880" spans="1:4">
      <c r="A880" t="s">
        <v>2009</v>
      </c>
      <c r="B880" s="1219"/>
      <c r="C880">
        <v>0.41800000000000004</v>
      </c>
      <c r="D880" s="91">
        <v>44882</v>
      </c>
    </row>
    <row r="881" spans="1:4">
      <c r="A881" t="s">
        <v>2010</v>
      </c>
      <c r="B881" s="1219"/>
      <c r="C881">
        <v>1.4817</v>
      </c>
      <c r="D881" s="91">
        <v>44882</v>
      </c>
    </row>
    <row r="882" spans="1:4">
      <c r="A882" t="s">
        <v>2011</v>
      </c>
      <c r="B882" s="1219"/>
      <c r="C882">
        <v>4.1470000000000002</v>
      </c>
      <c r="D882" s="91">
        <v>44882</v>
      </c>
    </row>
    <row r="883" spans="1:4">
      <c r="A883" t="s">
        <v>2012</v>
      </c>
      <c r="B883" s="1219"/>
      <c r="C883">
        <v>10.714</v>
      </c>
      <c r="D883" s="91">
        <v>44882</v>
      </c>
    </row>
    <row r="884" spans="1:4">
      <c r="A884" t="s">
        <v>2013</v>
      </c>
      <c r="B884" s="1219"/>
      <c r="C884">
        <v>11.165000000000001</v>
      </c>
      <c r="D884" s="91">
        <v>44882</v>
      </c>
    </row>
    <row r="885" spans="1:4">
      <c r="A885" t="s">
        <v>2014</v>
      </c>
      <c r="B885" s="1219"/>
      <c r="C885">
        <v>0.94600000000000006</v>
      </c>
      <c r="D885" s="91">
        <v>44882</v>
      </c>
    </row>
    <row r="886" spans="1:4">
      <c r="A886" t="s">
        <v>2015</v>
      </c>
      <c r="B886" s="1219"/>
      <c r="C886">
        <v>0.46090000000000003</v>
      </c>
      <c r="D886" s="91">
        <v>44882</v>
      </c>
    </row>
    <row r="887" spans="1:4">
      <c r="A887" t="s">
        <v>2016</v>
      </c>
      <c r="B887" s="1219"/>
      <c r="C887">
        <v>46.343000000000004</v>
      </c>
      <c r="D887" s="91">
        <v>44882</v>
      </c>
    </row>
    <row r="888" spans="1:4">
      <c r="A888" t="s">
        <v>2017</v>
      </c>
      <c r="B888" s="1219"/>
      <c r="C888">
        <v>1.5312000000000001</v>
      </c>
      <c r="D888" s="91">
        <v>44882</v>
      </c>
    </row>
    <row r="889" spans="1:4">
      <c r="A889" t="s">
        <v>2018</v>
      </c>
      <c r="B889" s="1219"/>
      <c r="C889">
        <v>5.7200000000000006</v>
      </c>
      <c r="D889" s="91">
        <v>44882</v>
      </c>
    </row>
    <row r="890" spans="1:4">
      <c r="A890" t="s">
        <v>2019</v>
      </c>
      <c r="B890" s="1219"/>
      <c r="C890">
        <v>3.4760000000000004</v>
      </c>
      <c r="D890" s="91">
        <v>44882</v>
      </c>
    </row>
    <row r="891" spans="1:4">
      <c r="A891" t="s">
        <v>2020</v>
      </c>
      <c r="B891" s="1219"/>
      <c r="C891">
        <v>1.0120000000000002</v>
      </c>
      <c r="D891" s="91">
        <v>44882</v>
      </c>
    </row>
    <row r="892" spans="1:4">
      <c r="A892" t="s">
        <v>2021</v>
      </c>
      <c r="B892" s="1219"/>
      <c r="C892">
        <v>1.0846</v>
      </c>
      <c r="D892" s="91">
        <v>44882</v>
      </c>
    </row>
    <row r="893" spans="1:4">
      <c r="A893" t="s">
        <v>2022</v>
      </c>
      <c r="B893" s="1219"/>
      <c r="C893">
        <v>1.6753</v>
      </c>
      <c r="D893" s="91">
        <v>44882</v>
      </c>
    </row>
    <row r="894" spans="1:4">
      <c r="A894" t="s">
        <v>2023</v>
      </c>
      <c r="B894" s="1219"/>
      <c r="C894">
        <v>20.3049</v>
      </c>
      <c r="D894" s="91">
        <v>44882</v>
      </c>
    </row>
    <row r="895" spans="1:4">
      <c r="A895" t="s">
        <v>2024</v>
      </c>
      <c r="B895" s="1219"/>
      <c r="C895">
        <v>14.003000000000002</v>
      </c>
      <c r="D895" s="91">
        <v>44882</v>
      </c>
    </row>
    <row r="896" spans="1:4">
      <c r="A896" t="s">
        <v>2025</v>
      </c>
      <c r="B896" s="1219"/>
      <c r="C896">
        <v>27.960900000000002</v>
      </c>
      <c r="D896" s="91">
        <v>44882</v>
      </c>
    </row>
    <row r="897" spans="1:4">
      <c r="A897" t="s">
        <v>2026</v>
      </c>
      <c r="B897" s="1219"/>
      <c r="C897">
        <v>1.2869999999999999</v>
      </c>
      <c r="D897" s="91">
        <v>44882</v>
      </c>
    </row>
    <row r="898" spans="1:4">
      <c r="A898" t="s">
        <v>2027</v>
      </c>
      <c r="B898" s="1219"/>
      <c r="C898">
        <v>0.8459000000000001</v>
      </c>
      <c r="D898" s="91">
        <v>44882</v>
      </c>
    </row>
    <row r="899" spans="1:4">
      <c r="A899" t="s">
        <v>2028</v>
      </c>
      <c r="B899" s="1219"/>
      <c r="C899">
        <v>2.2330000000000001</v>
      </c>
      <c r="D899" s="91">
        <v>44882</v>
      </c>
    </row>
    <row r="900" spans="1:4">
      <c r="A900" t="s">
        <v>2029</v>
      </c>
      <c r="B900" s="1219"/>
      <c r="C900">
        <v>5.9510000000000005</v>
      </c>
      <c r="D900" s="91">
        <v>44882</v>
      </c>
    </row>
    <row r="901" spans="1:4">
      <c r="A901" t="s">
        <v>2030</v>
      </c>
      <c r="B901" s="1219"/>
      <c r="C901">
        <v>4.0150000000000006</v>
      </c>
      <c r="D901" s="91">
        <v>44882</v>
      </c>
    </row>
    <row r="902" spans="1:4">
      <c r="A902" t="s">
        <v>2031</v>
      </c>
      <c r="B902" s="1219"/>
      <c r="C902">
        <v>1.0120000000000002</v>
      </c>
      <c r="D902" s="91">
        <v>44882</v>
      </c>
    </row>
    <row r="903" spans="1:4">
      <c r="A903" t="s">
        <v>2032</v>
      </c>
      <c r="B903" s="1219"/>
      <c r="C903">
        <v>1.1011</v>
      </c>
      <c r="D903" s="91">
        <v>44882</v>
      </c>
    </row>
    <row r="904" spans="1:4">
      <c r="A904" t="s">
        <v>2033</v>
      </c>
      <c r="B904" s="1219"/>
      <c r="C904">
        <v>1.9140000000000001</v>
      </c>
      <c r="D904" s="91">
        <v>44882</v>
      </c>
    </row>
    <row r="905" spans="1:4">
      <c r="A905" t="s">
        <v>2034</v>
      </c>
      <c r="B905" s="1219"/>
      <c r="C905">
        <v>10.747</v>
      </c>
      <c r="D905" s="91">
        <v>44882</v>
      </c>
    </row>
    <row r="906" spans="1:4">
      <c r="A906" t="s">
        <v>2035</v>
      </c>
      <c r="B906" s="1219"/>
      <c r="C906">
        <v>26.268000000000001</v>
      </c>
      <c r="D906" s="91">
        <v>44882</v>
      </c>
    </row>
    <row r="907" spans="1:4">
      <c r="A907" t="s">
        <v>2036</v>
      </c>
      <c r="B907" s="1219"/>
      <c r="C907">
        <v>27.816800000000004</v>
      </c>
      <c r="D907" s="91">
        <v>44882</v>
      </c>
    </row>
    <row r="908" spans="1:4">
      <c r="A908" t="s">
        <v>2037</v>
      </c>
      <c r="B908" s="1219"/>
      <c r="C908">
        <v>1.4740000000000002</v>
      </c>
      <c r="D908" s="91">
        <v>44882</v>
      </c>
    </row>
    <row r="909" spans="1:4">
      <c r="A909" t="s">
        <v>2038</v>
      </c>
      <c r="B909" s="1219"/>
      <c r="C909">
        <v>0.97350000000000014</v>
      </c>
      <c r="D909" s="91">
        <v>44882</v>
      </c>
    </row>
    <row r="910" spans="1:4">
      <c r="A910" t="s">
        <v>2039</v>
      </c>
      <c r="B910" s="1219"/>
      <c r="C910">
        <v>6.6990000000000007</v>
      </c>
      <c r="D910" s="91">
        <v>44882</v>
      </c>
    </row>
    <row r="911" spans="1:4">
      <c r="A911" t="s">
        <v>2040</v>
      </c>
      <c r="B911" s="1219"/>
      <c r="C911">
        <v>17.880500000000001</v>
      </c>
      <c r="D911" s="91">
        <v>44882</v>
      </c>
    </row>
    <row r="912" spans="1:4">
      <c r="A912" t="s">
        <v>2041</v>
      </c>
      <c r="B912" s="1219"/>
      <c r="C912">
        <v>4.1315999999999997</v>
      </c>
      <c r="D912" s="91">
        <v>44882</v>
      </c>
    </row>
    <row r="913" spans="1:4">
      <c r="A913" t="s">
        <v>2042</v>
      </c>
      <c r="B913" s="1219"/>
      <c r="C913">
        <v>3.5090000000000003</v>
      </c>
      <c r="D913" s="91">
        <v>44882</v>
      </c>
    </row>
    <row r="914" spans="1:4">
      <c r="A914" t="s">
        <v>2043</v>
      </c>
      <c r="B914" s="1219"/>
      <c r="C914">
        <v>24.069100000000002</v>
      </c>
      <c r="D914" s="91">
        <v>44882</v>
      </c>
    </row>
    <row r="915" spans="1:4">
      <c r="A915" t="s">
        <v>2044</v>
      </c>
      <c r="B915" s="1219"/>
      <c r="C915">
        <v>44.787600000000005</v>
      </c>
      <c r="D915" s="91">
        <v>44882</v>
      </c>
    </row>
    <row r="916" spans="1:4">
      <c r="A916" t="s">
        <v>2045</v>
      </c>
      <c r="B916" s="1219"/>
      <c r="C916">
        <v>24.651000000000003</v>
      </c>
      <c r="D916" s="91">
        <v>44882</v>
      </c>
    </row>
    <row r="917" spans="1:4">
      <c r="A917" t="s">
        <v>2046</v>
      </c>
      <c r="B917" s="1219"/>
      <c r="C917">
        <v>4.6101000000000001</v>
      </c>
      <c r="D917" s="91">
        <v>44882</v>
      </c>
    </row>
    <row r="918" spans="1:4">
      <c r="A918" t="s">
        <v>2047</v>
      </c>
      <c r="B918" s="1219"/>
      <c r="C918">
        <v>3.2857000000000003</v>
      </c>
      <c r="D918" s="91">
        <v>44882</v>
      </c>
    </row>
    <row r="919" spans="1:4">
      <c r="A919" t="s">
        <v>2048</v>
      </c>
      <c r="B919" s="1219"/>
      <c r="C919">
        <v>5.5550000000000006</v>
      </c>
      <c r="D919" s="91">
        <v>44882</v>
      </c>
    </row>
    <row r="920" spans="1:4">
      <c r="A920" t="s">
        <v>2049</v>
      </c>
      <c r="B920" s="1219"/>
      <c r="C920">
        <v>13.398000000000001</v>
      </c>
      <c r="D920" s="91">
        <v>44882</v>
      </c>
    </row>
    <row r="921" spans="1:4">
      <c r="A921" t="s">
        <v>2050</v>
      </c>
      <c r="B921" s="1219"/>
      <c r="C921">
        <v>9.8450000000000006</v>
      </c>
      <c r="D921" s="91">
        <v>44882</v>
      </c>
    </row>
    <row r="922" spans="1:4">
      <c r="A922" t="s">
        <v>2051</v>
      </c>
      <c r="B922" s="1219"/>
      <c r="C922">
        <v>2.1208</v>
      </c>
      <c r="D922" s="91">
        <v>44882</v>
      </c>
    </row>
    <row r="923" spans="1:4">
      <c r="A923" t="s">
        <v>2052</v>
      </c>
      <c r="B923" s="1219"/>
      <c r="C923">
        <v>2.1846000000000001</v>
      </c>
      <c r="D923" s="91">
        <v>44882</v>
      </c>
    </row>
    <row r="924" spans="1:4">
      <c r="A924" t="s">
        <v>2053</v>
      </c>
      <c r="B924" s="1219"/>
      <c r="C924">
        <v>16.599</v>
      </c>
      <c r="D924" s="91">
        <v>44882</v>
      </c>
    </row>
    <row r="925" spans="1:4">
      <c r="A925" t="s">
        <v>2054</v>
      </c>
      <c r="B925" s="1219"/>
      <c r="C925">
        <v>31.394000000000002</v>
      </c>
      <c r="D925" s="91">
        <v>44882</v>
      </c>
    </row>
    <row r="926" spans="1:4">
      <c r="A926" t="s">
        <v>2055</v>
      </c>
      <c r="B926" s="1219"/>
      <c r="C926">
        <v>27.167249999999999</v>
      </c>
      <c r="D926" s="91">
        <v>44882</v>
      </c>
    </row>
    <row r="927" spans="1:4">
      <c r="A927" t="s">
        <v>2056</v>
      </c>
      <c r="B927" s="1219"/>
      <c r="C927">
        <v>4.1140000000000008</v>
      </c>
      <c r="D927" s="91">
        <v>44882</v>
      </c>
    </row>
    <row r="928" spans="1:4">
      <c r="A928" t="s">
        <v>2057</v>
      </c>
      <c r="B928" s="1219"/>
      <c r="C928">
        <v>2.0680000000000001</v>
      </c>
      <c r="D928" s="91">
        <v>44882</v>
      </c>
    </row>
    <row r="929" spans="1:4">
      <c r="A929" t="s">
        <v>2058</v>
      </c>
      <c r="B929" s="1219"/>
      <c r="C929">
        <v>2.3606000000000003</v>
      </c>
      <c r="D929" s="91">
        <v>44882</v>
      </c>
    </row>
    <row r="930" spans="1:4">
      <c r="A930" t="s">
        <v>2059</v>
      </c>
      <c r="B930" s="1219"/>
      <c r="C930">
        <v>5.6573000000000011</v>
      </c>
      <c r="D930" s="91">
        <v>44882</v>
      </c>
    </row>
    <row r="931" spans="1:4">
      <c r="A931" t="s">
        <v>2060</v>
      </c>
      <c r="B931" s="1219"/>
      <c r="C931">
        <v>19.985900000000001</v>
      </c>
      <c r="D931" s="91">
        <v>44882</v>
      </c>
    </row>
    <row r="932" spans="1:4">
      <c r="A932" t="s">
        <v>2061</v>
      </c>
      <c r="B932" s="1219"/>
      <c r="C932">
        <v>2.0020000000000002</v>
      </c>
      <c r="D932" s="91">
        <v>44882</v>
      </c>
    </row>
    <row r="933" spans="1:4">
      <c r="A933" t="s">
        <v>2062</v>
      </c>
      <c r="B933" s="1219"/>
      <c r="C933">
        <v>19.985900000000001</v>
      </c>
      <c r="D933" s="91">
        <v>44882</v>
      </c>
    </row>
    <row r="934" spans="1:4">
      <c r="A934" t="s">
        <v>2063</v>
      </c>
      <c r="B934" s="1219"/>
      <c r="C934">
        <v>36.294719999999998</v>
      </c>
      <c r="D934" s="91">
        <v>44882</v>
      </c>
    </row>
    <row r="935" spans="1:4">
      <c r="A935" t="s">
        <v>2064</v>
      </c>
      <c r="B935" s="1219"/>
      <c r="C935">
        <v>12.76</v>
      </c>
      <c r="D935" s="91">
        <v>44882</v>
      </c>
    </row>
    <row r="936" spans="1:4">
      <c r="A936" t="s">
        <v>2065</v>
      </c>
      <c r="B936" s="1219"/>
      <c r="C936">
        <v>5.5550000000000006</v>
      </c>
      <c r="D936" s="91">
        <v>44882</v>
      </c>
    </row>
    <row r="937" spans="1:4">
      <c r="A937" t="s">
        <v>2066</v>
      </c>
      <c r="B937" s="1219"/>
      <c r="C937">
        <v>12.903000000000002</v>
      </c>
      <c r="D937" s="91">
        <v>44882</v>
      </c>
    </row>
    <row r="938" spans="1:4">
      <c r="A938" t="s">
        <v>2067</v>
      </c>
      <c r="B938" s="1219"/>
      <c r="C938">
        <v>9.7569999999999997</v>
      </c>
      <c r="D938" s="91">
        <v>44882</v>
      </c>
    </row>
    <row r="939" spans="1:4">
      <c r="A939" t="s">
        <v>2068</v>
      </c>
      <c r="B939" s="1219"/>
      <c r="C939">
        <v>2.3540000000000005</v>
      </c>
      <c r="D939" s="91">
        <v>44882</v>
      </c>
    </row>
    <row r="940" spans="1:4">
      <c r="A940" t="s">
        <v>2069</v>
      </c>
      <c r="B940" s="1219"/>
      <c r="C940">
        <v>1.4190000000000003</v>
      </c>
      <c r="D940" s="91">
        <v>44882</v>
      </c>
    </row>
    <row r="941" spans="1:4">
      <c r="A941" t="s">
        <v>2070</v>
      </c>
      <c r="B941" s="1219"/>
      <c r="C941">
        <v>20.680000000000003</v>
      </c>
      <c r="D941" s="91">
        <v>44882</v>
      </c>
    </row>
    <row r="942" spans="1:4">
      <c r="A942" t="s">
        <v>2071</v>
      </c>
      <c r="B942" s="1219"/>
      <c r="C942">
        <v>55.527999999999999</v>
      </c>
      <c r="D942" s="91">
        <v>44882</v>
      </c>
    </row>
    <row r="943" spans="1:4">
      <c r="A943" t="s">
        <v>2072</v>
      </c>
      <c r="B943" s="1219"/>
      <c r="C943">
        <v>37.729999999999997</v>
      </c>
      <c r="D943" s="91">
        <v>44882</v>
      </c>
    </row>
    <row r="944" spans="1:4">
      <c r="A944" t="s">
        <v>2073</v>
      </c>
      <c r="B944" s="1219"/>
      <c r="C944">
        <v>4.1140000000000008</v>
      </c>
      <c r="D944" s="91">
        <v>44882</v>
      </c>
    </row>
    <row r="945" spans="1:4">
      <c r="A945" t="s">
        <v>2074</v>
      </c>
      <c r="B945" s="1219"/>
      <c r="C945">
        <v>1.3420000000000001</v>
      </c>
      <c r="D945" s="91">
        <v>44882</v>
      </c>
    </row>
    <row r="946" spans="1:4">
      <c r="A946" t="s">
        <v>2075</v>
      </c>
      <c r="B946" s="1219"/>
      <c r="C946">
        <v>6.9300000000000006</v>
      </c>
      <c r="D946" s="91">
        <v>44882</v>
      </c>
    </row>
    <row r="947" spans="1:4">
      <c r="A947" t="s">
        <v>2076</v>
      </c>
      <c r="B947" s="1219"/>
      <c r="C947">
        <v>19.698800000000002</v>
      </c>
      <c r="D947" s="91">
        <v>44882</v>
      </c>
    </row>
    <row r="948" spans="1:4">
      <c r="A948" t="s">
        <v>2077</v>
      </c>
      <c r="B948" s="1219"/>
      <c r="C948">
        <v>4.0903499999999999</v>
      </c>
      <c r="D948" s="91">
        <v>44882</v>
      </c>
    </row>
    <row r="949" spans="1:4">
      <c r="A949" t="s">
        <v>2078</v>
      </c>
      <c r="B949" s="1219"/>
      <c r="C949">
        <v>2.8875000000000002</v>
      </c>
      <c r="D949" s="91">
        <v>44882</v>
      </c>
    </row>
    <row r="950" spans="1:4">
      <c r="A950" t="s">
        <v>2079</v>
      </c>
      <c r="B950" s="1219"/>
      <c r="C950">
        <v>1.4652000000000001</v>
      </c>
      <c r="D950" s="91">
        <v>44882</v>
      </c>
    </row>
    <row r="951" spans="1:4">
      <c r="A951" t="s">
        <v>2080</v>
      </c>
      <c r="B951" s="1219"/>
      <c r="C951">
        <v>19.698800000000002</v>
      </c>
      <c r="D951" s="91">
        <v>44882</v>
      </c>
    </row>
    <row r="952" spans="1:4">
      <c r="A952" t="s">
        <v>2081</v>
      </c>
      <c r="B952" s="1219"/>
      <c r="C952">
        <v>17.155050000000003</v>
      </c>
      <c r="D952" s="91">
        <v>44882</v>
      </c>
    </row>
    <row r="953" spans="1:4">
      <c r="A953" t="s">
        <v>2082</v>
      </c>
      <c r="B953" s="1219"/>
      <c r="C953">
        <v>18.722000000000001</v>
      </c>
      <c r="D953" s="91">
        <v>44882</v>
      </c>
    </row>
    <row r="954" spans="1:4">
      <c r="A954" t="s">
        <v>2083</v>
      </c>
      <c r="B954" s="1219"/>
      <c r="C954">
        <v>2.8875000000000002</v>
      </c>
      <c r="D954" s="91">
        <v>44882</v>
      </c>
    </row>
    <row r="955" spans="1:4">
      <c r="A955" t="s">
        <v>2084</v>
      </c>
      <c r="B955" s="1219"/>
      <c r="C955">
        <v>2.8875000000000002</v>
      </c>
      <c r="D955" s="91">
        <v>44882</v>
      </c>
    </row>
    <row r="956" spans="1:4">
      <c r="A956" t="s">
        <v>2085</v>
      </c>
      <c r="B956" s="1219"/>
      <c r="C956">
        <v>5.1040000000000001</v>
      </c>
      <c r="D956" s="91">
        <v>44882</v>
      </c>
    </row>
    <row r="957" spans="1:4">
      <c r="A957" t="s">
        <v>2086</v>
      </c>
      <c r="B957" s="1219"/>
      <c r="C957">
        <v>6.1660499999999994</v>
      </c>
      <c r="D957" s="91">
        <v>44882</v>
      </c>
    </row>
    <row r="958" spans="1:4">
      <c r="A958" t="s">
        <v>2087</v>
      </c>
      <c r="B958" s="1219"/>
      <c r="C958">
        <v>6.7540000000000004</v>
      </c>
      <c r="D958" s="91">
        <v>44882</v>
      </c>
    </row>
    <row r="959" spans="1:4">
      <c r="A959" t="s">
        <v>2088</v>
      </c>
      <c r="B959" s="1219"/>
      <c r="C959">
        <v>2.6840000000000002</v>
      </c>
      <c r="D959" s="91">
        <v>44882</v>
      </c>
    </row>
    <row r="960" spans="1:4">
      <c r="A960" t="s">
        <v>2089</v>
      </c>
      <c r="B960" s="1219"/>
      <c r="C960">
        <v>2.5960000000000001</v>
      </c>
      <c r="D960" s="91">
        <v>44882</v>
      </c>
    </row>
    <row r="961" spans="1:4">
      <c r="A961" t="s">
        <v>2090</v>
      </c>
      <c r="B961" s="1219"/>
      <c r="C961">
        <v>13.42</v>
      </c>
      <c r="D961" s="91">
        <v>44882</v>
      </c>
    </row>
    <row r="962" spans="1:4">
      <c r="A962" t="s">
        <v>2091</v>
      </c>
      <c r="B962" s="1219"/>
      <c r="C962">
        <v>4.0810000000000004</v>
      </c>
      <c r="D962" s="91">
        <v>44882</v>
      </c>
    </row>
    <row r="963" spans="1:4">
      <c r="A963" t="s">
        <v>2092</v>
      </c>
      <c r="B963" s="1219"/>
      <c r="C963">
        <v>5.1920000000000002</v>
      </c>
      <c r="D963" s="91">
        <v>44882</v>
      </c>
    </row>
    <row r="964" spans="1:4">
      <c r="A964" t="s">
        <v>2093</v>
      </c>
      <c r="B964" s="1219"/>
      <c r="C964">
        <v>8.7230000000000008</v>
      </c>
      <c r="D964" s="91">
        <v>44882</v>
      </c>
    </row>
    <row r="965" spans="1:4">
      <c r="A965" t="s">
        <v>2094</v>
      </c>
      <c r="B965" s="1219"/>
      <c r="C965">
        <v>7.7198000000000002</v>
      </c>
      <c r="D965" s="91">
        <v>44882</v>
      </c>
    </row>
    <row r="966" spans="1:4">
      <c r="A966" t="s">
        <v>2095</v>
      </c>
      <c r="B966" s="1219"/>
      <c r="C966">
        <v>5.5825000000000005</v>
      </c>
      <c r="D966" s="91">
        <v>44882</v>
      </c>
    </row>
    <row r="967" spans="1:4">
      <c r="A967" t="s">
        <v>2096</v>
      </c>
      <c r="B967" s="1219"/>
      <c r="C967">
        <v>9.5920000000000023</v>
      </c>
      <c r="D967" s="91">
        <v>44882</v>
      </c>
    </row>
    <row r="968" spans="1:4">
      <c r="A968" t="s">
        <v>2097</v>
      </c>
      <c r="B968" s="1219"/>
      <c r="C968">
        <v>1.4080000000000001</v>
      </c>
      <c r="D968" s="91">
        <v>44882</v>
      </c>
    </row>
    <row r="969" spans="1:4">
      <c r="A969" t="s">
        <v>2098</v>
      </c>
      <c r="B969" s="1219"/>
      <c r="C969">
        <v>2.827</v>
      </c>
      <c r="D969" s="91">
        <v>44882</v>
      </c>
    </row>
    <row r="970" spans="1:4">
      <c r="A970" t="s">
        <v>2099</v>
      </c>
      <c r="B970" s="1219"/>
      <c r="C970">
        <v>2.431</v>
      </c>
      <c r="D970" s="91">
        <v>44882</v>
      </c>
    </row>
    <row r="971" spans="1:4">
      <c r="A971" t="s">
        <v>2100</v>
      </c>
      <c r="B971" s="1219"/>
      <c r="C971">
        <v>0.89100000000000013</v>
      </c>
      <c r="D971" s="91">
        <v>44882</v>
      </c>
    </row>
    <row r="972" spans="1:4">
      <c r="A972" t="s">
        <v>2101</v>
      </c>
      <c r="B972" s="1219"/>
      <c r="C972">
        <v>0.77</v>
      </c>
      <c r="D972" s="91">
        <v>44882</v>
      </c>
    </row>
    <row r="973" spans="1:4">
      <c r="A973" t="s">
        <v>2102</v>
      </c>
      <c r="B973" s="1219"/>
      <c r="C973">
        <v>1.089</v>
      </c>
      <c r="D973" s="91">
        <v>44882</v>
      </c>
    </row>
    <row r="974" spans="1:4">
      <c r="A974" t="s">
        <v>2103</v>
      </c>
      <c r="B974" s="1219"/>
      <c r="C974">
        <v>5.1040000000000001</v>
      </c>
      <c r="D974" s="91">
        <v>44882</v>
      </c>
    </row>
    <row r="975" spans="1:4">
      <c r="A975" t="s">
        <v>2104</v>
      </c>
      <c r="B975" s="1219"/>
      <c r="C975">
        <v>13.519</v>
      </c>
      <c r="D975" s="91">
        <v>44882</v>
      </c>
    </row>
    <row r="976" spans="1:4">
      <c r="A976" t="s">
        <v>2105</v>
      </c>
      <c r="B976" s="1219"/>
      <c r="C976">
        <v>14.806000000000003</v>
      </c>
      <c r="D976" s="91">
        <v>44882</v>
      </c>
    </row>
    <row r="977" spans="1:4">
      <c r="A977" t="s">
        <v>2106</v>
      </c>
      <c r="B977" s="1219"/>
      <c r="C977">
        <v>1.089</v>
      </c>
      <c r="D977" s="91">
        <v>44882</v>
      </c>
    </row>
    <row r="978" spans="1:4">
      <c r="A978" t="s">
        <v>2107</v>
      </c>
      <c r="B978" s="1219"/>
      <c r="C978">
        <v>0.89100000000000013</v>
      </c>
      <c r="D978" s="91">
        <v>44882</v>
      </c>
    </row>
    <row r="979" spans="1:4">
      <c r="A979" t="s">
        <v>2108</v>
      </c>
      <c r="B979" s="1219"/>
      <c r="C979">
        <v>28.171000000000003</v>
      </c>
      <c r="D979" s="91">
        <v>44882</v>
      </c>
    </row>
    <row r="980" spans="1:4">
      <c r="A980" t="s">
        <v>2109</v>
      </c>
      <c r="B980" s="1219"/>
      <c r="C980">
        <v>4.4000000000000004</v>
      </c>
      <c r="D980" s="91">
        <v>44882</v>
      </c>
    </row>
    <row r="981" spans="1:4">
      <c r="A981" t="s">
        <v>2110</v>
      </c>
      <c r="B981" s="1219"/>
      <c r="C981">
        <v>9.8120000000000012</v>
      </c>
      <c r="D981" s="91">
        <v>44882</v>
      </c>
    </row>
    <row r="982" spans="1:4">
      <c r="A982" t="s">
        <v>2111</v>
      </c>
      <c r="B982" s="1219"/>
      <c r="C982">
        <v>4.8289999999999997</v>
      </c>
      <c r="D982" s="91">
        <v>44882</v>
      </c>
    </row>
    <row r="983" spans="1:4">
      <c r="A983" t="s">
        <v>2112</v>
      </c>
      <c r="B983" s="1219"/>
      <c r="C983">
        <v>3.4650000000000003</v>
      </c>
      <c r="D983" s="91">
        <v>44882</v>
      </c>
    </row>
    <row r="984" spans="1:4">
      <c r="A984" t="s">
        <v>2113</v>
      </c>
      <c r="B984" s="1219"/>
      <c r="C984">
        <v>7.3810000000000002</v>
      </c>
      <c r="D984" s="91">
        <v>44882</v>
      </c>
    </row>
    <row r="985" spans="1:4">
      <c r="A985" t="s">
        <v>2114</v>
      </c>
      <c r="B985" s="1219"/>
      <c r="C985">
        <v>3.9490000000000003</v>
      </c>
      <c r="D985" s="91">
        <v>44882</v>
      </c>
    </row>
    <row r="986" spans="1:4">
      <c r="A986" t="s">
        <v>2115</v>
      </c>
      <c r="B986" s="1219"/>
      <c r="C986">
        <v>2.6950000000000003</v>
      </c>
      <c r="D986" s="91">
        <v>44882</v>
      </c>
    </row>
    <row r="987" spans="1:4">
      <c r="A987" t="s">
        <v>2116</v>
      </c>
      <c r="B987" s="1219"/>
      <c r="C987">
        <v>3.3330000000000002</v>
      </c>
      <c r="D987" s="91">
        <v>44882</v>
      </c>
    </row>
    <row r="988" spans="1:4">
      <c r="A988" t="s">
        <v>2117</v>
      </c>
      <c r="B988" s="1219"/>
      <c r="C988">
        <v>1.6060000000000001</v>
      </c>
      <c r="D988" s="91">
        <v>44882</v>
      </c>
    </row>
    <row r="989" spans="1:4">
      <c r="A989" t="s">
        <v>2118</v>
      </c>
      <c r="B989" s="1219"/>
      <c r="C989">
        <v>2.0130000000000003</v>
      </c>
      <c r="D989" s="91">
        <v>44882</v>
      </c>
    </row>
    <row r="990" spans="1:4">
      <c r="A990" t="s">
        <v>2119</v>
      </c>
      <c r="B990" s="1219"/>
      <c r="C990">
        <v>1.4190000000000003</v>
      </c>
      <c r="D990" s="91">
        <v>44882</v>
      </c>
    </row>
    <row r="991" spans="1:4">
      <c r="A991" t="s">
        <v>2120</v>
      </c>
      <c r="B991" s="1219"/>
      <c r="C991">
        <v>2.387</v>
      </c>
      <c r="D991" s="91">
        <v>44882</v>
      </c>
    </row>
    <row r="992" spans="1:4">
      <c r="A992" t="s">
        <v>2121</v>
      </c>
      <c r="B992" s="1219"/>
      <c r="C992">
        <v>8.7670000000000012</v>
      </c>
      <c r="D992" s="91">
        <v>44882</v>
      </c>
    </row>
    <row r="993" spans="1:4">
      <c r="A993" t="s">
        <v>2122</v>
      </c>
      <c r="B993" s="1219"/>
      <c r="C993">
        <v>9.8120000000000012</v>
      </c>
      <c r="D993" s="91">
        <v>44882</v>
      </c>
    </row>
    <row r="994" spans="1:4">
      <c r="A994" t="s">
        <v>2123</v>
      </c>
      <c r="B994" s="1219"/>
      <c r="C994">
        <v>6.16</v>
      </c>
      <c r="D994" s="91">
        <v>44882</v>
      </c>
    </row>
    <row r="995" spans="1:4">
      <c r="A995" t="s">
        <v>2124</v>
      </c>
      <c r="B995" s="1219"/>
      <c r="C995">
        <v>7.1060000000000008</v>
      </c>
      <c r="D995" s="91">
        <v>44882</v>
      </c>
    </row>
    <row r="996" spans="1:4">
      <c r="A996" t="s">
        <v>2125</v>
      </c>
      <c r="B996" s="1219"/>
      <c r="C996">
        <v>21.736000000000004</v>
      </c>
      <c r="D996" s="91">
        <v>44882</v>
      </c>
    </row>
    <row r="997" spans="1:4">
      <c r="A997" t="s">
        <v>2126</v>
      </c>
      <c r="B997" s="1219"/>
      <c r="C997">
        <v>8.4480000000000004</v>
      </c>
      <c r="D997" s="91">
        <v>44882</v>
      </c>
    </row>
    <row r="998" spans="1:4">
      <c r="A998" t="s">
        <v>2127</v>
      </c>
      <c r="B998" s="1219"/>
      <c r="C998">
        <v>14.674000000000001</v>
      </c>
      <c r="D998" s="91">
        <v>44882</v>
      </c>
    </row>
    <row r="999" spans="1:4">
      <c r="A999" t="s">
        <v>2128</v>
      </c>
      <c r="B999" s="1219"/>
      <c r="C999">
        <v>18.612000000000002</v>
      </c>
      <c r="D999" s="91">
        <v>44882</v>
      </c>
    </row>
    <row r="1000" spans="1:4">
      <c r="A1000" t="s">
        <v>2129</v>
      </c>
      <c r="B1000" s="1219"/>
      <c r="C1000">
        <v>2.1890000000000001</v>
      </c>
      <c r="D1000" s="91">
        <v>44882</v>
      </c>
    </row>
    <row r="1001" spans="1:4">
      <c r="A1001" t="s">
        <v>2130</v>
      </c>
      <c r="B1001" s="1219"/>
      <c r="C1001">
        <v>2.5960000000000001</v>
      </c>
      <c r="D1001" s="91">
        <v>44882</v>
      </c>
    </row>
    <row r="1002" spans="1:4">
      <c r="A1002" t="s">
        <v>2131</v>
      </c>
      <c r="B1002" s="1219"/>
      <c r="C1002">
        <v>2.5299999999999998</v>
      </c>
      <c r="D1002" s="91">
        <v>44882</v>
      </c>
    </row>
    <row r="1003" spans="1:4">
      <c r="A1003" t="s">
        <v>2132</v>
      </c>
      <c r="B1003" s="1219"/>
      <c r="C1003">
        <v>1.1880000000000002</v>
      </c>
      <c r="D1003" s="91">
        <v>44882</v>
      </c>
    </row>
    <row r="1004" spans="1:4">
      <c r="A1004" t="s">
        <v>2133</v>
      </c>
      <c r="B1004" s="1219"/>
      <c r="C1004">
        <v>1.2429999999999999</v>
      </c>
      <c r="D1004" s="91">
        <v>44882</v>
      </c>
    </row>
    <row r="1005" spans="1:4">
      <c r="A1005" t="s">
        <v>2134</v>
      </c>
      <c r="B1005" s="1219"/>
      <c r="C1005">
        <v>1.5840000000000001</v>
      </c>
      <c r="D1005" s="91">
        <v>44882</v>
      </c>
    </row>
    <row r="1006" spans="1:4">
      <c r="A1006" t="s">
        <v>2135</v>
      </c>
      <c r="B1006" s="1219"/>
      <c r="C1006">
        <v>3.8610000000000002</v>
      </c>
      <c r="D1006" s="91">
        <v>44882</v>
      </c>
    </row>
    <row r="1007" spans="1:4">
      <c r="A1007" t="s">
        <v>2136</v>
      </c>
      <c r="B1007" s="1219"/>
      <c r="C1007">
        <v>2.431</v>
      </c>
      <c r="D1007" s="91">
        <v>44882</v>
      </c>
    </row>
    <row r="1008" spans="1:4">
      <c r="A1008" t="s">
        <v>2137</v>
      </c>
      <c r="B1008" s="1219"/>
      <c r="C1008">
        <v>1.0449999999999999</v>
      </c>
      <c r="D1008" s="91">
        <v>44882</v>
      </c>
    </row>
    <row r="1009" spans="1:4">
      <c r="A1009" t="s">
        <v>2138</v>
      </c>
      <c r="B1009" s="1219"/>
      <c r="C1009">
        <v>0.69300000000000006</v>
      </c>
      <c r="D1009" s="91">
        <v>44882</v>
      </c>
    </row>
    <row r="1010" spans="1:4">
      <c r="A1010" t="s">
        <v>2139</v>
      </c>
      <c r="B1010" s="1219"/>
      <c r="C1010">
        <v>0.90200000000000002</v>
      </c>
      <c r="D1010" s="91">
        <v>44882</v>
      </c>
    </row>
    <row r="1011" spans="1:4">
      <c r="A1011" t="s">
        <v>2140</v>
      </c>
      <c r="B1011" s="1219"/>
      <c r="C1011">
        <v>5.7640000000000011</v>
      </c>
      <c r="D1011" s="91">
        <v>44882</v>
      </c>
    </row>
    <row r="1012" spans="1:4">
      <c r="A1012" t="s">
        <v>2141</v>
      </c>
      <c r="B1012" s="1219"/>
      <c r="C1012">
        <v>19.624000000000002</v>
      </c>
      <c r="D1012" s="91">
        <v>44882</v>
      </c>
    </row>
    <row r="1013" spans="1:4">
      <c r="A1013" t="s">
        <v>2142</v>
      </c>
      <c r="B1013" s="1219"/>
      <c r="C1013">
        <v>14.267000000000001</v>
      </c>
      <c r="D1013" s="91">
        <v>44882</v>
      </c>
    </row>
    <row r="1014" spans="1:4">
      <c r="A1014" t="s">
        <v>2143</v>
      </c>
      <c r="B1014" s="1219"/>
      <c r="C1014">
        <v>1.2210000000000003</v>
      </c>
      <c r="D1014" s="91">
        <v>44882</v>
      </c>
    </row>
    <row r="1015" spans="1:4">
      <c r="A1015" t="s">
        <v>2144</v>
      </c>
      <c r="B1015" s="1219"/>
      <c r="C1015">
        <v>0.64900000000000002</v>
      </c>
      <c r="D1015" s="91">
        <v>44882</v>
      </c>
    </row>
    <row r="1016" spans="1:4">
      <c r="A1016" t="s">
        <v>2145</v>
      </c>
      <c r="B1016" s="1219"/>
      <c r="C1016">
        <v>2.6179999999999999</v>
      </c>
      <c r="D1016" s="91">
        <v>44882</v>
      </c>
    </row>
    <row r="1017" spans="1:4">
      <c r="A1017" t="s">
        <v>2146</v>
      </c>
      <c r="B1017" s="1219"/>
      <c r="C1017">
        <v>2.8820000000000006</v>
      </c>
      <c r="D1017" s="91">
        <v>44882</v>
      </c>
    </row>
    <row r="1018" spans="1:4">
      <c r="A1018" t="s">
        <v>2147</v>
      </c>
      <c r="B1018" s="1219"/>
      <c r="C1018">
        <v>1.1550000000000002</v>
      </c>
      <c r="D1018" s="91">
        <v>44882</v>
      </c>
    </row>
    <row r="1019" spans="1:4">
      <c r="A1019" t="s">
        <v>2148</v>
      </c>
      <c r="B1019" s="1219"/>
      <c r="C1019">
        <v>6.2205000000000004</v>
      </c>
      <c r="D1019" s="91">
        <v>44882</v>
      </c>
    </row>
    <row r="1020" spans="1:4">
      <c r="A1020" t="s">
        <v>2149</v>
      </c>
      <c r="B1020" s="1219"/>
      <c r="C1020">
        <v>5.5033000000000003</v>
      </c>
      <c r="D1020" s="91">
        <v>44882</v>
      </c>
    </row>
    <row r="1021" spans="1:4">
      <c r="A1021" t="s">
        <v>2150</v>
      </c>
      <c r="B1021" s="1219"/>
      <c r="C1021">
        <v>4.4110000000000005</v>
      </c>
      <c r="D1021" s="91">
        <v>44882</v>
      </c>
    </row>
    <row r="1022" spans="1:4">
      <c r="A1022" t="s">
        <v>2151</v>
      </c>
      <c r="B1022" s="1219"/>
      <c r="C1022">
        <v>3.9875000000000003</v>
      </c>
      <c r="D1022" s="91">
        <v>44882</v>
      </c>
    </row>
    <row r="1023" spans="1:4">
      <c r="A1023" t="s">
        <v>2152</v>
      </c>
      <c r="B1023" s="1219"/>
      <c r="C1023">
        <v>4.4110000000000005</v>
      </c>
      <c r="D1023" s="91">
        <v>44882</v>
      </c>
    </row>
    <row r="1024" spans="1:4">
      <c r="A1024" t="s">
        <v>2153</v>
      </c>
      <c r="B1024" s="1219"/>
      <c r="C1024">
        <v>5.1997000000000009</v>
      </c>
      <c r="D1024" s="91">
        <v>44882</v>
      </c>
    </row>
    <row r="1025" spans="1:4">
      <c r="A1025" t="s">
        <v>2154</v>
      </c>
      <c r="B1025" s="1219"/>
      <c r="C1025">
        <v>1.1550000000000002</v>
      </c>
      <c r="D1025" s="91">
        <v>44882</v>
      </c>
    </row>
    <row r="1026" spans="1:4">
      <c r="A1026" t="s">
        <v>2155</v>
      </c>
      <c r="B1026" s="1219"/>
      <c r="C1026">
        <v>1.7380000000000002</v>
      </c>
      <c r="D1026" s="91">
        <v>44882</v>
      </c>
    </row>
    <row r="1027" spans="1:4">
      <c r="A1027" t="s">
        <v>2156</v>
      </c>
      <c r="B1027" s="1219"/>
      <c r="C1027">
        <v>2.3980000000000006</v>
      </c>
      <c r="D1027" s="91">
        <v>44882</v>
      </c>
    </row>
    <row r="1028" spans="1:4">
      <c r="A1028" t="s">
        <v>2157</v>
      </c>
      <c r="B1028" s="1219"/>
      <c r="C1028">
        <v>2.9832000000000005</v>
      </c>
      <c r="D1028" s="91">
        <v>44882</v>
      </c>
    </row>
    <row r="1029" spans="1:4">
      <c r="A1029" t="s">
        <v>2158</v>
      </c>
      <c r="B1029" s="1219"/>
      <c r="C1029">
        <v>1.9958400000000005</v>
      </c>
      <c r="D1029" s="91">
        <v>44882</v>
      </c>
    </row>
    <row r="1030" spans="1:4">
      <c r="A1030" t="s">
        <v>2159</v>
      </c>
      <c r="B1030" s="1219"/>
      <c r="C1030">
        <v>10.736000000000001</v>
      </c>
      <c r="D1030" s="91">
        <v>44882</v>
      </c>
    </row>
    <row r="1031" spans="1:4">
      <c r="A1031" t="s">
        <v>2160</v>
      </c>
      <c r="B1031" s="1219"/>
      <c r="C1031">
        <v>6.8112000000000004</v>
      </c>
      <c r="D1031" s="91">
        <v>44882</v>
      </c>
    </row>
    <row r="1032" spans="1:4">
      <c r="A1032" t="s">
        <v>2161</v>
      </c>
      <c r="B1032" s="1219"/>
      <c r="C1032">
        <v>7.2413000000000007</v>
      </c>
      <c r="D1032" s="91">
        <v>44882</v>
      </c>
    </row>
    <row r="1033" spans="1:4">
      <c r="A1033" t="s">
        <v>2162</v>
      </c>
      <c r="B1033" s="1219"/>
      <c r="C1033">
        <v>8.1664000000000012</v>
      </c>
      <c r="D1033" s="91">
        <v>44882</v>
      </c>
    </row>
    <row r="1034" spans="1:4">
      <c r="A1034" t="s">
        <v>2163</v>
      </c>
      <c r="B1034" s="1219"/>
      <c r="C1034">
        <v>12.75736</v>
      </c>
      <c r="D1034" s="91">
        <v>44882</v>
      </c>
    </row>
    <row r="1035" spans="1:4">
      <c r="A1035" t="s">
        <v>2164</v>
      </c>
      <c r="B1035" s="1219"/>
      <c r="C1035">
        <v>21.736000000000004</v>
      </c>
      <c r="D1035" s="91">
        <v>44882</v>
      </c>
    </row>
    <row r="1036" spans="1:4">
      <c r="A1036" t="s">
        <v>2165</v>
      </c>
      <c r="B1036" s="1219"/>
      <c r="C1036">
        <v>36.102000000000004</v>
      </c>
      <c r="D1036" s="91">
        <v>44882</v>
      </c>
    </row>
    <row r="1037" spans="1:4">
      <c r="A1037" t="s">
        <v>2166</v>
      </c>
      <c r="B1037" s="1219"/>
      <c r="C1037">
        <v>30.879200000000001</v>
      </c>
      <c r="D1037" s="91">
        <v>44882</v>
      </c>
    </row>
    <row r="1038" spans="1:4">
      <c r="A1038" t="s">
        <v>2167</v>
      </c>
      <c r="B1038" s="1219"/>
      <c r="C1038">
        <v>2.0130000000000003</v>
      </c>
      <c r="D1038" s="91">
        <v>44882</v>
      </c>
    </row>
    <row r="1039" spans="1:4">
      <c r="A1039" t="s">
        <v>2168</v>
      </c>
      <c r="B1039" s="1219"/>
      <c r="C1039">
        <v>2.4516799999999996</v>
      </c>
      <c r="D1039" s="91">
        <v>44882</v>
      </c>
    </row>
    <row r="1040" spans="1:4">
      <c r="A1040" t="s">
        <v>2169</v>
      </c>
      <c r="B1040" s="1219"/>
      <c r="C1040">
        <v>1.9305000000000001</v>
      </c>
      <c r="D1040" s="91">
        <v>44882</v>
      </c>
    </row>
    <row r="1041" spans="1:4">
      <c r="A1041" t="s">
        <v>2170</v>
      </c>
      <c r="B1041" s="1219"/>
      <c r="C1041">
        <v>1.5796000000000001</v>
      </c>
      <c r="D1041" s="91">
        <v>44882</v>
      </c>
    </row>
    <row r="1042" spans="1:4">
      <c r="A1042" t="s">
        <v>2171</v>
      </c>
      <c r="B1042" s="1219"/>
      <c r="C1042">
        <v>1.5477000000000001</v>
      </c>
      <c r="D1042" s="91">
        <v>44882</v>
      </c>
    </row>
    <row r="1043" spans="1:4">
      <c r="A1043" t="s">
        <v>2172</v>
      </c>
      <c r="B1043" s="1219"/>
      <c r="C1043">
        <v>29.537200000000002</v>
      </c>
      <c r="D1043" s="91">
        <v>44882</v>
      </c>
    </row>
    <row r="1044" spans="1:4">
      <c r="A1044" t="s">
        <v>2173</v>
      </c>
      <c r="B1044" s="1219"/>
      <c r="C1044">
        <v>30.873920000000002</v>
      </c>
      <c r="D1044" s="91">
        <v>44882</v>
      </c>
    </row>
    <row r="1045" spans="1:4">
      <c r="A1045" t="s">
        <v>2174</v>
      </c>
      <c r="B1045" s="1219"/>
      <c r="C1045">
        <v>27.533549999999998</v>
      </c>
      <c r="D1045" s="91">
        <v>44882</v>
      </c>
    </row>
    <row r="1046" spans="1:4">
      <c r="A1046" t="s">
        <v>2175</v>
      </c>
      <c r="B1046" s="1219"/>
      <c r="C1046">
        <v>3.4210000000000003</v>
      </c>
      <c r="D1046" s="91">
        <v>44882</v>
      </c>
    </row>
    <row r="1047" spans="1:4">
      <c r="A1047" t="s">
        <v>2176</v>
      </c>
      <c r="B1047" s="1219"/>
      <c r="C1047">
        <v>7.8540000000000001</v>
      </c>
      <c r="D1047" s="91">
        <v>44882</v>
      </c>
    </row>
    <row r="1048" spans="1:4">
      <c r="A1048" t="s">
        <v>2177</v>
      </c>
      <c r="B1048" s="1219"/>
      <c r="C1048">
        <v>6.5010000000000003</v>
      </c>
      <c r="D1048" s="91">
        <v>44882</v>
      </c>
    </row>
    <row r="1049" spans="1:4">
      <c r="A1049" t="s">
        <v>2178</v>
      </c>
      <c r="B1049" s="1219"/>
      <c r="C1049">
        <v>3.9160000000000004</v>
      </c>
      <c r="D1049" s="91">
        <v>44882</v>
      </c>
    </row>
    <row r="1050" spans="1:4">
      <c r="A1050" t="s">
        <v>2179</v>
      </c>
      <c r="B1050" s="1219"/>
      <c r="C1050">
        <v>3.9160000000000004</v>
      </c>
      <c r="D1050" s="91">
        <v>44882</v>
      </c>
    </row>
    <row r="1051" spans="1:4">
      <c r="A1051" t="s">
        <v>2180</v>
      </c>
      <c r="B1051" s="1219"/>
      <c r="C1051">
        <v>8.657</v>
      </c>
      <c r="D1051" s="91">
        <v>44882</v>
      </c>
    </row>
    <row r="1052" spans="1:4">
      <c r="A1052" t="s">
        <v>2181</v>
      </c>
      <c r="B1052" s="1219"/>
      <c r="C1052">
        <v>6.5890000000000004</v>
      </c>
      <c r="D1052" s="91">
        <v>44882</v>
      </c>
    </row>
    <row r="1053" spans="1:4">
      <c r="A1053" t="s">
        <v>2182</v>
      </c>
      <c r="B1053" s="1219"/>
      <c r="C1053">
        <v>2.3100000000000005</v>
      </c>
      <c r="D1053" s="91">
        <v>44882</v>
      </c>
    </row>
    <row r="1054" spans="1:4">
      <c r="A1054" t="s">
        <v>2183</v>
      </c>
      <c r="B1054" s="1219"/>
      <c r="C1054">
        <v>1.903</v>
      </c>
      <c r="D1054" s="91">
        <v>44882</v>
      </c>
    </row>
    <row r="1055" spans="1:4">
      <c r="A1055" t="s">
        <v>2184</v>
      </c>
      <c r="B1055" s="1219"/>
      <c r="C1055">
        <v>3.5750000000000002</v>
      </c>
      <c r="D1055" s="91">
        <v>44882</v>
      </c>
    </row>
    <row r="1056" spans="1:4">
      <c r="A1056" t="s">
        <v>2185</v>
      </c>
      <c r="B1056" s="1219"/>
      <c r="C1056">
        <v>1.298</v>
      </c>
      <c r="D1056" s="91">
        <v>44882</v>
      </c>
    </row>
    <row r="1057" spans="1:4">
      <c r="A1057" t="s">
        <v>2186</v>
      </c>
      <c r="B1057" s="1219"/>
      <c r="C1057">
        <v>2.2109999999999999</v>
      </c>
      <c r="D1057" s="91">
        <v>44882</v>
      </c>
    </row>
    <row r="1058" spans="1:4">
      <c r="A1058" t="s">
        <v>2187</v>
      </c>
      <c r="B1058" s="1219"/>
      <c r="C1058">
        <v>7.3040000000000003</v>
      </c>
      <c r="D1058" s="91">
        <v>44882</v>
      </c>
    </row>
    <row r="1059" spans="1:4">
      <c r="A1059" t="s">
        <v>2188</v>
      </c>
      <c r="B1059" s="1219"/>
      <c r="C1059">
        <v>12.815000000000001</v>
      </c>
      <c r="D1059" s="91">
        <v>44882</v>
      </c>
    </row>
    <row r="1060" spans="1:4">
      <c r="A1060" t="s">
        <v>2189</v>
      </c>
      <c r="B1060" s="1219"/>
      <c r="C1060">
        <v>22.682000000000002</v>
      </c>
      <c r="D1060" s="91">
        <v>44882</v>
      </c>
    </row>
    <row r="1061" spans="1:4">
      <c r="A1061" t="s">
        <v>2190</v>
      </c>
      <c r="B1061" s="1219"/>
      <c r="C1061">
        <v>3.1680000000000001</v>
      </c>
      <c r="D1061" s="91">
        <v>44882</v>
      </c>
    </row>
    <row r="1062" spans="1:4">
      <c r="A1062" t="s">
        <v>2191</v>
      </c>
      <c r="B1062" s="1219"/>
      <c r="C1062">
        <v>19.915279999999999</v>
      </c>
      <c r="D1062" s="91">
        <v>44882</v>
      </c>
    </row>
    <row r="1063" spans="1:4">
      <c r="A1063" t="s">
        <v>2192</v>
      </c>
      <c r="B1063" s="1219"/>
      <c r="C1063">
        <v>10.483000000000001</v>
      </c>
      <c r="D1063" s="91">
        <v>44882</v>
      </c>
    </row>
    <row r="1064" spans="1:4">
      <c r="A1064" t="s">
        <v>2193</v>
      </c>
      <c r="B1064" s="1219"/>
      <c r="C1064">
        <v>22.878240000000002</v>
      </c>
      <c r="D1064" s="91">
        <v>44882</v>
      </c>
    </row>
    <row r="1065" spans="1:4">
      <c r="A1065" t="s">
        <v>2194</v>
      </c>
      <c r="B1065" s="1219"/>
      <c r="C1065">
        <v>17.633000000000003</v>
      </c>
      <c r="D1065" s="91">
        <v>44882</v>
      </c>
    </row>
    <row r="1066" spans="1:4">
      <c r="A1066" t="s">
        <v>2195</v>
      </c>
      <c r="B1066" s="1219"/>
      <c r="C1066">
        <v>2.0680000000000001</v>
      </c>
      <c r="D1066" s="91">
        <v>44882</v>
      </c>
    </row>
    <row r="1067" spans="1:4">
      <c r="A1067" t="s">
        <v>2196</v>
      </c>
      <c r="B1067" s="1219"/>
      <c r="C1067">
        <v>1.7929999999999999</v>
      </c>
      <c r="D1067" s="91">
        <v>44882</v>
      </c>
    </row>
    <row r="1068" spans="1:4">
      <c r="A1068" t="s">
        <v>2197</v>
      </c>
      <c r="B1068" s="1219"/>
      <c r="C1068">
        <v>1.0669999999999999</v>
      </c>
      <c r="D1068" s="91">
        <v>44882</v>
      </c>
    </row>
    <row r="1069" spans="1:4">
      <c r="A1069" t="s">
        <v>2198</v>
      </c>
      <c r="B1069" s="1219"/>
      <c r="C1069">
        <v>1.0669999999999999</v>
      </c>
      <c r="D1069" s="91">
        <v>44882</v>
      </c>
    </row>
    <row r="1070" spans="1:4">
      <c r="A1070" t="s">
        <v>2199</v>
      </c>
      <c r="B1070" s="1219"/>
      <c r="C1070">
        <v>2.9040000000000004</v>
      </c>
      <c r="D1070" s="91">
        <v>44882</v>
      </c>
    </row>
    <row r="1071" spans="1:4">
      <c r="A1071" t="s">
        <v>2200</v>
      </c>
      <c r="B1071" s="1219"/>
      <c r="C1071">
        <v>2.6179999999999999</v>
      </c>
      <c r="D1071" s="91">
        <v>44882</v>
      </c>
    </row>
    <row r="1072" spans="1:4">
      <c r="A1072" t="s">
        <v>2201</v>
      </c>
      <c r="B1072" s="1219"/>
      <c r="C1072">
        <v>2.7280000000000002</v>
      </c>
      <c r="D1072" s="91">
        <v>44882</v>
      </c>
    </row>
    <row r="1073" spans="1:4">
      <c r="A1073" t="s">
        <v>2202</v>
      </c>
      <c r="B1073" s="1219"/>
      <c r="C1073">
        <v>3.5310000000000001</v>
      </c>
      <c r="D1073" s="91">
        <v>44882</v>
      </c>
    </row>
    <row r="1074" spans="1:4">
      <c r="A1074" t="s">
        <v>2203</v>
      </c>
      <c r="B1074" s="1219"/>
      <c r="C1074">
        <v>2.0680000000000001</v>
      </c>
      <c r="D1074" s="91">
        <v>44882</v>
      </c>
    </row>
    <row r="1075" spans="1:4">
      <c r="A1075" t="s">
        <v>2204</v>
      </c>
      <c r="B1075" s="1219"/>
      <c r="C1075">
        <v>1.7929999999999999</v>
      </c>
      <c r="D1075" s="91">
        <v>44882</v>
      </c>
    </row>
    <row r="1076" spans="1:4">
      <c r="A1076" t="s">
        <v>2205</v>
      </c>
      <c r="B1076" s="1219"/>
      <c r="C1076">
        <v>3.036</v>
      </c>
      <c r="D1076" s="91">
        <v>44882</v>
      </c>
    </row>
    <row r="1077" spans="1:4">
      <c r="A1077" t="s">
        <v>2206</v>
      </c>
      <c r="B1077" s="1219"/>
      <c r="C1077">
        <v>2.3980000000000006</v>
      </c>
      <c r="D1077" s="91">
        <v>44882</v>
      </c>
    </row>
    <row r="1078" spans="1:4">
      <c r="A1078" t="s">
        <v>2207</v>
      </c>
      <c r="B1078" s="1219"/>
      <c r="C1078">
        <v>1.0449999999999999</v>
      </c>
      <c r="D1078" s="91">
        <v>44882</v>
      </c>
    </row>
    <row r="1079" spans="1:4">
      <c r="A1079" t="s">
        <v>2208</v>
      </c>
      <c r="B1079" s="1219"/>
      <c r="C1079">
        <v>0.90200000000000002</v>
      </c>
      <c r="D1079" s="91">
        <v>44882</v>
      </c>
    </row>
    <row r="1080" spans="1:4">
      <c r="A1080" t="s">
        <v>2209</v>
      </c>
      <c r="B1080" s="1219"/>
      <c r="C1080">
        <v>0.93500000000000005</v>
      </c>
      <c r="D1080" s="91">
        <v>44882</v>
      </c>
    </row>
    <row r="1081" spans="1:4">
      <c r="A1081" t="s">
        <v>2210</v>
      </c>
      <c r="B1081" s="1219"/>
      <c r="C1081">
        <v>1.0449999999999999</v>
      </c>
      <c r="D1081" s="91">
        <v>44882</v>
      </c>
    </row>
    <row r="1082" spans="1:4">
      <c r="A1082" t="s">
        <v>2211</v>
      </c>
      <c r="B1082" s="1219"/>
      <c r="C1082">
        <v>1.298</v>
      </c>
      <c r="D1082" s="91">
        <v>44882</v>
      </c>
    </row>
    <row r="1083" spans="1:4">
      <c r="A1083" t="s">
        <v>2212</v>
      </c>
      <c r="B1083" s="1219"/>
      <c r="C1083">
        <v>1.7380000000000002</v>
      </c>
      <c r="D1083" s="91">
        <v>44882</v>
      </c>
    </row>
    <row r="1084" spans="1:4">
      <c r="A1084" t="s">
        <v>1097</v>
      </c>
      <c r="B1084" s="1219"/>
      <c r="C1084">
        <v>1.0449999999999999</v>
      </c>
      <c r="D1084" s="91">
        <v>44882</v>
      </c>
    </row>
    <row r="1085" spans="1:4">
      <c r="A1085" t="s">
        <v>1099</v>
      </c>
      <c r="B1085" s="1219"/>
      <c r="C1085">
        <v>5.5</v>
      </c>
      <c r="D1085" s="91">
        <v>44882</v>
      </c>
    </row>
    <row r="1086" spans="1:4">
      <c r="A1086" t="s">
        <v>1098</v>
      </c>
      <c r="B1086" s="1219"/>
      <c r="C1086">
        <v>5.4119999999999999</v>
      </c>
      <c r="D1086" s="91">
        <v>44882</v>
      </c>
    </row>
    <row r="1087" spans="1:4">
      <c r="A1087" t="s">
        <v>1095</v>
      </c>
      <c r="B1087" s="1219"/>
      <c r="C1087">
        <v>0.55000000000000004</v>
      </c>
      <c r="D1087" s="91">
        <v>44882</v>
      </c>
    </row>
    <row r="1088" spans="1:4">
      <c r="A1088" t="s">
        <v>2213</v>
      </c>
      <c r="B1088" s="1219"/>
      <c r="C1088">
        <v>12.166000000000002</v>
      </c>
      <c r="D1088" s="91">
        <v>44882</v>
      </c>
    </row>
    <row r="1089" spans="1:4">
      <c r="A1089" t="s">
        <v>2214</v>
      </c>
      <c r="B1089" s="1219"/>
      <c r="C1089">
        <v>5.2359999999999998</v>
      </c>
      <c r="D1089" s="91">
        <v>44882</v>
      </c>
    </row>
    <row r="1090" spans="1:4">
      <c r="A1090" t="s">
        <v>1096</v>
      </c>
      <c r="B1090" s="1219"/>
      <c r="C1090">
        <v>6.9300000000000006</v>
      </c>
      <c r="D1090" s="91">
        <v>44882</v>
      </c>
    </row>
    <row r="1091" spans="1:4">
      <c r="A1091" t="s">
        <v>2215</v>
      </c>
      <c r="B1091" s="1219"/>
      <c r="C1091">
        <v>12.012</v>
      </c>
      <c r="D1091" s="91">
        <v>44882</v>
      </c>
    </row>
    <row r="1092" spans="1:4">
      <c r="A1092" t="s">
        <v>2216</v>
      </c>
      <c r="B1092" s="1219"/>
      <c r="C1092">
        <v>7.524</v>
      </c>
      <c r="D1092" s="91">
        <v>44882</v>
      </c>
    </row>
    <row r="1093" spans="1:4">
      <c r="A1093" t="s">
        <v>2217</v>
      </c>
      <c r="B1093" s="1219"/>
      <c r="C1093">
        <v>0.97900000000000009</v>
      </c>
      <c r="D1093" s="91">
        <v>44882</v>
      </c>
    </row>
    <row r="1094" spans="1:4">
      <c r="A1094" t="s">
        <v>2218</v>
      </c>
      <c r="B1094" s="1219"/>
      <c r="C1094">
        <v>1.1330000000000002</v>
      </c>
      <c r="D1094" s="91">
        <v>44882</v>
      </c>
    </row>
    <row r="1095" spans="1:4">
      <c r="A1095" t="s">
        <v>2219</v>
      </c>
      <c r="B1095" s="1219"/>
      <c r="C1095">
        <v>0.8580000000000001</v>
      </c>
      <c r="D1095" s="91">
        <v>44882</v>
      </c>
    </row>
    <row r="1096" spans="1:4">
      <c r="A1096" t="s">
        <v>2220</v>
      </c>
      <c r="B1096" s="1219"/>
      <c r="C1096">
        <v>0.70400000000000007</v>
      </c>
      <c r="D1096" s="91">
        <v>44882</v>
      </c>
    </row>
    <row r="1097" spans="1:4">
      <c r="A1097" t="s">
        <v>2221</v>
      </c>
      <c r="B1097" s="1219"/>
      <c r="C1097">
        <v>0.91300000000000003</v>
      </c>
      <c r="D1097" s="91">
        <v>44882</v>
      </c>
    </row>
    <row r="1098" spans="1:4">
      <c r="A1098" t="s">
        <v>2222</v>
      </c>
      <c r="B1098" s="1219"/>
      <c r="C1098">
        <v>25.993000000000002</v>
      </c>
      <c r="D1098" s="91">
        <v>44882</v>
      </c>
    </row>
    <row r="1099" spans="1:4">
      <c r="A1099" t="s">
        <v>2223</v>
      </c>
      <c r="B1099" s="1219"/>
      <c r="C1099">
        <v>13.42</v>
      </c>
      <c r="D1099" s="91">
        <v>44882</v>
      </c>
    </row>
    <row r="1100" spans="1:4">
      <c r="A1100" t="s">
        <v>2224</v>
      </c>
      <c r="B1100" s="1219"/>
      <c r="C1100">
        <v>12.991000000000001</v>
      </c>
      <c r="D1100" s="91">
        <v>44882</v>
      </c>
    </row>
    <row r="1101" spans="1:4">
      <c r="A1101" t="s">
        <v>2225</v>
      </c>
      <c r="B1101" s="1219"/>
      <c r="C1101">
        <v>2.7829999999999999</v>
      </c>
      <c r="D1101" s="91">
        <v>44882</v>
      </c>
    </row>
    <row r="1102" spans="1:4">
      <c r="A1102" t="s">
        <v>2226</v>
      </c>
      <c r="B1102" s="1219"/>
      <c r="C1102">
        <v>3.1328</v>
      </c>
      <c r="D1102" s="91">
        <v>44882</v>
      </c>
    </row>
    <row r="1103" spans="1:4">
      <c r="A1103" t="s">
        <v>2227</v>
      </c>
      <c r="B1103" s="1219"/>
      <c r="C1103">
        <v>4.5540000000000003</v>
      </c>
      <c r="D1103" s="91">
        <v>44882</v>
      </c>
    </row>
    <row r="1104" spans="1:4">
      <c r="A1104" t="s">
        <v>2228</v>
      </c>
      <c r="B1104" s="1219"/>
      <c r="C1104">
        <v>1.2100000000000002</v>
      </c>
      <c r="D1104" s="91">
        <v>44882</v>
      </c>
    </row>
    <row r="1105" spans="1:4">
      <c r="A1105" t="s">
        <v>2229</v>
      </c>
      <c r="B1105" s="1219"/>
      <c r="C1105">
        <v>1.5631000000000002</v>
      </c>
      <c r="D1105" s="91">
        <v>44882</v>
      </c>
    </row>
    <row r="1106" spans="1:4">
      <c r="A1106" t="s">
        <v>2230</v>
      </c>
      <c r="B1106" s="1219"/>
      <c r="C1106">
        <v>11.341000000000001</v>
      </c>
      <c r="D1106" s="91">
        <v>44882</v>
      </c>
    </row>
    <row r="1107" spans="1:4">
      <c r="A1107" t="s">
        <v>2231</v>
      </c>
      <c r="B1107" s="1219"/>
      <c r="C1107">
        <v>31.086000000000006</v>
      </c>
      <c r="D1107" s="91">
        <v>44882</v>
      </c>
    </row>
    <row r="1108" spans="1:4">
      <c r="A1108" t="s">
        <v>2232</v>
      </c>
      <c r="B1108" s="1219"/>
      <c r="C1108">
        <v>33.320100000000004</v>
      </c>
      <c r="D1108" s="91">
        <v>44882</v>
      </c>
    </row>
    <row r="1109" spans="1:4">
      <c r="A1109" t="s">
        <v>2233</v>
      </c>
      <c r="B1109" s="1219"/>
      <c r="C1109">
        <v>2.0680000000000001</v>
      </c>
      <c r="D1109" s="91">
        <v>44882</v>
      </c>
    </row>
    <row r="1110" spans="1:4">
      <c r="A1110" t="s">
        <v>2234</v>
      </c>
      <c r="B1110" s="1219"/>
      <c r="C1110">
        <v>1.3563000000000003</v>
      </c>
      <c r="D1110" s="91">
        <v>44882</v>
      </c>
    </row>
    <row r="1111" spans="1:4">
      <c r="A1111" t="s">
        <v>2235</v>
      </c>
      <c r="B1111" s="1219"/>
      <c r="C1111">
        <v>8.0234000000000005</v>
      </c>
      <c r="D1111" s="91">
        <v>44882</v>
      </c>
    </row>
    <row r="1112" spans="1:4">
      <c r="A1112" t="s">
        <v>2236</v>
      </c>
      <c r="B1112" s="1219"/>
      <c r="C1112">
        <v>16.0457</v>
      </c>
      <c r="D1112" s="91">
        <v>44882</v>
      </c>
    </row>
    <row r="1113" spans="1:4">
      <c r="A1113" t="s">
        <v>2237</v>
      </c>
      <c r="B1113" s="1219"/>
      <c r="C1113">
        <v>10.718400000000001</v>
      </c>
      <c r="D1113" s="91">
        <v>44882</v>
      </c>
    </row>
    <row r="1114" spans="1:4">
      <c r="A1114" t="s">
        <v>2238</v>
      </c>
      <c r="B1114" s="1219"/>
      <c r="C1114">
        <v>2.8160000000000003</v>
      </c>
      <c r="D1114" s="91">
        <v>44882</v>
      </c>
    </row>
    <row r="1115" spans="1:4">
      <c r="A1115" t="s">
        <v>2239</v>
      </c>
      <c r="B1115" s="1219"/>
      <c r="C1115">
        <v>18.359000000000002</v>
      </c>
      <c r="D1115" s="91">
        <v>44882</v>
      </c>
    </row>
    <row r="1116" spans="1:4">
      <c r="A1116" t="s">
        <v>2240</v>
      </c>
      <c r="B1116" s="1219"/>
      <c r="C1116">
        <v>32.120000000000005</v>
      </c>
      <c r="D1116" s="91">
        <v>44882</v>
      </c>
    </row>
    <row r="1117" spans="1:4">
      <c r="A1117" t="s">
        <v>2241</v>
      </c>
      <c r="B1117" s="1219"/>
      <c r="C1117">
        <v>3.5530000000000004</v>
      </c>
      <c r="D1117" s="91">
        <v>44882</v>
      </c>
    </row>
    <row r="1118" spans="1:4">
      <c r="A1118" t="s">
        <v>2242</v>
      </c>
      <c r="B1118" s="1219"/>
      <c r="C1118">
        <v>2.0790000000000002</v>
      </c>
      <c r="D1118" s="91">
        <v>44882</v>
      </c>
    </row>
    <row r="1119" spans="1:4">
      <c r="A1119" t="s">
        <v>2243</v>
      </c>
      <c r="B1119" s="1219"/>
      <c r="C1119">
        <v>6.5450000000000008</v>
      </c>
      <c r="D1119" s="91">
        <v>44882</v>
      </c>
    </row>
    <row r="1120" spans="1:4">
      <c r="A1120" t="s">
        <v>2244</v>
      </c>
      <c r="B1120" s="1219"/>
      <c r="C1120">
        <v>14.333</v>
      </c>
      <c r="D1120" s="91">
        <v>44882</v>
      </c>
    </row>
    <row r="1121" spans="1:4">
      <c r="A1121" t="s">
        <v>2245</v>
      </c>
      <c r="B1121" s="1219"/>
      <c r="C1121">
        <v>11.407</v>
      </c>
      <c r="D1121" s="91">
        <v>44882</v>
      </c>
    </row>
    <row r="1122" spans="1:4">
      <c r="A1122" t="s">
        <v>2246</v>
      </c>
      <c r="B1122" s="1219"/>
      <c r="C1122">
        <v>3.927</v>
      </c>
      <c r="D1122" s="91">
        <v>44882</v>
      </c>
    </row>
    <row r="1123" spans="1:4">
      <c r="A1123" t="s">
        <v>2247</v>
      </c>
      <c r="B1123" s="1219"/>
      <c r="C1123">
        <v>18.359000000000002</v>
      </c>
      <c r="D1123" s="91">
        <v>44882</v>
      </c>
    </row>
    <row r="1124" spans="1:4">
      <c r="A1124" t="s">
        <v>2248</v>
      </c>
      <c r="B1124" s="1219"/>
      <c r="C1124">
        <v>4.0590000000000002</v>
      </c>
      <c r="D1124" s="91">
        <v>44882</v>
      </c>
    </row>
    <row r="1125" spans="1:4">
      <c r="A1125" t="s">
        <v>2249</v>
      </c>
      <c r="B1125" s="1219"/>
      <c r="C1125">
        <v>3.927</v>
      </c>
      <c r="D1125" s="91">
        <v>44882</v>
      </c>
    </row>
    <row r="1126" spans="1:4">
      <c r="A1126" t="s">
        <v>2250</v>
      </c>
      <c r="B1126" s="1219"/>
      <c r="C1126">
        <v>4.8400000000000007</v>
      </c>
      <c r="D1126" s="91">
        <v>44882</v>
      </c>
    </row>
    <row r="1127" spans="1:4">
      <c r="A1127" t="s">
        <v>2251</v>
      </c>
      <c r="B1127" s="1219"/>
      <c r="C1127">
        <v>3.4320000000000004</v>
      </c>
      <c r="D1127" s="91">
        <v>44882</v>
      </c>
    </row>
    <row r="1128" spans="1:4">
      <c r="A1128" t="s">
        <v>2252</v>
      </c>
      <c r="B1128" s="1219"/>
      <c r="C1128">
        <v>2.827</v>
      </c>
      <c r="D1128" s="91">
        <v>44882</v>
      </c>
    </row>
    <row r="1129" spans="1:4">
      <c r="A1129" t="s">
        <v>2253</v>
      </c>
      <c r="B1129" s="1219"/>
      <c r="C1129">
        <v>5.8740000000000006</v>
      </c>
      <c r="D1129" s="91">
        <v>44882</v>
      </c>
    </row>
    <row r="1130" spans="1:4">
      <c r="A1130" t="s">
        <v>2254</v>
      </c>
      <c r="B1130" s="1219"/>
      <c r="C1130">
        <v>2.3540000000000005</v>
      </c>
      <c r="D1130" s="91">
        <v>44882</v>
      </c>
    </row>
    <row r="1131" spans="1:4">
      <c r="A1131" t="s">
        <v>2255</v>
      </c>
      <c r="B1131" s="1219"/>
      <c r="C1131">
        <v>1.2812800000000002</v>
      </c>
      <c r="D1131" s="91">
        <v>44882</v>
      </c>
    </row>
    <row r="1132" spans="1:4">
      <c r="A1132" t="s">
        <v>2256</v>
      </c>
      <c r="B1132" s="1219"/>
      <c r="C1132">
        <v>2.9348000000000005</v>
      </c>
      <c r="D1132" s="91">
        <v>44882</v>
      </c>
    </row>
    <row r="1133" spans="1:4">
      <c r="A1133" t="s">
        <v>2257</v>
      </c>
      <c r="B1133" s="1219"/>
      <c r="C1133">
        <v>6.644000000000001</v>
      </c>
      <c r="D1133" s="91">
        <v>44882</v>
      </c>
    </row>
    <row r="1134" spans="1:4">
      <c r="A1134" t="s">
        <v>2258</v>
      </c>
      <c r="B1134" s="1219"/>
      <c r="C1134">
        <v>7.117</v>
      </c>
      <c r="D1134" s="91">
        <v>44882</v>
      </c>
    </row>
    <row r="1135" spans="1:4">
      <c r="A1135" t="s">
        <v>2259</v>
      </c>
      <c r="B1135" s="1219"/>
      <c r="C1135">
        <v>9.6821999999999999</v>
      </c>
      <c r="D1135" s="91">
        <v>44882</v>
      </c>
    </row>
    <row r="1136" spans="1:4">
      <c r="A1136" t="s">
        <v>2260</v>
      </c>
      <c r="B1136" s="1219"/>
      <c r="C1136">
        <v>10.846</v>
      </c>
      <c r="D1136" s="91">
        <v>44882</v>
      </c>
    </row>
    <row r="1137" spans="1:4">
      <c r="A1137" t="s">
        <v>2261</v>
      </c>
      <c r="B1137" s="1219"/>
      <c r="C1137">
        <v>17.976199999999999</v>
      </c>
      <c r="D1137" s="91">
        <v>44882</v>
      </c>
    </row>
    <row r="1138" spans="1:4">
      <c r="A1138" t="s">
        <v>2262</v>
      </c>
      <c r="B1138" s="1219"/>
      <c r="C1138">
        <v>12.441000000000001</v>
      </c>
      <c r="D1138" s="91">
        <v>44882</v>
      </c>
    </row>
    <row r="1139" spans="1:4">
      <c r="A1139" t="s">
        <v>2263</v>
      </c>
      <c r="B1139" s="1219"/>
      <c r="C1139">
        <v>2.0581</v>
      </c>
      <c r="D1139" s="91">
        <v>44882</v>
      </c>
    </row>
    <row r="1140" spans="1:4">
      <c r="A1140" t="s">
        <v>2264</v>
      </c>
      <c r="B1140" s="1219"/>
      <c r="C1140">
        <v>1.3640000000000001</v>
      </c>
      <c r="D1140" s="91">
        <v>44882</v>
      </c>
    </row>
    <row r="1141" spans="1:4">
      <c r="A1141" t="s">
        <v>2265</v>
      </c>
      <c r="B1141" s="1219"/>
      <c r="C1141">
        <v>34.111000000000004</v>
      </c>
      <c r="D1141" s="91">
        <v>44882</v>
      </c>
    </row>
    <row r="1142" spans="1:4">
      <c r="A1142" t="s">
        <v>2266</v>
      </c>
      <c r="B1142" s="1219"/>
      <c r="C1142">
        <v>8.6790000000000003</v>
      </c>
      <c r="D1142" s="91">
        <v>44882</v>
      </c>
    </row>
    <row r="1143" spans="1:4">
      <c r="A1143" t="s">
        <v>2267</v>
      </c>
      <c r="B1143" s="1219"/>
      <c r="C1143">
        <v>11.55</v>
      </c>
      <c r="D1143" s="91">
        <v>44882</v>
      </c>
    </row>
    <row r="1144" spans="1:4">
      <c r="A1144" t="s">
        <v>2268</v>
      </c>
      <c r="B1144" s="1219"/>
      <c r="C1144">
        <v>8.3820000000000014</v>
      </c>
      <c r="D1144" s="91">
        <v>44882</v>
      </c>
    </row>
    <row r="1145" spans="1:4">
      <c r="A1145" t="s">
        <v>2269</v>
      </c>
      <c r="B1145" s="1219"/>
      <c r="C1145">
        <v>21.439</v>
      </c>
      <c r="D1145" s="91">
        <v>44882</v>
      </c>
    </row>
    <row r="1146" spans="1:4">
      <c r="A1146" t="s">
        <v>2270</v>
      </c>
      <c r="B1146" s="1219"/>
      <c r="C1146">
        <v>7.8540000000000001</v>
      </c>
      <c r="D1146" s="91">
        <v>44882</v>
      </c>
    </row>
    <row r="1147" spans="1:4">
      <c r="A1147" t="s">
        <v>2271</v>
      </c>
      <c r="B1147" s="1219"/>
      <c r="C1147">
        <v>14.388000000000002</v>
      </c>
      <c r="D1147" s="91">
        <v>44882</v>
      </c>
    </row>
    <row r="1148" spans="1:4">
      <c r="A1148" t="s">
        <v>2272</v>
      </c>
      <c r="B1148" s="1219"/>
      <c r="C1148">
        <v>11.968000000000002</v>
      </c>
      <c r="D1148" s="91">
        <v>44882</v>
      </c>
    </row>
    <row r="1149" spans="1:4">
      <c r="A1149" t="s">
        <v>2273</v>
      </c>
      <c r="B1149" s="1219"/>
      <c r="C1149">
        <v>23.243000000000002</v>
      </c>
      <c r="D1149" s="91">
        <v>44882</v>
      </c>
    </row>
    <row r="1150" spans="1:4">
      <c r="A1150" t="s">
        <v>2274</v>
      </c>
      <c r="B1150" s="1219"/>
      <c r="C1150">
        <v>20.680000000000003</v>
      </c>
      <c r="D1150" s="91">
        <v>44882</v>
      </c>
    </row>
    <row r="1151" spans="1:4">
      <c r="A1151" t="s">
        <v>2275</v>
      </c>
      <c r="B1151" s="1219"/>
      <c r="C1151">
        <v>8.8330000000000002</v>
      </c>
      <c r="D1151" s="91">
        <v>44882</v>
      </c>
    </row>
    <row r="1152" spans="1:4">
      <c r="A1152" t="s">
        <v>2276</v>
      </c>
      <c r="B1152" s="1219"/>
      <c r="C1152">
        <v>5.8080000000000007</v>
      </c>
      <c r="D1152" s="91">
        <v>44882</v>
      </c>
    </row>
    <row r="1153" spans="1:4">
      <c r="A1153" t="s">
        <v>2277</v>
      </c>
      <c r="B1153" s="1219"/>
      <c r="C1153">
        <v>42.416000000000004</v>
      </c>
      <c r="D1153" s="91">
        <v>44882</v>
      </c>
    </row>
    <row r="1154" spans="1:4">
      <c r="A1154" t="s">
        <v>2278</v>
      </c>
      <c r="B1154" s="1219"/>
      <c r="C1154">
        <v>10.142000000000001</v>
      </c>
      <c r="D1154" s="91">
        <v>44882</v>
      </c>
    </row>
    <row r="1155" spans="1:4">
      <c r="A1155" t="s">
        <v>2279</v>
      </c>
      <c r="B1155" s="1219"/>
      <c r="C1155">
        <v>6.7946999999999997</v>
      </c>
      <c r="D1155" s="91">
        <v>44882</v>
      </c>
    </row>
    <row r="1156" spans="1:4">
      <c r="A1156" t="s">
        <v>2280</v>
      </c>
      <c r="B1156" s="1219"/>
      <c r="C1156">
        <v>5.027000000000001</v>
      </c>
      <c r="D1156" s="91">
        <v>44882</v>
      </c>
    </row>
    <row r="1157" spans="1:4">
      <c r="A1157" t="s">
        <v>2281</v>
      </c>
      <c r="B1157" s="1219"/>
      <c r="C1157">
        <v>9.7020000000000017</v>
      </c>
      <c r="D1157" s="91">
        <v>44882</v>
      </c>
    </row>
    <row r="1158" spans="1:4">
      <c r="A1158" t="s">
        <v>2282</v>
      </c>
      <c r="B1158" s="1219"/>
      <c r="C1158">
        <v>8.261000000000001</v>
      </c>
      <c r="D1158" s="91">
        <v>44882</v>
      </c>
    </row>
    <row r="1159" spans="1:4">
      <c r="A1159" t="s">
        <v>2283</v>
      </c>
      <c r="B1159" s="1219"/>
      <c r="C1159">
        <v>3.8170000000000006</v>
      </c>
      <c r="D1159" s="91">
        <v>44882</v>
      </c>
    </row>
    <row r="1160" spans="1:4">
      <c r="A1160" t="s">
        <v>2284</v>
      </c>
      <c r="B1160" s="1219"/>
      <c r="C1160">
        <v>4.5760000000000005</v>
      </c>
      <c r="D1160" s="91">
        <v>44882</v>
      </c>
    </row>
    <row r="1161" spans="1:4">
      <c r="A1161" t="s">
        <v>2285</v>
      </c>
      <c r="B1161" s="1219"/>
      <c r="C1161">
        <v>16.148</v>
      </c>
      <c r="D1161" s="91">
        <v>44882</v>
      </c>
    </row>
    <row r="1162" spans="1:4">
      <c r="A1162" t="s">
        <v>2286</v>
      </c>
      <c r="B1162" s="1219"/>
      <c r="C1162">
        <v>48.752000000000002</v>
      </c>
      <c r="D1162" s="91">
        <v>44882</v>
      </c>
    </row>
    <row r="1163" spans="1:4">
      <c r="A1163" t="s">
        <v>2287</v>
      </c>
      <c r="B1163" s="1219"/>
      <c r="C1163">
        <v>37.818000000000005</v>
      </c>
      <c r="D1163" s="91">
        <v>44882</v>
      </c>
    </row>
    <row r="1164" spans="1:4">
      <c r="A1164" t="s">
        <v>2288</v>
      </c>
      <c r="B1164" s="1219"/>
      <c r="C1164">
        <v>4.3340000000000005</v>
      </c>
      <c r="D1164" s="91">
        <v>44882</v>
      </c>
    </row>
    <row r="1165" spans="1:4">
      <c r="A1165" t="s">
        <v>2289</v>
      </c>
      <c r="B1165" s="1219"/>
      <c r="C1165">
        <v>4.0667</v>
      </c>
      <c r="D1165" s="91">
        <v>44882</v>
      </c>
    </row>
    <row r="1166" spans="1:4">
      <c r="A1166" t="s">
        <v>2290</v>
      </c>
      <c r="B1166" s="1219"/>
      <c r="C1166">
        <v>7.5922000000000009</v>
      </c>
      <c r="D1166" s="91">
        <v>44882</v>
      </c>
    </row>
    <row r="1167" spans="1:4">
      <c r="A1167" t="s">
        <v>2291</v>
      </c>
      <c r="B1167" s="1219"/>
      <c r="C1167">
        <v>18.568000000000001</v>
      </c>
      <c r="D1167" s="91">
        <v>44882</v>
      </c>
    </row>
    <row r="1168" spans="1:4">
      <c r="A1168" t="s">
        <v>2292</v>
      </c>
      <c r="B1168" s="1219"/>
      <c r="C1168">
        <v>12.76</v>
      </c>
      <c r="D1168" s="91">
        <v>44882</v>
      </c>
    </row>
    <row r="1169" spans="1:4">
      <c r="A1169" t="s">
        <v>2293</v>
      </c>
      <c r="B1169" s="1219"/>
      <c r="C1169">
        <v>5.5770000000000008</v>
      </c>
      <c r="D1169" s="91">
        <v>44882</v>
      </c>
    </row>
    <row r="1170" spans="1:4">
      <c r="A1170" t="s">
        <v>2294</v>
      </c>
      <c r="B1170" s="1219"/>
      <c r="C1170">
        <v>25.281300000000002</v>
      </c>
      <c r="D1170" s="91">
        <v>44882</v>
      </c>
    </row>
    <row r="1171" spans="1:4">
      <c r="A1171" t="s">
        <v>2295</v>
      </c>
      <c r="B1171" s="1219"/>
      <c r="C1171">
        <v>75.614000000000004</v>
      </c>
      <c r="D1171" s="91">
        <v>44882</v>
      </c>
    </row>
    <row r="1172" spans="1:4">
      <c r="A1172" t="s">
        <v>2296</v>
      </c>
      <c r="B1172" s="1219"/>
      <c r="C1172">
        <v>50.986319999999999</v>
      </c>
      <c r="D1172" s="91">
        <v>44882</v>
      </c>
    </row>
    <row r="1173" spans="1:4">
      <c r="A1173" t="s">
        <v>2297</v>
      </c>
      <c r="B1173" s="1219"/>
      <c r="C1173">
        <v>6.4900000000000011</v>
      </c>
      <c r="D1173" s="91">
        <v>44882</v>
      </c>
    </row>
    <row r="1174" spans="1:4">
      <c r="A1174" t="s">
        <v>2298</v>
      </c>
      <c r="B1174" s="1219"/>
      <c r="C1174">
        <v>5.6320000000000006</v>
      </c>
      <c r="D1174" s="91">
        <v>44882</v>
      </c>
    </row>
    <row r="1175" spans="1:4">
      <c r="A1175" t="s">
        <v>2299</v>
      </c>
      <c r="B1175" s="1219"/>
      <c r="C1175">
        <v>11.275</v>
      </c>
      <c r="D1175" s="91">
        <v>44882</v>
      </c>
    </row>
    <row r="1176" spans="1:4">
      <c r="A1176" t="s">
        <v>2300</v>
      </c>
      <c r="B1176" s="1219"/>
      <c r="C1176">
        <v>8.8000000000000007</v>
      </c>
      <c r="D1176" s="91">
        <v>44882</v>
      </c>
    </row>
    <row r="1177" spans="1:4">
      <c r="A1177" t="s">
        <v>2301</v>
      </c>
      <c r="B1177" s="1219"/>
      <c r="C1177">
        <v>4.1580000000000004</v>
      </c>
      <c r="D1177" s="91">
        <v>44882</v>
      </c>
    </row>
    <row r="1178" spans="1:4">
      <c r="A1178" t="s">
        <v>2302</v>
      </c>
      <c r="B1178" s="1219"/>
      <c r="C1178">
        <v>4.7366000000000001</v>
      </c>
      <c r="D1178" s="91">
        <v>44882</v>
      </c>
    </row>
    <row r="1179" spans="1:4">
      <c r="A1179" t="s">
        <v>2303</v>
      </c>
      <c r="B1179" s="1219"/>
      <c r="C1179">
        <v>17.809000000000005</v>
      </c>
      <c r="D1179" s="91">
        <v>44882</v>
      </c>
    </row>
    <row r="1180" spans="1:4">
      <c r="A1180" t="s">
        <v>2304</v>
      </c>
      <c r="B1180" s="1219"/>
      <c r="C1180">
        <v>43.615000000000002</v>
      </c>
      <c r="D1180" s="91">
        <v>44882</v>
      </c>
    </row>
    <row r="1181" spans="1:4">
      <c r="A1181" t="s">
        <v>2305</v>
      </c>
      <c r="B1181" s="1219"/>
      <c r="C1181">
        <v>46.123000000000005</v>
      </c>
      <c r="D1181" s="91">
        <v>44882</v>
      </c>
    </row>
    <row r="1182" spans="1:4">
      <c r="A1182" t="s">
        <v>2306</v>
      </c>
      <c r="B1182" s="1219"/>
      <c r="C1182">
        <v>4.5540000000000003</v>
      </c>
      <c r="D1182" s="91">
        <v>44882</v>
      </c>
    </row>
    <row r="1183" spans="1:4">
      <c r="A1183" t="s">
        <v>2307</v>
      </c>
      <c r="B1183" s="1219"/>
      <c r="C1183">
        <v>3.8280000000000003</v>
      </c>
      <c r="D1183" s="91">
        <v>44882</v>
      </c>
    </row>
    <row r="1184" spans="1:4">
      <c r="A1184" t="s">
        <v>2308</v>
      </c>
      <c r="B1184" s="1219"/>
      <c r="C1184">
        <v>59.442350000000005</v>
      </c>
      <c r="D1184" s="91">
        <v>44882</v>
      </c>
    </row>
    <row r="1185" spans="1:4">
      <c r="A1185" t="s">
        <v>1105</v>
      </c>
      <c r="B1185" s="1219"/>
      <c r="C1185">
        <v>8.6349999999999998</v>
      </c>
      <c r="D1185" s="91">
        <v>44882</v>
      </c>
    </row>
    <row r="1186" spans="1:4">
      <c r="A1186" t="s">
        <v>1107</v>
      </c>
      <c r="B1186" s="1219"/>
      <c r="C1186">
        <v>17.809000000000005</v>
      </c>
      <c r="D1186" s="91">
        <v>44882</v>
      </c>
    </row>
    <row r="1187" spans="1:4">
      <c r="A1187" t="s">
        <v>1106</v>
      </c>
      <c r="B1187" s="1219"/>
      <c r="C1187">
        <v>14.355000000000002</v>
      </c>
      <c r="D1187" s="91">
        <v>44882</v>
      </c>
    </row>
    <row r="1188" spans="1:4">
      <c r="A1188" t="s">
        <v>1103</v>
      </c>
      <c r="B1188" s="1219"/>
      <c r="C1188">
        <v>4.95</v>
      </c>
      <c r="D1188" s="91">
        <v>44882</v>
      </c>
    </row>
    <row r="1189" spans="1:4">
      <c r="A1189" t="s">
        <v>1108</v>
      </c>
      <c r="B1189" s="1219"/>
      <c r="C1189">
        <v>28.831000000000003</v>
      </c>
      <c r="D1189" s="91">
        <v>44882</v>
      </c>
    </row>
    <row r="1190" spans="1:4">
      <c r="A1190" t="s">
        <v>2309</v>
      </c>
      <c r="B1190" s="1219"/>
      <c r="C1190">
        <v>93.236000000000018</v>
      </c>
      <c r="D1190" s="91">
        <v>44882</v>
      </c>
    </row>
    <row r="1191" spans="1:4">
      <c r="A1191" t="s">
        <v>2310</v>
      </c>
      <c r="B1191" s="1219"/>
      <c r="C1191">
        <v>76.129900000000006</v>
      </c>
      <c r="D1191" s="91">
        <v>44882</v>
      </c>
    </row>
    <row r="1192" spans="1:4">
      <c r="A1192" t="s">
        <v>1104</v>
      </c>
      <c r="B1192" s="1219"/>
      <c r="C1192">
        <v>6.2700000000000005</v>
      </c>
      <c r="D1192" s="91">
        <v>44882</v>
      </c>
    </row>
    <row r="1193" spans="1:4">
      <c r="A1193" t="s">
        <v>2311</v>
      </c>
      <c r="B1193" s="1219"/>
      <c r="C1193">
        <v>1.1000000000000001</v>
      </c>
      <c r="D1193" s="91">
        <v>44882</v>
      </c>
    </row>
    <row r="1194" spans="1:4">
      <c r="A1194" t="s">
        <v>2312</v>
      </c>
      <c r="B1194" s="1219"/>
      <c r="C1194">
        <v>2.0680000000000001</v>
      </c>
      <c r="D1194" s="91">
        <v>44882</v>
      </c>
    </row>
    <row r="1195" spans="1:4">
      <c r="A1195" t="s">
        <v>2313</v>
      </c>
      <c r="B1195" s="1219"/>
      <c r="C1195">
        <v>2.5190000000000001</v>
      </c>
      <c r="D1195" s="91">
        <v>44882</v>
      </c>
    </row>
    <row r="1196" spans="1:4">
      <c r="A1196" t="s">
        <v>2314</v>
      </c>
      <c r="B1196" s="1219"/>
      <c r="C1196">
        <v>3.8929000000000005</v>
      </c>
      <c r="D1196" s="91">
        <v>44882</v>
      </c>
    </row>
    <row r="1197" spans="1:4">
      <c r="A1197" t="s">
        <v>2315</v>
      </c>
      <c r="B1197" s="1219"/>
      <c r="C1197">
        <v>4.6409000000000011</v>
      </c>
      <c r="D1197" s="91">
        <v>44882</v>
      </c>
    </row>
    <row r="1198" spans="1:4">
      <c r="A1198" t="s">
        <v>2316</v>
      </c>
      <c r="B1198" s="1219"/>
      <c r="C1198">
        <v>5.5</v>
      </c>
      <c r="D1198" s="91">
        <v>44882</v>
      </c>
    </row>
    <row r="1199" spans="1:4">
      <c r="A1199" t="s">
        <v>2317</v>
      </c>
      <c r="B1199" s="1219"/>
      <c r="C1199">
        <v>7.7440000000000007</v>
      </c>
      <c r="D1199" s="91">
        <v>44882</v>
      </c>
    </row>
    <row r="1200" spans="1:4">
      <c r="A1200" t="s">
        <v>2318</v>
      </c>
      <c r="B1200" s="1219"/>
      <c r="C1200">
        <v>15.653000000000002</v>
      </c>
      <c r="D1200" s="91">
        <v>44882</v>
      </c>
    </row>
    <row r="1201" spans="1:4">
      <c r="A1201" t="s">
        <v>2319</v>
      </c>
      <c r="B1201" s="1219"/>
      <c r="C1201">
        <v>3.2560000000000002</v>
      </c>
      <c r="D1201" s="91">
        <v>44882</v>
      </c>
    </row>
    <row r="1202" spans="1:4">
      <c r="A1202" t="s">
        <v>2320</v>
      </c>
      <c r="B1202" s="1219"/>
      <c r="C1202">
        <v>3.9160000000000008</v>
      </c>
      <c r="D1202" s="91">
        <v>44882</v>
      </c>
    </row>
    <row r="1203" spans="1:4">
      <c r="A1203" t="s">
        <v>2321</v>
      </c>
      <c r="B1203" s="1219"/>
      <c r="C1203">
        <v>4.3120000000000012</v>
      </c>
      <c r="D1203" s="91">
        <v>44882</v>
      </c>
    </row>
    <row r="1204" spans="1:4">
      <c r="A1204" t="s">
        <v>2322</v>
      </c>
      <c r="B1204" s="1219"/>
      <c r="C1204">
        <v>0.91300000000000003</v>
      </c>
      <c r="D1204" s="91">
        <v>44882</v>
      </c>
    </row>
    <row r="1205" spans="1:4">
      <c r="A1205" t="s">
        <v>2323</v>
      </c>
      <c r="B1205" s="1219"/>
      <c r="C1205">
        <v>1.1660000000000001</v>
      </c>
      <c r="D1205" s="91">
        <v>44882</v>
      </c>
    </row>
    <row r="1206" spans="1:4">
      <c r="A1206" t="s">
        <v>2324</v>
      </c>
      <c r="B1206" s="1219"/>
      <c r="C1206">
        <v>2.1779999999999999</v>
      </c>
      <c r="D1206" s="91">
        <v>44882</v>
      </c>
    </row>
    <row r="1207" spans="1:4">
      <c r="A1207" t="s">
        <v>2325</v>
      </c>
      <c r="B1207" s="1219"/>
      <c r="C1207">
        <v>4.5870000000000006</v>
      </c>
      <c r="D1207" s="91">
        <v>44882</v>
      </c>
    </row>
    <row r="1208" spans="1:4">
      <c r="A1208" t="s">
        <v>2326</v>
      </c>
      <c r="B1208" s="1219"/>
      <c r="C1208">
        <v>5.9620000000000006</v>
      </c>
      <c r="D1208" s="91">
        <v>44882</v>
      </c>
    </row>
    <row r="1209" spans="1:4">
      <c r="A1209" t="s">
        <v>2327</v>
      </c>
      <c r="B1209" s="1219"/>
      <c r="C1209">
        <v>7.4580000000000011</v>
      </c>
      <c r="D1209" s="91">
        <v>44882</v>
      </c>
    </row>
    <row r="1210" spans="1:4">
      <c r="A1210" t="s">
        <v>2328</v>
      </c>
      <c r="B1210" s="1219"/>
      <c r="C1210">
        <v>10.835000000000001</v>
      </c>
      <c r="D1210" s="91">
        <v>44882</v>
      </c>
    </row>
    <row r="1211" spans="1:4">
      <c r="A1211" t="s">
        <v>2329</v>
      </c>
      <c r="B1211" s="1219"/>
      <c r="C1211">
        <v>31.064</v>
      </c>
      <c r="D1211" s="91">
        <v>44882</v>
      </c>
    </row>
    <row r="1212" spans="1:4">
      <c r="A1212" t="s">
        <v>2330</v>
      </c>
      <c r="B1212" s="1219"/>
      <c r="C1212">
        <v>1.837</v>
      </c>
      <c r="D1212" s="91">
        <v>44882</v>
      </c>
    </row>
    <row r="1213" spans="1:4">
      <c r="A1213" t="s">
        <v>2331</v>
      </c>
      <c r="B1213" s="1219"/>
      <c r="C1213">
        <v>2.4090000000000003</v>
      </c>
      <c r="D1213" s="91">
        <v>44882</v>
      </c>
    </row>
    <row r="1214" spans="1:4">
      <c r="A1214" t="s">
        <v>2332</v>
      </c>
      <c r="B1214" s="1219"/>
      <c r="C1214">
        <v>3.0910000000000002</v>
      </c>
      <c r="D1214" s="91">
        <v>44882</v>
      </c>
    </row>
    <row r="1215" spans="1:4">
      <c r="A1215" t="s">
        <v>2333</v>
      </c>
      <c r="B1215" s="1219"/>
      <c r="C1215">
        <v>6.4790000000000001</v>
      </c>
      <c r="D1215" s="91">
        <v>44882</v>
      </c>
    </row>
    <row r="1216" spans="1:4">
      <c r="A1216" t="s">
        <v>2334</v>
      </c>
      <c r="B1216" s="1219"/>
      <c r="C1216">
        <v>8.14</v>
      </c>
      <c r="D1216" s="91">
        <v>44882</v>
      </c>
    </row>
    <row r="1217" spans="1:4">
      <c r="A1217" t="s">
        <v>2335</v>
      </c>
      <c r="B1217" s="1219"/>
      <c r="C1217">
        <v>10.604000000000001</v>
      </c>
      <c r="D1217" s="91">
        <v>44882</v>
      </c>
    </row>
    <row r="1218" spans="1:4">
      <c r="A1218" t="s">
        <v>2336</v>
      </c>
      <c r="B1218" s="1219"/>
      <c r="C1218">
        <v>14.96</v>
      </c>
      <c r="D1218" s="91">
        <v>44882</v>
      </c>
    </row>
    <row r="1219" spans="1:4">
      <c r="A1219" t="s">
        <v>2337</v>
      </c>
      <c r="B1219" s="1219"/>
      <c r="C1219">
        <v>1.1990000000000003</v>
      </c>
      <c r="D1219" s="91">
        <v>44882</v>
      </c>
    </row>
    <row r="1220" spans="1:4">
      <c r="A1220" t="s">
        <v>2338</v>
      </c>
      <c r="B1220" s="1219"/>
      <c r="C1220">
        <v>1.7160000000000002</v>
      </c>
      <c r="D1220" s="91">
        <v>44882</v>
      </c>
    </row>
    <row r="1221" spans="1:4">
      <c r="A1221" t="s">
        <v>2339</v>
      </c>
      <c r="B1221" s="1219"/>
      <c r="C1221">
        <v>2.1779999999999999</v>
      </c>
      <c r="D1221" s="91">
        <v>44882</v>
      </c>
    </row>
    <row r="1222" spans="1:4">
      <c r="A1222" t="s">
        <v>2340</v>
      </c>
      <c r="B1222" s="1219"/>
      <c r="C1222">
        <v>4.5870000000000006</v>
      </c>
      <c r="D1222" s="91">
        <v>44882</v>
      </c>
    </row>
    <row r="1223" spans="1:4">
      <c r="A1223" t="s">
        <v>2341</v>
      </c>
      <c r="B1223" s="1219"/>
      <c r="C1223">
        <v>5.9620000000000006</v>
      </c>
      <c r="D1223" s="91">
        <v>44882</v>
      </c>
    </row>
    <row r="1224" spans="1:4">
      <c r="A1224" t="s">
        <v>2342</v>
      </c>
      <c r="B1224" s="1219"/>
      <c r="C1224">
        <v>7.4580000000000011</v>
      </c>
      <c r="D1224" s="91">
        <v>44882</v>
      </c>
    </row>
    <row r="1225" spans="1:4">
      <c r="A1225" t="s">
        <v>2343</v>
      </c>
      <c r="B1225" s="1219"/>
      <c r="C1225">
        <v>10.835000000000001</v>
      </c>
      <c r="D1225" s="91">
        <v>44882</v>
      </c>
    </row>
    <row r="1226" spans="1:4">
      <c r="A1226" t="s">
        <v>2344</v>
      </c>
      <c r="B1226" s="1219"/>
      <c r="C1226">
        <v>31.064</v>
      </c>
      <c r="D1226" s="91">
        <v>44882</v>
      </c>
    </row>
    <row r="1227" spans="1:4">
      <c r="A1227" t="s">
        <v>2345</v>
      </c>
      <c r="B1227" s="1219"/>
      <c r="C1227">
        <v>1.5620000000000001</v>
      </c>
      <c r="D1227" s="91">
        <v>44882</v>
      </c>
    </row>
    <row r="1228" spans="1:4">
      <c r="A1228" t="s">
        <v>2346</v>
      </c>
      <c r="B1228" s="1219"/>
      <c r="C1228">
        <v>1.9910000000000003</v>
      </c>
      <c r="D1228" s="91">
        <v>44882</v>
      </c>
    </row>
    <row r="1229" spans="1:4">
      <c r="A1229" t="s">
        <v>2347</v>
      </c>
      <c r="B1229" s="1219"/>
      <c r="C1229">
        <v>3.0910000000000002</v>
      </c>
      <c r="D1229" s="91">
        <v>44882</v>
      </c>
    </row>
    <row r="1230" spans="1:4">
      <c r="A1230" t="s">
        <v>2348</v>
      </c>
      <c r="B1230" s="1219"/>
      <c r="C1230">
        <v>6.4790000000000001</v>
      </c>
      <c r="D1230" s="91">
        <v>44882</v>
      </c>
    </row>
    <row r="1231" spans="1:4">
      <c r="A1231" t="s">
        <v>2349</v>
      </c>
      <c r="B1231" s="1219"/>
      <c r="C1231">
        <v>6.9740000000000002</v>
      </c>
      <c r="D1231" s="91">
        <v>44882</v>
      </c>
    </row>
    <row r="1232" spans="1:4">
      <c r="A1232" t="s">
        <v>2350</v>
      </c>
      <c r="B1232" s="1219"/>
      <c r="C1232">
        <v>10.604000000000001</v>
      </c>
      <c r="D1232" s="91">
        <v>44882</v>
      </c>
    </row>
    <row r="1233" spans="1:4">
      <c r="A1233" t="s">
        <v>2351</v>
      </c>
      <c r="B1233" s="1219"/>
      <c r="C1233">
        <v>14.96</v>
      </c>
      <c r="D1233" s="91">
        <v>44882</v>
      </c>
    </row>
    <row r="1234" spans="1:4">
      <c r="A1234" t="s">
        <v>2352</v>
      </c>
      <c r="B1234" s="1219"/>
      <c r="C1234">
        <v>4.5760000000000005</v>
      </c>
      <c r="D1234" s="91">
        <v>44882</v>
      </c>
    </row>
    <row r="1235" spans="1:4">
      <c r="A1235" t="s">
        <v>2353</v>
      </c>
      <c r="B1235" s="1219"/>
      <c r="C1235">
        <v>2.9480000000000004</v>
      </c>
      <c r="D1235" s="91">
        <v>44882</v>
      </c>
    </row>
    <row r="1236" spans="1:4">
      <c r="A1236" t="s">
        <v>2354</v>
      </c>
      <c r="B1236" s="1219"/>
      <c r="C1236">
        <v>6.4679999999999991</v>
      </c>
      <c r="D1236" s="91">
        <v>44882</v>
      </c>
    </row>
    <row r="1237" spans="1:4">
      <c r="A1237" t="s">
        <v>2355</v>
      </c>
      <c r="B1237" s="1219"/>
      <c r="C1237">
        <v>3.2890000000000006</v>
      </c>
      <c r="D1237" s="91">
        <v>44882</v>
      </c>
    </row>
    <row r="1238" spans="1:4">
      <c r="A1238" t="s">
        <v>2356</v>
      </c>
      <c r="B1238" s="1219"/>
      <c r="C1238">
        <v>3.9930000000000003</v>
      </c>
      <c r="D1238" s="91">
        <v>44882</v>
      </c>
    </row>
    <row r="1239" spans="1:4">
      <c r="A1239" t="s">
        <v>2357</v>
      </c>
      <c r="B1239" s="1219"/>
      <c r="C1239">
        <v>2.2220000000000004</v>
      </c>
      <c r="D1239" s="91">
        <v>44882</v>
      </c>
    </row>
    <row r="1240" spans="1:4">
      <c r="A1240" t="s">
        <v>2358</v>
      </c>
      <c r="B1240" s="1219"/>
      <c r="C1240">
        <v>4.0150000000000006</v>
      </c>
      <c r="D1240" s="91">
        <v>44882</v>
      </c>
    </row>
    <row r="1241" spans="1:4">
      <c r="A1241" t="s">
        <v>2359</v>
      </c>
      <c r="B1241" s="1219"/>
      <c r="C1241">
        <v>5.676000000000001</v>
      </c>
      <c r="D1241" s="91">
        <v>44882</v>
      </c>
    </row>
    <row r="1242" spans="1:4">
      <c r="A1242" t="s">
        <v>2360</v>
      </c>
      <c r="B1242" s="1219"/>
      <c r="C1242">
        <v>8.25</v>
      </c>
      <c r="D1242" s="91">
        <v>44882</v>
      </c>
    </row>
    <row r="1243" spans="1:4">
      <c r="A1243" t="s">
        <v>2361</v>
      </c>
      <c r="B1243" s="1219"/>
      <c r="C1243">
        <v>13.189000000000002</v>
      </c>
      <c r="D1243" s="91">
        <v>44882</v>
      </c>
    </row>
    <row r="1244" spans="1:4">
      <c r="A1244" t="s">
        <v>2362</v>
      </c>
      <c r="B1244" s="1219"/>
      <c r="C1244">
        <v>16.621000000000002</v>
      </c>
      <c r="D1244" s="91">
        <v>44882</v>
      </c>
    </row>
    <row r="1245" spans="1:4">
      <c r="A1245" t="s">
        <v>2363</v>
      </c>
      <c r="B1245" s="1219"/>
      <c r="C1245">
        <v>20.482000000000003</v>
      </c>
      <c r="D1245" s="91">
        <v>44882</v>
      </c>
    </row>
    <row r="1246" spans="1:4">
      <c r="A1246" t="s">
        <v>2364</v>
      </c>
      <c r="B1246" s="1219"/>
      <c r="C1246">
        <v>16.247</v>
      </c>
      <c r="D1246" s="91">
        <v>44882</v>
      </c>
    </row>
    <row r="1247" spans="1:4">
      <c r="A1247" t="s">
        <v>2365</v>
      </c>
      <c r="B1247" s="1219"/>
      <c r="C1247">
        <v>2.1339999999999999</v>
      </c>
      <c r="D1247" s="91">
        <v>44882</v>
      </c>
    </row>
    <row r="1248" spans="1:4">
      <c r="A1248" t="s">
        <v>2366</v>
      </c>
      <c r="B1248" s="1219"/>
      <c r="C1248">
        <v>2.9810000000000003</v>
      </c>
      <c r="D1248" s="91">
        <v>44882</v>
      </c>
    </row>
    <row r="1249" spans="1:4">
      <c r="A1249" t="s">
        <v>2367</v>
      </c>
      <c r="B1249" s="1219"/>
      <c r="C1249">
        <v>5.676000000000001</v>
      </c>
      <c r="D1249" s="91">
        <v>44882</v>
      </c>
    </row>
    <row r="1250" spans="1:4">
      <c r="A1250" t="s">
        <v>2368</v>
      </c>
      <c r="B1250" s="1219"/>
      <c r="C1250">
        <v>8.25</v>
      </c>
      <c r="D1250" s="91">
        <v>44882</v>
      </c>
    </row>
    <row r="1251" spans="1:4">
      <c r="A1251" t="s">
        <v>2369</v>
      </c>
      <c r="B1251" s="1219"/>
      <c r="C1251">
        <v>13.189000000000002</v>
      </c>
      <c r="D1251" s="91">
        <v>44882</v>
      </c>
    </row>
    <row r="1252" spans="1:4">
      <c r="A1252" t="s">
        <v>2370</v>
      </c>
      <c r="B1252" s="1219"/>
      <c r="C1252">
        <v>16.621000000000002</v>
      </c>
      <c r="D1252" s="91">
        <v>44882</v>
      </c>
    </row>
    <row r="1253" spans="1:4">
      <c r="A1253" t="s">
        <v>2371</v>
      </c>
      <c r="B1253" s="1219"/>
      <c r="C1253">
        <v>20.636000000000003</v>
      </c>
      <c r="D1253" s="91">
        <v>44882</v>
      </c>
    </row>
    <row r="1254" spans="1:4">
      <c r="A1254" t="s">
        <v>2372</v>
      </c>
      <c r="B1254" s="1219"/>
      <c r="C1254">
        <v>21.021000000000001</v>
      </c>
      <c r="D1254" s="91">
        <v>44882</v>
      </c>
    </row>
    <row r="1255" spans="1:4">
      <c r="A1255" t="s">
        <v>2373</v>
      </c>
      <c r="B1255" s="1219"/>
      <c r="C1255">
        <v>4.3010000000000002</v>
      </c>
      <c r="D1255" s="91">
        <v>44882</v>
      </c>
    </row>
    <row r="1256" spans="1:4">
      <c r="A1256" t="s">
        <v>2374</v>
      </c>
      <c r="B1256" s="1219"/>
      <c r="C1256">
        <v>10.780000000000001</v>
      </c>
      <c r="D1256" s="91">
        <v>44882</v>
      </c>
    </row>
    <row r="1257" spans="1:4">
      <c r="A1257" t="s">
        <v>2375</v>
      </c>
      <c r="B1257" s="1219"/>
      <c r="C1257">
        <v>7.9090000000000007</v>
      </c>
      <c r="D1257" s="91">
        <v>44882</v>
      </c>
    </row>
    <row r="1258" spans="1:4">
      <c r="A1258" t="s">
        <v>2376</v>
      </c>
      <c r="B1258" s="1219"/>
      <c r="C1258">
        <v>11.462000000000002</v>
      </c>
      <c r="D1258" s="91">
        <v>44882</v>
      </c>
    </row>
    <row r="1259" spans="1:4">
      <c r="A1259" t="s">
        <v>2377</v>
      </c>
      <c r="B1259" s="1219"/>
      <c r="C1259">
        <v>10.218999999999999</v>
      </c>
      <c r="D1259" s="91">
        <v>44882</v>
      </c>
    </row>
    <row r="1260" spans="1:4">
      <c r="A1260" t="s">
        <v>2378</v>
      </c>
      <c r="B1260" s="1219"/>
      <c r="C1260">
        <v>23.507000000000001</v>
      </c>
      <c r="D1260" s="91">
        <v>44882</v>
      </c>
    </row>
    <row r="1261" spans="1:4">
      <c r="A1261" t="s">
        <v>2379</v>
      </c>
      <c r="B1261" s="1219"/>
      <c r="C1261">
        <v>35.255000000000003</v>
      </c>
      <c r="D1261" s="91">
        <v>44882</v>
      </c>
    </row>
    <row r="1262" spans="1:4">
      <c r="A1262" t="s">
        <v>2380</v>
      </c>
      <c r="B1262" s="1219"/>
      <c r="C1262">
        <v>1.056</v>
      </c>
      <c r="D1262" s="91">
        <v>44882</v>
      </c>
    </row>
    <row r="1263" spans="1:4">
      <c r="A1263" t="s">
        <v>2381</v>
      </c>
      <c r="B1263" s="1219"/>
      <c r="C1263">
        <v>1.3420000000000001</v>
      </c>
      <c r="D1263" s="91">
        <v>44882</v>
      </c>
    </row>
    <row r="1264" spans="1:4">
      <c r="A1264" t="s">
        <v>2382</v>
      </c>
      <c r="B1264" s="1219"/>
      <c r="C1264">
        <v>1.837</v>
      </c>
      <c r="D1264" s="91">
        <v>44882</v>
      </c>
    </row>
    <row r="1265" spans="1:4">
      <c r="A1265" t="s">
        <v>2383</v>
      </c>
      <c r="B1265" s="1219"/>
      <c r="C1265">
        <v>3.399</v>
      </c>
      <c r="D1265" s="91">
        <v>44882</v>
      </c>
    </row>
    <row r="1266" spans="1:4">
      <c r="A1266" t="s">
        <v>2384</v>
      </c>
      <c r="B1266" s="1219"/>
      <c r="C1266">
        <v>4.4110000000000005</v>
      </c>
      <c r="D1266" s="91">
        <v>44882</v>
      </c>
    </row>
    <row r="1267" spans="1:4">
      <c r="A1267" t="s">
        <v>2385</v>
      </c>
      <c r="B1267" s="1219"/>
      <c r="C1267">
        <v>6.1930000000000005</v>
      </c>
      <c r="D1267" s="91">
        <v>44882</v>
      </c>
    </row>
    <row r="1268" spans="1:4">
      <c r="A1268" t="s">
        <v>2386</v>
      </c>
      <c r="B1268" s="1219"/>
      <c r="C1268">
        <v>7.4580000000000011</v>
      </c>
      <c r="D1268" s="91">
        <v>44882</v>
      </c>
    </row>
    <row r="1269" spans="1:4">
      <c r="A1269" t="s">
        <v>2387</v>
      </c>
      <c r="B1269" s="1219"/>
      <c r="C1269">
        <v>15.521000000000001</v>
      </c>
      <c r="D1269" s="91">
        <v>44882</v>
      </c>
    </row>
    <row r="1270" spans="1:4">
      <c r="A1270" t="s">
        <v>2388</v>
      </c>
      <c r="B1270" s="1219"/>
      <c r="C1270">
        <v>51.359000000000002</v>
      </c>
      <c r="D1270" s="91">
        <v>44882</v>
      </c>
    </row>
    <row r="1271" spans="1:4">
      <c r="A1271" t="s">
        <v>2389</v>
      </c>
      <c r="B1271" s="1219"/>
      <c r="C1271">
        <v>0.78100000000000003</v>
      </c>
      <c r="D1271" s="91">
        <v>44882</v>
      </c>
    </row>
    <row r="1272" spans="1:4">
      <c r="A1272" t="s">
        <v>2390</v>
      </c>
      <c r="B1272" s="1219"/>
      <c r="C1272">
        <v>1.056</v>
      </c>
      <c r="D1272" s="91">
        <v>44882</v>
      </c>
    </row>
    <row r="1273" spans="1:4">
      <c r="A1273" t="s">
        <v>2391</v>
      </c>
      <c r="B1273" s="1219"/>
      <c r="C1273">
        <v>3.1680000000000001</v>
      </c>
      <c r="D1273" s="91">
        <v>44882</v>
      </c>
    </row>
    <row r="1274" spans="1:4">
      <c r="A1274" t="s">
        <v>2392</v>
      </c>
      <c r="B1274" s="1219"/>
      <c r="C1274">
        <v>4.125</v>
      </c>
      <c r="D1274" s="91">
        <v>44882</v>
      </c>
    </row>
    <row r="1275" spans="1:4">
      <c r="A1275" t="s">
        <v>2393</v>
      </c>
      <c r="B1275" s="1219"/>
      <c r="C1275">
        <v>3.0470000000000002</v>
      </c>
      <c r="D1275" s="91">
        <v>44882</v>
      </c>
    </row>
    <row r="1276" spans="1:4">
      <c r="A1276" t="s">
        <v>2394</v>
      </c>
      <c r="B1276" s="1219"/>
      <c r="C1276">
        <v>6.4240000000000004</v>
      </c>
      <c r="D1276" s="91">
        <v>44882</v>
      </c>
    </row>
    <row r="1277" spans="1:4">
      <c r="A1277" t="s">
        <v>2395</v>
      </c>
      <c r="B1277" s="1219"/>
      <c r="C1277">
        <v>4.8620000000000001</v>
      </c>
      <c r="D1277" s="91">
        <v>44882</v>
      </c>
    </row>
    <row r="1278" spans="1:4">
      <c r="A1278" t="s">
        <v>2396</v>
      </c>
      <c r="B1278" s="1219"/>
      <c r="C1278">
        <v>1.4278000000000002</v>
      </c>
      <c r="D1278" s="91">
        <v>44882</v>
      </c>
    </row>
    <row r="1279" spans="1:4">
      <c r="A1279" t="s">
        <v>2397</v>
      </c>
      <c r="B1279" s="1219"/>
      <c r="C1279">
        <v>2.2109999999999999</v>
      </c>
      <c r="D1279" s="91">
        <v>44882</v>
      </c>
    </row>
    <row r="1280" spans="1:4">
      <c r="A1280" t="s">
        <v>2398</v>
      </c>
      <c r="B1280" s="1219"/>
      <c r="C1280">
        <v>3.3440000000000003</v>
      </c>
      <c r="D1280" s="91">
        <v>44882</v>
      </c>
    </row>
    <row r="1281" spans="1:4">
      <c r="A1281" t="s">
        <v>2399</v>
      </c>
      <c r="B1281" s="1219"/>
      <c r="C1281">
        <v>3.8500000000000005</v>
      </c>
      <c r="D1281" s="91">
        <v>44882</v>
      </c>
    </row>
    <row r="1282" spans="1:4">
      <c r="A1282" t="s">
        <v>2400</v>
      </c>
      <c r="B1282" s="1219"/>
      <c r="C1282">
        <v>4.0799000000000003</v>
      </c>
      <c r="D1282" s="91">
        <v>44882</v>
      </c>
    </row>
    <row r="1283" spans="1:4">
      <c r="A1283" t="s">
        <v>2401</v>
      </c>
      <c r="B1283" s="1219"/>
      <c r="C1283">
        <v>3.5750000000000002</v>
      </c>
      <c r="D1283" s="91">
        <v>44882</v>
      </c>
    </row>
    <row r="1284" spans="1:4">
      <c r="A1284" t="s">
        <v>2402</v>
      </c>
      <c r="B1284" s="1219"/>
      <c r="C1284">
        <v>5.2250000000000005</v>
      </c>
      <c r="D1284" s="91">
        <v>44882</v>
      </c>
    </row>
    <row r="1285" spans="1:4">
      <c r="A1285" t="s">
        <v>2403</v>
      </c>
      <c r="B1285" s="1219"/>
      <c r="C1285">
        <v>4.6325136000000002</v>
      </c>
      <c r="D1285" s="91">
        <v>44882</v>
      </c>
    </row>
    <row r="1286" spans="1:4">
      <c r="A1286" t="s">
        <v>2404</v>
      </c>
      <c r="B1286" s="1219"/>
      <c r="C1286">
        <v>7.5680000000000005</v>
      </c>
      <c r="D1286" s="91">
        <v>44882</v>
      </c>
    </row>
    <row r="1287" spans="1:4">
      <c r="A1287" t="s">
        <v>2405</v>
      </c>
      <c r="B1287" s="1219"/>
      <c r="C1287">
        <v>5.1260000000000003</v>
      </c>
      <c r="D1287" s="91">
        <v>44882</v>
      </c>
    </row>
    <row r="1288" spans="1:4">
      <c r="A1288" t="s">
        <v>2406</v>
      </c>
      <c r="B1288" s="1219"/>
      <c r="C1288">
        <v>7.8210000000000006</v>
      </c>
      <c r="D1288" s="91">
        <v>44882</v>
      </c>
    </row>
    <row r="1289" spans="1:4">
      <c r="A1289" t="s">
        <v>2407</v>
      </c>
      <c r="B1289" s="1219"/>
      <c r="C1289">
        <v>8.2115000000000009</v>
      </c>
      <c r="D1289" s="91">
        <v>44882</v>
      </c>
    </row>
    <row r="1290" spans="1:4">
      <c r="A1290" t="s">
        <v>2408</v>
      </c>
      <c r="B1290" s="1219"/>
      <c r="C1290">
        <v>6.0940000000000003</v>
      </c>
      <c r="D1290" s="91">
        <v>44882</v>
      </c>
    </row>
    <row r="1291" spans="1:4">
      <c r="A1291" t="s">
        <v>2409</v>
      </c>
      <c r="B1291" s="1219"/>
      <c r="C1291">
        <v>5.9070000000000009</v>
      </c>
      <c r="D1291" s="91">
        <v>44882</v>
      </c>
    </row>
    <row r="1292" spans="1:4">
      <c r="A1292" t="s">
        <v>2410</v>
      </c>
      <c r="B1292" s="1219"/>
      <c r="C1292">
        <v>6.149</v>
      </c>
      <c r="D1292" s="91">
        <v>44882</v>
      </c>
    </row>
    <row r="1293" spans="1:4">
      <c r="A1293" t="s">
        <v>2411</v>
      </c>
      <c r="B1293" s="1219"/>
      <c r="C1293">
        <v>11.088000000000001</v>
      </c>
      <c r="D1293" s="91">
        <v>44882</v>
      </c>
    </row>
    <row r="1294" spans="1:4">
      <c r="A1294" t="s">
        <v>2412</v>
      </c>
      <c r="B1294" s="1219"/>
      <c r="C1294">
        <v>9.8780000000000019</v>
      </c>
      <c r="D1294" s="91">
        <v>44882</v>
      </c>
    </row>
    <row r="1295" spans="1:4">
      <c r="A1295" t="s">
        <v>2413</v>
      </c>
      <c r="B1295" s="1219"/>
      <c r="C1295">
        <v>8.9540000000000006</v>
      </c>
      <c r="D1295" s="91">
        <v>44882</v>
      </c>
    </row>
    <row r="1296" spans="1:4">
      <c r="A1296" t="s">
        <v>2414</v>
      </c>
      <c r="B1296" s="1219"/>
      <c r="C1296">
        <v>11.693000000000001</v>
      </c>
      <c r="D1296" s="91">
        <v>44882</v>
      </c>
    </row>
    <row r="1297" spans="1:4">
      <c r="A1297" t="s">
        <v>2415</v>
      </c>
      <c r="B1297" s="1219"/>
      <c r="C1297">
        <v>8.4667000000000012</v>
      </c>
      <c r="D1297" s="91">
        <v>44882</v>
      </c>
    </row>
    <row r="1298" spans="1:4">
      <c r="A1298" t="s">
        <v>2416</v>
      </c>
      <c r="B1298" s="1219"/>
      <c r="C1298">
        <v>25.223000000000003</v>
      </c>
      <c r="D1298" s="91">
        <v>44882</v>
      </c>
    </row>
    <row r="1299" spans="1:4">
      <c r="A1299" t="s">
        <v>2417</v>
      </c>
      <c r="B1299" s="1219"/>
      <c r="C1299">
        <v>25.223000000000003</v>
      </c>
      <c r="D1299" s="91">
        <v>44882</v>
      </c>
    </row>
    <row r="1300" spans="1:4">
      <c r="A1300" t="s">
        <v>2418</v>
      </c>
      <c r="B1300" s="1219"/>
      <c r="C1300">
        <v>25.223000000000003</v>
      </c>
      <c r="D1300" s="91">
        <v>44882</v>
      </c>
    </row>
    <row r="1301" spans="1:4">
      <c r="A1301" t="s">
        <v>2419</v>
      </c>
      <c r="B1301" s="1219"/>
      <c r="C1301">
        <v>2.8050000000000002</v>
      </c>
      <c r="D1301" s="91">
        <v>44882</v>
      </c>
    </row>
    <row r="1302" spans="1:4">
      <c r="A1302" t="s">
        <v>2420</v>
      </c>
      <c r="B1302" s="1219"/>
      <c r="C1302">
        <v>2.4750000000000001</v>
      </c>
      <c r="D1302" s="91">
        <v>44882</v>
      </c>
    </row>
    <row r="1303" spans="1:4">
      <c r="A1303" t="s">
        <v>2421</v>
      </c>
      <c r="B1303" s="1219"/>
      <c r="C1303">
        <v>2.8050000000000002</v>
      </c>
      <c r="D1303" s="91">
        <v>44882</v>
      </c>
    </row>
    <row r="1304" spans="1:4">
      <c r="A1304" t="s">
        <v>2422</v>
      </c>
      <c r="B1304" s="1219"/>
      <c r="C1304">
        <v>2.5410000000000004</v>
      </c>
      <c r="D1304" s="91">
        <v>44882</v>
      </c>
    </row>
    <row r="1305" spans="1:4">
      <c r="A1305" t="s">
        <v>2423</v>
      </c>
      <c r="B1305" s="1219"/>
      <c r="C1305">
        <v>4.8180000000000005</v>
      </c>
      <c r="D1305" s="91">
        <v>44882</v>
      </c>
    </row>
    <row r="1306" spans="1:4">
      <c r="A1306" t="s">
        <v>2424</v>
      </c>
      <c r="B1306" s="1219"/>
      <c r="C1306">
        <v>4.4110000000000005</v>
      </c>
      <c r="D1306" s="91">
        <v>44882</v>
      </c>
    </row>
    <row r="1307" spans="1:4">
      <c r="A1307" t="s">
        <v>2425</v>
      </c>
      <c r="B1307" s="1219"/>
      <c r="C1307">
        <v>7.6780000000000008</v>
      </c>
      <c r="D1307" s="91">
        <v>44882</v>
      </c>
    </row>
    <row r="1308" spans="1:4">
      <c r="A1308" t="s">
        <v>2426</v>
      </c>
      <c r="B1308" s="1219"/>
      <c r="C1308">
        <v>10.549000000000001</v>
      </c>
      <c r="D1308" s="91">
        <v>44882</v>
      </c>
    </row>
    <row r="1309" spans="1:4">
      <c r="A1309" t="s">
        <v>2427</v>
      </c>
      <c r="B1309" s="1219"/>
      <c r="C1309">
        <v>11.605000000000002</v>
      </c>
      <c r="D1309" s="91">
        <v>44882</v>
      </c>
    </row>
    <row r="1310" spans="1:4">
      <c r="A1310" t="s">
        <v>2428</v>
      </c>
      <c r="B1310" s="1219"/>
      <c r="C1310">
        <v>17.303000000000001</v>
      </c>
      <c r="D1310" s="91">
        <v>44882</v>
      </c>
    </row>
    <row r="1311" spans="1:4">
      <c r="A1311" t="s">
        <v>2429</v>
      </c>
      <c r="B1311" s="1219"/>
      <c r="C1311">
        <v>12.859</v>
      </c>
      <c r="D1311" s="91">
        <v>44882</v>
      </c>
    </row>
    <row r="1312" spans="1:4">
      <c r="A1312" t="s">
        <v>2430</v>
      </c>
      <c r="B1312" s="1219"/>
      <c r="C1312">
        <v>2.9260000000000006</v>
      </c>
      <c r="D1312" s="91">
        <v>44882</v>
      </c>
    </row>
    <row r="1313" spans="1:4">
      <c r="A1313" t="s">
        <v>2431</v>
      </c>
      <c r="B1313" s="1219"/>
      <c r="C1313">
        <v>3.8390000000000004</v>
      </c>
      <c r="D1313" s="91">
        <v>44882</v>
      </c>
    </row>
    <row r="1314" spans="1:4">
      <c r="A1314" t="s">
        <v>2432</v>
      </c>
      <c r="B1314" s="1219"/>
      <c r="C1314">
        <v>5.2140000000000004</v>
      </c>
      <c r="D1314" s="91">
        <v>44882</v>
      </c>
    </row>
    <row r="1315" spans="1:4">
      <c r="A1315" t="s">
        <v>2433</v>
      </c>
      <c r="B1315" s="1219"/>
      <c r="C1315">
        <v>7.6780000000000008</v>
      </c>
      <c r="D1315" s="91">
        <v>44882</v>
      </c>
    </row>
    <row r="1316" spans="1:4">
      <c r="A1316" t="s">
        <v>2434</v>
      </c>
      <c r="B1316" s="1219"/>
      <c r="C1316">
        <v>10.549000000000001</v>
      </c>
      <c r="D1316" s="91">
        <v>44882</v>
      </c>
    </row>
    <row r="1317" spans="1:4">
      <c r="A1317" t="s">
        <v>2435</v>
      </c>
      <c r="B1317" s="1219"/>
      <c r="C1317">
        <v>16.048999999999999</v>
      </c>
      <c r="D1317" s="91">
        <v>44882</v>
      </c>
    </row>
    <row r="1318" spans="1:4">
      <c r="A1318" t="s">
        <v>2436</v>
      </c>
      <c r="B1318" s="1219"/>
      <c r="C1318">
        <v>22.363</v>
      </c>
      <c r="D1318" s="91">
        <v>44882</v>
      </c>
    </row>
    <row r="1319" spans="1:4">
      <c r="A1319" t="s">
        <v>2437</v>
      </c>
      <c r="B1319" s="1219"/>
      <c r="C1319">
        <v>19.492000000000001</v>
      </c>
      <c r="D1319" s="91">
        <v>44882</v>
      </c>
    </row>
    <row r="1320" spans="1:4">
      <c r="A1320" t="s">
        <v>2438</v>
      </c>
      <c r="B1320" s="1219"/>
      <c r="C1320">
        <v>2.9810000000000003</v>
      </c>
      <c r="D1320" s="91">
        <v>44882</v>
      </c>
    </row>
    <row r="1321" spans="1:4">
      <c r="A1321" t="s">
        <v>2439</v>
      </c>
      <c r="B1321" s="1219"/>
      <c r="C1321">
        <v>4.3559999999999999</v>
      </c>
      <c r="D1321" s="91">
        <v>44882</v>
      </c>
    </row>
    <row r="1322" spans="1:4">
      <c r="A1322" t="s">
        <v>2440</v>
      </c>
      <c r="B1322" s="1219"/>
      <c r="C1322">
        <v>5.9070000000000009</v>
      </c>
      <c r="D1322" s="91">
        <v>44882</v>
      </c>
    </row>
    <row r="1323" spans="1:4">
      <c r="A1323" t="s">
        <v>2441</v>
      </c>
      <c r="B1323" s="1219"/>
      <c r="C1323">
        <v>10.318000000000001</v>
      </c>
      <c r="D1323" s="91">
        <v>44882</v>
      </c>
    </row>
    <row r="1324" spans="1:4">
      <c r="A1324" t="s">
        <v>2442</v>
      </c>
      <c r="B1324" s="1219"/>
      <c r="C1324">
        <v>13.189000000000002</v>
      </c>
      <c r="D1324" s="91">
        <v>44882</v>
      </c>
    </row>
    <row r="1325" spans="1:4">
      <c r="A1325" t="s">
        <v>2443</v>
      </c>
      <c r="B1325" s="1219"/>
      <c r="C1325">
        <v>17.193000000000001</v>
      </c>
      <c r="D1325" s="91">
        <v>44882</v>
      </c>
    </row>
    <row r="1326" spans="1:4">
      <c r="A1326" t="s">
        <v>2444</v>
      </c>
      <c r="B1326" s="1219"/>
      <c r="C1326">
        <v>21.494</v>
      </c>
      <c r="D1326" s="91">
        <v>44882</v>
      </c>
    </row>
    <row r="1327" spans="1:4">
      <c r="A1327" t="s">
        <v>2445</v>
      </c>
      <c r="B1327" s="1219"/>
      <c r="C1327">
        <v>46.277000000000001</v>
      </c>
      <c r="D1327" s="91">
        <v>44882</v>
      </c>
    </row>
    <row r="1328" spans="1:4">
      <c r="A1328" t="s">
        <v>2446</v>
      </c>
      <c r="B1328" s="1219"/>
      <c r="C1328">
        <v>6.2039999999999988</v>
      </c>
      <c r="D1328" s="91">
        <v>44882</v>
      </c>
    </row>
    <row r="1329" spans="1:4">
      <c r="A1329" t="s">
        <v>2447</v>
      </c>
      <c r="B1329" s="1219"/>
      <c r="C1329">
        <v>5.2469999999999999</v>
      </c>
      <c r="D1329" s="91">
        <v>44882</v>
      </c>
    </row>
    <row r="1330" spans="1:4">
      <c r="A1330" t="s">
        <v>2448</v>
      </c>
      <c r="B1330" s="1219"/>
      <c r="C1330">
        <v>5.8520000000000012</v>
      </c>
      <c r="D1330" s="91">
        <v>44882</v>
      </c>
    </row>
    <row r="1331" spans="1:4">
      <c r="A1331" t="s">
        <v>2449</v>
      </c>
      <c r="B1331" s="1219"/>
      <c r="C1331">
        <v>7.1060000000000008</v>
      </c>
      <c r="D1331" s="91">
        <v>44882</v>
      </c>
    </row>
    <row r="1332" spans="1:4">
      <c r="A1332" t="s">
        <v>2450</v>
      </c>
      <c r="B1332" s="1219"/>
      <c r="C1332">
        <v>6.7650000000000006</v>
      </c>
      <c r="D1332" s="91">
        <v>44882</v>
      </c>
    </row>
    <row r="1333" spans="1:4">
      <c r="A1333" t="s">
        <v>2451</v>
      </c>
      <c r="B1333" s="1219"/>
      <c r="C1333">
        <v>5.4340000000000011</v>
      </c>
      <c r="D1333" s="91">
        <v>44882</v>
      </c>
    </row>
    <row r="1334" spans="1:4">
      <c r="A1334" t="s">
        <v>2452</v>
      </c>
      <c r="B1334" s="1219"/>
      <c r="C1334">
        <v>12.617000000000001</v>
      </c>
      <c r="D1334" s="91">
        <v>44882</v>
      </c>
    </row>
    <row r="1335" spans="1:4">
      <c r="A1335" t="s">
        <v>2453</v>
      </c>
      <c r="B1335" s="1219"/>
      <c r="C1335">
        <v>13.189000000000002</v>
      </c>
      <c r="D1335" s="91">
        <v>44882</v>
      </c>
    </row>
    <row r="1336" spans="1:4">
      <c r="A1336" t="s">
        <v>2454</v>
      </c>
      <c r="B1336" s="1219"/>
      <c r="C1336">
        <v>13.761000000000001</v>
      </c>
      <c r="D1336" s="91">
        <v>44882</v>
      </c>
    </row>
    <row r="1337" spans="1:4">
      <c r="A1337" t="s">
        <v>2455</v>
      </c>
      <c r="B1337" s="1219"/>
      <c r="C1337">
        <v>16.335000000000001</v>
      </c>
      <c r="D1337" s="91">
        <v>44882</v>
      </c>
    </row>
    <row r="1338" spans="1:4">
      <c r="A1338" t="s">
        <v>2456</v>
      </c>
      <c r="B1338" s="1219"/>
      <c r="C1338">
        <v>13.750000000000002</v>
      </c>
      <c r="D1338" s="91">
        <v>44882</v>
      </c>
    </row>
    <row r="1339" spans="1:4">
      <c r="A1339" t="s">
        <v>2457</v>
      </c>
      <c r="B1339" s="1219"/>
      <c r="C1339">
        <v>17.490000000000002</v>
      </c>
      <c r="D1339" s="91">
        <v>44882</v>
      </c>
    </row>
    <row r="1340" spans="1:4">
      <c r="A1340" t="s">
        <v>2458</v>
      </c>
      <c r="B1340" s="1219"/>
      <c r="C1340">
        <v>20.690999999999999</v>
      </c>
      <c r="D1340" s="91">
        <v>44882</v>
      </c>
    </row>
    <row r="1341" spans="1:4">
      <c r="A1341" t="s">
        <v>2459</v>
      </c>
      <c r="B1341" s="1219"/>
      <c r="C1341">
        <v>16.038</v>
      </c>
      <c r="D1341" s="91">
        <v>44882</v>
      </c>
    </row>
    <row r="1342" spans="1:4">
      <c r="A1342" t="s">
        <v>2460</v>
      </c>
      <c r="B1342" s="1219"/>
      <c r="C1342">
        <v>15.411000000000001</v>
      </c>
      <c r="D1342" s="91">
        <v>44882</v>
      </c>
    </row>
    <row r="1343" spans="1:4">
      <c r="A1343" t="s">
        <v>2461</v>
      </c>
      <c r="B1343" s="1219"/>
      <c r="C1343">
        <v>26.939</v>
      </c>
      <c r="D1343" s="91">
        <v>44882</v>
      </c>
    </row>
    <row r="1344" spans="1:4">
      <c r="A1344" t="s">
        <v>2462</v>
      </c>
      <c r="B1344" s="1219"/>
      <c r="C1344">
        <v>27.522000000000002</v>
      </c>
      <c r="D1344" s="91">
        <v>44882</v>
      </c>
    </row>
    <row r="1345" spans="1:4">
      <c r="A1345" t="s">
        <v>2463</v>
      </c>
      <c r="B1345" s="1219"/>
      <c r="C1345">
        <v>27.808000000000003</v>
      </c>
      <c r="D1345" s="91">
        <v>44882</v>
      </c>
    </row>
    <row r="1346" spans="1:4">
      <c r="A1346" t="s">
        <v>2464</v>
      </c>
      <c r="B1346" s="1219"/>
      <c r="C1346">
        <v>49.995000000000005</v>
      </c>
      <c r="D1346" s="91">
        <v>44882</v>
      </c>
    </row>
    <row r="1347" spans="1:4">
      <c r="A1347" t="s">
        <v>2465</v>
      </c>
      <c r="B1347" s="1219"/>
      <c r="C1347">
        <v>51.216000000000008</v>
      </c>
      <c r="D1347" s="91">
        <v>44882</v>
      </c>
    </row>
    <row r="1348" spans="1:4">
      <c r="A1348" t="s">
        <v>2466</v>
      </c>
      <c r="B1348" s="1219"/>
      <c r="C1348">
        <v>53.438000000000002</v>
      </c>
      <c r="D1348" s="91">
        <v>44882</v>
      </c>
    </row>
    <row r="1349" spans="1:4">
      <c r="A1349" t="s">
        <v>2467</v>
      </c>
      <c r="B1349" s="1219"/>
      <c r="C1349">
        <v>4.3559999999999999</v>
      </c>
      <c r="D1349" s="91">
        <v>44882</v>
      </c>
    </row>
    <row r="1350" spans="1:4">
      <c r="A1350" t="s">
        <v>2468</v>
      </c>
      <c r="B1350" s="1219"/>
      <c r="C1350">
        <v>5.9070000000000009</v>
      </c>
      <c r="D1350" s="91">
        <v>44882</v>
      </c>
    </row>
    <row r="1351" spans="1:4">
      <c r="A1351" t="s">
        <v>2469</v>
      </c>
      <c r="B1351" s="1219"/>
      <c r="C1351">
        <v>3.4870000000000001</v>
      </c>
      <c r="D1351" s="91">
        <v>44882</v>
      </c>
    </row>
    <row r="1352" spans="1:4">
      <c r="A1352" t="s">
        <v>2470</v>
      </c>
      <c r="B1352" s="1219"/>
      <c r="C1352">
        <v>10.318000000000001</v>
      </c>
      <c r="D1352" s="91">
        <v>44882</v>
      </c>
    </row>
    <row r="1353" spans="1:4">
      <c r="A1353" t="s">
        <v>2471</v>
      </c>
      <c r="B1353" s="1219"/>
      <c r="C1353">
        <v>8.9320000000000004</v>
      </c>
      <c r="D1353" s="91">
        <v>44882</v>
      </c>
    </row>
    <row r="1354" spans="1:4">
      <c r="A1354" t="s">
        <v>2472</v>
      </c>
      <c r="B1354" s="1219"/>
      <c r="C1354">
        <v>9.4489999999999998</v>
      </c>
      <c r="D1354" s="91">
        <v>44882</v>
      </c>
    </row>
    <row r="1355" spans="1:4">
      <c r="A1355" t="s">
        <v>2473</v>
      </c>
      <c r="B1355" s="1219"/>
      <c r="C1355">
        <v>13.189000000000002</v>
      </c>
      <c r="D1355" s="91">
        <v>44882</v>
      </c>
    </row>
    <row r="1356" spans="1:4">
      <c r="A1356" t="s">
        <v>2474</v>
      </c>
      <c r="B1356" s="1219"/>
      <c r="C1356">
        <v>12.694000000000001</v>
      </c>
      <c r="D1356" s="91">
        <v>44882</v>
      </c>
    </row>
    <row r="1357" spans="1:4">
      <c r="A1357" t="s">
        <v>2475</v>
      </c>
      <c r="B1357" s="1219"/>
      <c r="C1357">
        <v>13.189000000000002</v>
      </c>
      <c r="D1357" s="91">
        <v>44882</v>
      </c>
    </row>
    <row r="1358" spans="1:4">
      <c r="A1358" t="s">
        <v>2476</v>
      </c>
      <c r="B1358" s="1219"/>
      <c r="C1358">
        <v>12.386000000000001</v>
      </c>
      <c r="D1358" s="91">
        <v>44882</v>
      </c>
    </row>
    <row r="1359" spans="1:4">
      <c r="A1359" t="s">
        <v>2477</v>
      </c>
      <c r="B1359" s="1219"/>
      <c r="C1359">
        <v>14.124000000000001</v>
      </c>
      <c r="D1359" s="91">
        <v>44882</v>
      </c>
    </row>
    <row r="1360" spans="1:4">
      <c r="A1360" t="s">
        <v>2478</v>
      </c>
      <c r="B1360" s="1219"/>
      <c r="C1360">
        <v>15.059000000000001</v>
      </c>
      <c r="D1360" s="91">
        <v>44882</v>
      </c>
    </row>
    <row r="1361" spans="1:4">
      <c r="A1361" t="s">
        <v>2479</v>
      </c>
      <c r="B1361" s="1219"/>
      <c r="C1361">
        <v>14.894</v>
      </c>
      <c r="D1361" s="91">
        <v>44882</v>
      </c>
    </row>
    <row r="1362" spans="1:4">
      <c r="A1362" t="s">
        <v>2480</v>
      </c>
      <c r="B1362" s="1219"/>
      <c r="C1362">
        <v>13.376000000000001</v>
      </c>
      <c r="D1362" s="91">
        <v>44882</v>
      </c>
    </row>
    <row r="1363" spans="1:4">
      <c r="A1363" t="s">
        <v>2481</v>
      </c>
      <c r="B1363" s="1219"/>
      <c r="C1363">
        <v>17.193000000000001</v>
      </c>
      <c r="D1363" s="91">
        <v>44882</v>
      </c>
    </row>
    <row r="1364" spans="1:4">
      <c r="A1364" t="s">
        <v>2482</v>
      </c>
      <c r="B1364" s="1219"/>
      <c r="C1364">
        <v>20.669</v>
      </c>
      <c r="D1364" s="91">
        <v>44882</v>
      </c>
    </row>
    <row r="1365" spans="1:4">
      <c r="A1365" t="s">
        <v>2483</v>
      </c>
      <c r="B1365" s="1219"/>
      <c r="C1365">
        <v>19.019000000000002</v>
      </c>
      <c r="D1365" s="91">
        <v>44882</v>
      </c>
    </row>
    <row r="1366" spans="1:4">
      <c r="A1366" t="s">
        <v>2484</v>
      </c>
      <c r="B1366" s="1219"/>
      <c r="C1366">
        <v>19.8</v>
      </c>
      <c r="D1366" s="91">
        <v>44882</v>
      </c>
    </row>
    <row r="1367" spans="1:4">
      <c r="A1367" t="s">
        <v>2485</v>
      </c>
      <c r="B1367" s="1219"/>
      <c r="C1367">
        <v>21.494</v>
      </c>
      <c r="D1367" s="91">
        <v>44882</v>
      </c>
    </row>
    <row r="1368" spans="1:4">
      <c r="A1368" t="s">
        <v>2486</v>
      </c>
      <c r="B1368" s="1219"/>
      <c r="C1368">
        <v>18.843</v>
      </c>
      <c r="D1368" s="91">
        <v>44882</v>
      </c>
    </row>
    <row r="1369" spans="1:4">
      <c r="A1369" t="s">
        <v>2487</v>
      </c>
      <c r="B1369" s="1219"/>
      <c r="C1369">
        <v>19.096</v>
      </c>
      <c r="D1369" s="91">
        <v>44882</v>
      </c>
    </row>
    <row r="1370" spans="1:4">
      <c r="A1370" t="s">
        <v>2488</v>
      </c>
      <c r="B1370" s="1219"/>
      <c r="C1370">
        <v>44.902000000000001</v>
      </c>
      <c r="D1370" s="91">
        <v>44882</v>
      </c>
    </row>
    <row r="1371" spans="1:4">
      <c r="A1371" t="s">
        <v>2489</v>
      </c>
      <c r="B1371" s="1219"/>
      <c r="C1371">
        <v>50.721000000000004</v>
      </c>
      <c r="D1371" s="91">
        <v>44882</v>
      </c>
    </row>
    <row r="1372" spans="1:4">
      <c r="A1372" t="s">
        <v>2490</v>
      </c>
      <c r="B1372" s="1219"/>
      <c r="C1372">
        <v>44.902000000000001</v>
      </c>
      <c r="D1372" s="91">
        <v>44882</v>
      </c>
    </row>
    <row r="1373" spans="1:4">
      <c r="A1373" t="s">
        <v>2491</v>
      </c>
      <c r="B1373" s="1219"/>
      <c r="C1373">
        <v>2.0680000000000001</v>
      </c>
      <c r="D1373" s="91">
        <v>44882</v>
      </c>
    </row>
    <row r="1374" spans="1:4">
      <c r="A1374" t="s">
        <v>2492</v>
      </c>
      <c r="B1374" s="1219"/>
      <c r="C1374">
        <v>3.3660000000000005</v>
      </c>
      <c r="D1374" s="91">
        <v>44882</v>
      </c>
    </row>
    <row r="1375" spans="1:4">
      <c r="A1375" t="s">
        <v>2493</v>
      </c>
      <c r="B1375" s="1219"/>
      <c r="C1375">
        <v>4.2679999999999998</v>
      </c>
      <c r="D1375" s="91">
        <v>44882</v>
      </c>
    </row>
    <row r="1376" spans="1:4">
      <c r="A1376" t="s">
        <v>2494</v>
      </c>
      <c r="B1376" s="1219"/>
      <c r="C1376">
        <v>5.9729999999999999</v>
      </c>
      <c r="D1376" s="91">
        <v>44882</v>
      </c>
    </row>
    <row r="1377" spans="1:4">
      <c r="A1377" t="s">
        <v>2495</v>
      </c>
      <c r="B1377" s="1219"/>
      <c r="C1377">
        <v>7.3370000000000006</v>
      </c>
      <c r="D1377" s="91">
        <v>44882</v>
      </c>
    </row>
    <row r="1378" spans="1:4">
      <c r="A1378" t="s">
        <v>2496</v>
      </c>
      <c r="B1378" s="1219"/>
      <c r="C1378">
        <v>8.5030000000000019</v>
      </c>
      <c r="D1378" s="91">
        <v>44882</v>
      </c>
    </row>
    <row r="1379" spans="1:4">
      <c r="A1379" t="s">
        <v>2497</v>
      </c>
      <c r="B1379" s="1219"/>
      <c r="C1379">
        <v>12.815000000000001</v>
      </c>
      <c r="D1379" s="91">
        <v>44882</v>
      </c>
    </row>
    <row r="1380" spans="1:4">
      <c r="A1380" t="s">
        <v>2498</v>
      </c>
      <c r="B1380" s="1219"/>
      <c r="C1380">
        <v>23.298000000000002</v>
      </c>
      <c r="D1380" s="91">
        <v>44882</v>
      </c>
    </row>
    <row r="1381" spans="1:4">
      <c r="A1381" t="s">
        <v>1055</v>
      </c>
      <c r="B1381" s="1219"/>
      <c r="C1381">
        <v>4.620000000000001</v>
      </c>
      <c r="D1381" s="91">
        <v>44882</v>
      </c>
    </row>
    <row r="1382" spans="1:4">
      <c r="A1382" t="s">
        <v>1056</v>
      </c>
      <c r="B1382" s="1219"/>
      <c r="C1382">
        <v>5.1898</v>
      </c>
      <c r="D1382" s="91">
        <v>44882</v>
      </c>
    </row>
    <row r="1383" spans="1:4">
      <c r="A1383" t="s">
        <v>1057</v>
      </c>
      <c r="B1383" s="1219"/>
      <c r="C1383">
        <v>5.7596000000000016</v>
      </c>
      <c r="D1383" s="91">
        <v>44882</v>
      </c>
    </row>
    <row r="1384" spans="1:4">
      <c r="A1384" t="s">
        <v>1058</v>
      </c>
      <c r="B1384" s="1219"/>
      <c r="C1384">
        <v>6.7067000000000023</v>
      </c>
      <c r="D1384" s="91">
        <v>44882</v>
      </c>
    </row>
    <row r="1385" spans="1:4">
      <c r="A1385" t="s">
        <v>1059</v>
      </c>
      <c r="B1385" s="1219"/>
      <c r="C1385">
        <v>8.0696000000000012</v>
      </c>
      <c r="D1385" s="91">
        <v>44882</v>
      </c>
    </row>
    <row r="1386" spans="1:4">
      <c r="A1386" t="s">
        <v>1060</v>
      </c>
      <c r="B1386" s="1219"/>
      <c r="C1386">
        <v>10.495100000000001</v>
      </c>
      <c r="D1386" s="91">
        <v>44882</v>
      </c>
    </row>
    <row r="1387" spans="1:4">
      <c r="A1387" t="s">
        <v>1061</v>
      </c>
      <c r="B1387" s="1219"/>
      <c r="C1387">
        <v>12.635700000000002</v>
      </c>
      <c r="D1387" s="91">
        <v>44882</v>
      </c>
    </row>
    <row r="1388" spans="1:4">
      <c r="A1388" t="s">
        <v>1062</v>
      </c>
      <c r="B1388" s="1219"/>
      <c r="C1388">
        <v>25.348400000000005</v>
      </c>
      <c r="D1388" s="91">
        <v>44882</v>
      </c>
    </row>
    <row r="1389" spans="1:4">
      <c r="A1389" t="s">
        <v>1063</v>
      </c>
      <c r="B1389" s="1219"/>
      <c r="C1389">
        <v>30.592100000000002</v>
      </c>
      <c r="D1389" s="91">
        <v>44882</v>
      </c>
    </row>
    <row r="1390" spans="1:4">
      <c r="A1390" t="s">
        <v>1064</v>
      </c>
      <c r="B1390" s="1219"/>
      <c r="C1390">
        <v>33.487300000000005</v>
      </c>
      <c r="D1390" s="91">
        <v>44882</v>
      </c>
    </row>
    <row r="1391" spans="1:4">
      <c r="A1391" t="s">
        <v>1066</v>
      </c>
      <c r="B1391" s="1219"/>
      <c r="C1391">
        <v>24.247300000000003</v>
      </c>
      <c r="D1391" s="91">
        <v>44882</v>
      </c>
    </row>
    <row r="1392" spans="1:4">
      <c r="A1392" t="s">
        <v>1067</v>
      </c>
      <c r="B1392" s="1219"/>
      <c r="C1392">
        <v>25.4177</v>
      </c>
      <c r="D1392" s="91">
        <v>44882</v>
      </c>
    </row>
    <row r="1393" spans="1:4">
      <c r="A1393" t="s">
        <v>1068</v>
      </c>
      <c r="B1393" s="1219"/>
      <c r="C1393">
        <v>27.150200000000002</v>
      </c>
      <c r="D1393" s="91">
        <v>44882</v>
      </c>
    </row>
    <row r="1394" spans="1:4">
      <c r="A1394" t="s">
        <v>1069</v>
      </c>
      <c r="B1394" s="1219"/>
      <c r="C1394">
        <v>31.939599999999999</v>
      </c>
      <c r="D1394" s="91">
        <v>44882</v>
      </c>
    </row>
    <row r="1395" spans="1:4">
      <c r="A1395" t="s">
        <v>1070</v>
      </c>
      <c r="B1395" s="1219"/>
      <c r="C1395">
        <v>51.613100000000003</v>
      </c>
      <c r="D1395" s="91">
        <v>44882</v>
      </c>
    </row>
    <row r="1396" spans="1:4">
      <c r="A1396" t="s">
        <v>1071</v>
      </c>
      <c r="B1396" s="1219"/>
      <c r="C1396">
        <v>60.7453</v>
      </c>
      <c r="D1396" s="91">
        <v>44882</v>
      </c>
    </row>
    <row r="1397" spans="1:4">
      <c r="A1397" t="s">
        <v>1072</v>
      </c>
      <c r="B1397" s="1219"/>
      <c r="C1397">
        <v>64.980300000000014</v>
      </c>
      <c r="D1397" s="91">
        <v>44882</v>
      </c>
    </row>
    <row r="1398" spans="1:4">
      <c r="A1398" t="s">
        <v>1073</v>
      </c>
      <c r="B1398" s="1219"/>
      <c r="C1398">
        <v>84.733000000000004</v>
      </c>
      <c r="D1398" s="91">
        <v>44882</v>
      </c>
    </row>
    <row r="1399" spans="1:4">
      <c r="A1399" t="s">
        <v>1074</v>
      </c>
      <c r="B1399" s="1219"/>
      <c r="C1399">
        <v>245.57500000000002</v>
      </c>
      <c r="D1399" s="91">
        <v>44882</v>
      </c>
    </row>
    <row r="1400" spans="1:4">
      <c r="A1400" t="s">
        <v>1075</v>
      </c>
      <c r="B1400" s="1219"/>
      <c r="C1400">
        <v>292.31950000000001</v>
      </c>
      <c r="D1400" s="91">
        <v>44882</v>
      </c>
    </row>
    <row r="1401" spans="1:4">
      <c r="A1401" t="s">
        <v>1022</v>
      </c>
      <c r="B1401" s="1219"/>
      <c r="C1401">
        <v>68.853400000000008</v>
      </c>
      <c r="D1401" s="91">
        <v>44882</v>
      </c>
    </row>
    <row r="1402" spans="1:4">
      <c r="A1402" t="s">
        <v>1023</v>
      </c>
      <c r="B1402" s="1219"/>
      <c r="C1402">
        <v>136.41650000000001</v>
      </c>
      <c r="D1402" s="91">
        <v>44882</v>
      </c>
    </row>
    <row r="1403" spans="1:4">
      <c r="A1403" t="s">
        <v>2499</v>
      </c>
      <c r="B1403" s="1219"/>
      <c r="C1403">
        <v>109.0782</v>
      </c>
      <c r="D1403" s="91">
        <v>44882</v>
      </c>
    </row>
    <row r="1404" spans="1:4">
      <c r="A1404" t="s">
        <v>2500</v>
      </c>
      <c r="B1404" s="1219"/>
      <c r="C1404">
        <v>16.085300000000004</v>
      </c>
      <c r="D1404" s="91">
        <v>44882</v>
      </c>
    </row>
    <row r="1405" spans="1:4">
      <c r="A1405" t="s">
        <v>2501</v>
      </c>
      <c r="B1405" s="1219"/>
      <c r="C1405">
        <v>21.775600000000001</v>
      </c>
      <c r="D1405" s="91">
        <v>44882</v>
      </c>
    </row>
    <row r="1406" spans="1:4">
      <c r="A1406" t="s">
        <v>2502</v>
      </c>
      <c r="B1406" s="1219"/>
      <c r="C1406">
        <v>22.761200000000002</v>
      </c>
      <c r="D1406" s="91">
        <v>44882</v>
      </c>
    </row>
    <row r="1407" spans="1:4">
      <c r="A1407" t="s">
        <v>2503</v>
      </c>
      <c r="B1407" s="1219"/>
      <c r="C1407">
        <v>28.543900000000004</v>
      </c>
      <c r="D1407" s="91">
        <v>44882</v>
      </c>
    </row>
    <row r="1408" spans="1:4">
      <c r="A1408" t="s">
        <v>2504</v>
      </c>
      <c r="B1408" s="1219"/>
      <c r="C1408">
        <v>8.0795000000000012</v>
      </c>
      <c r="D1408" s="91">
        <v>44882</v>
      </c>
    </row>
    <row r="1409" spans="1:4">
      <c r="A1409" t="s">
        <v>2505</v>
      </c>
      <c r="B1409" s="1219"/>
      <c r="C1409">
        <v>8.9320000000000004</v>
      </c>
      <c r="D1409" s="91">
        <v>44882</v>
      </c>
    </row>
    <row r="1410" spans="1:4">
      <c r="A1410" t="s">
        <v>2506</v>
      </c>
      <c r="B1410" s="1219"/>
      <c r="C1410">
        <v>10.367500000000001</v>
      </c>
      <c r="D1410" s="91">
        <v>44882</v>
      </c>
    </row>
    <row r="1411" spans="1:4">
      <c r="A1411" t="s">
        <v>2507</v>
      </c>
      <c r="B1411" s="1219"/>
      <c r="C1411">
        <v>6.0060000000000002</v>
      </c>
      <c r="D1411" s="91">
        <v>44882</v>
      </c>
    </row>
    <row r="1412" spans="1:4">
      <c r="A1412" t="s">
        <v>2508</v>
      </c>
      <c r="B1412" s="1219"/>
      <c r="C1412">
        <v>15.994</v>
      </c>
      <c r="D1412" s="91">
        <v>44882</v>
      </c>
    </row>
    <row r="1413" spans="1:4">
      <c r="A1413" t="s">
        <v>2509</v>
      </c>
      <c r="B1413" s="1219"/>
      <c r="C1413">
        <v>23.088999999999999</v>
      </c>
      <c r="D1413" s="91">
        <v>44882</v>
      </c>
    </row>
    <row r="1414" spans="1:4">
      <c r="A1414" t="s">
        <v>2510</v>
      </c>
      <c r="B1414" s="1219"/>
      <c r="C1414">
        <v>29.650500000000001</v>
      </c>
      <c r="D1414" s="91">
        <v>44882</v>
      </c>
    </row>
    <row r="1415" spans="1:4">
      <c r="A1415" t="s">
        <v>2511</v>
      </c>
      <c r="B1415" s="1219"/>
      <c r="C1415">
        <v>110.58300000000001</v>
      </c>
      <c r="D1415" s="91">
        <v>44882</v>
      </c>
    </row>
    <row r="1416" spans="1:4">
      <c r="A1416" t="s">
        <v>2512</v>
      </c>
      <c r="B1416" s="1219"/>
      <c r="C1416">
        <v>131.75800000000001</v>
      </c>
      <c r="D1416" s="91">
        <v>44882</v>
      </c>
    </row>
    <row r="1417" spans="1:4">
      <c r="A1417" t="s">
        <v>2513</v>
      </c>
      <c r="B1417" s="1219"/>
      <c r="C1417">
        <v>179.65200000000002</v>
      </c>
      <c r="D1417" s="91">
        <v>44882</v>
      </c>
    </row>
    <row r="1418" spans="1:4">
      <c r="A1418" t="s">
        <v>2514</v>
      </c>
      <c r="B1418" s="1219"/>
      <c r="C1418">
        <v>8.0795000000000012</v>
      </c>
      <c r="D1418" s="91">
        <v>44882</v>
      </c>
    </row>
    <row r="1419" spans="1:4">
      <c r="A1419" t="s">
        <v>2515</v>
      </c>
      <c r="B1419" s="1219"/>
      <c r="C1419">
        <v>9.7844999999999995</v>
      </c>
      <c r="D1419" s="91">
        <v>44882</v>
      </c>
    </row>
    <row r="1420" spans="1:4">
      <c r="A1420" t="s">
        <v>2516</v>
      </c>
      <c r="B1420" s="1219"/>
      <c r="C1420">
        <v>11.649000000000001</v>
      </c>
      <c r="D1420" s="91">
        <v>44882</v>
      </c>
    </row>
    <row r="1421" spans="1:4">
      <c r="A1421" t="s">
        <v>2517</v>
      </c>
      <c r="B1421" s="1219"/>
      <c r="C1421">
        <v>14.899500000000002</v>
      </c>
      <c r="D1421" s="91">
        <v>44882</v>
      </c>
    </row>
    <row r="1422" spans="1:4">
      <c r="A1422" t="s">
        <v>2518</v>
      </c>
      <c r="B1422" s="1219"/>
      <c r="C1422">
        <v>22.236500000000003</v>
      </c>
      <c r="D1422" s="91">
        <v>44882</v>
      </c>
    </row>
    <row r="1423" spans="1:4">
      <c r="A1423" t="s">
        <v>2519</v>
      </c>
      <c r="B1423" s="1219"/>
      <c r="C1423">
        <v>28.512000000000004</v>
      </c>
      <c r="D1423" s="91">
        <v>44882</v>
      </c>
    </row>
    <row r="1424" spans="1:4">
      <c r="A1424" t="s">
        <v>2520</v>
      </c>
      <c r="B1424" s="1219"/>
      <c r="C1424">
        <v>101.464</v>
      </c>
      <c r="D1424" s="91">
        <v>44882</v>
      </c>
    </row>
    <row r="1425" spans="1:4">
      <c r="A1425" t="s">
        <v>2521</v>
      </c>
      <c r="B1425" s="1219"/>
      <c r="C1425">
        <v>121.12100000000001</v>
      </c>
      <c r="D1425" s="91">
        <v>44882</v>
      </c>
    </row>
    <row r="1426" spans="1:4">
      <c r="A1426" t="s">
        <v>2522</v>
      </c>
      <c r="B1426" s="1219"/>
      <c r="C1426">
        <v>165.40700000000001</v>
      </c>
      <c r="D1426" s="91">
        <v>44882</v>
      </c>
    </row>
    <row r="1427" spans="1:4">
      <c r="A1427" t="s">
        <v>2523</v>
      </c>
      <c r="B1427" s="1219"/>
      <c r="C1427">
        <v>8.0795000000000012</v>
      </c>
      <c r="D1427" s="91">
        <v>44882</v>
      </c>
    </row>
    <row r="1428" spans="1:4">
      <c r="A1428" t="s">
        <v>2524</v>
      </c>
      <c r="B1428" s="1219"/>
      <c r="C1428">
        <v>8.9320000000000004</v>
      </c>
      <c r="D1428" s="91">
        <v>44882</v>
      </c>
    </row>
    <row r="1429" spans="1:4">
      <c r="A1429" t="s">
        <v>2525</v>
      </c>
      <c r="B1429" s="1219"/>
      <c r="C1429">
        <v>10.367500000000001</v>
      </c>
      <c r="D1429" s="91">
        <v>44882</v>
      </c>
    </row>
    <row r="1430" spans="1:4">
      <c r="A1430" t="s">
        <v>2526</v>
      </c>
      <c r="B1430" s="1219"/>
      <c r="C1430">
        <v>7.438200000000001</v>
      </c>
      <c r="D1430" s="91">
        <v>44882</v>
      </c>
    </row>
    <row r="1431" spans="1:4">
      <c r="A1431" t="s">
        <v>2527</v>
      </c>
      <c r="B1431" s="1219"/>
      <c r="C1431">
        <v>15.994</v>
      </c>
      <c r="D1431" s="91">
        <v>44882</v>
      </c>
    </row>
    <row r="1432" spans="1:4">
      <c r="A1432" t="s">
        <v>2528</v>
      </c>
      <c r="B1432" s="1219"/>
      <c r="C1432">
        <v>23.088999999999999</v>
      </c>
      <c r="D1432" s="91">
        <v>44882</v>
      </c>
    </row>
    <row r="1433" spans="1:4">
      <c r="A1433" t="s">
        <v>2529</v>
      </c>
      <c r="B1433" s="1219"/>
      <c r="C1433">
        <v>29.650500000000001</v>
      </c>
      <c r="D1433" s="91">
        <v>44882</v>
      </c>
    </row>
    <row r="1434" spans="1:4">
      <c r="A1434" t="s">
        <v>2530</v>
      </c>
      <c r="B1434" s="1219"/>
      <c r="C1434">
        <v>110.58300000000001</v>
      </c>
      <c r="D1434" s="91">
        <v>44882</v>
      </c>
    </row>
    <row r="1435" spans="1:4">
      <c r="A1435" t="s">
        <v>2531</v>
      </c>
      <c r="B1435" s="1219"/>
      <c r="C1435">
        <v>131.75800000000001</v>
      </c>
      <c r="D1435" s="91">
        <v>44882</v>
      </c>
    </row>
    <row r="1436" spans="1:4">
      <c r="A1436" t="s">
        <v>2532</v>
      </c>
      <c r="B1436" s="1219"/>
      <c r="C1436">
        <v>179.65200000000002</v>
      </c>
      <c r="D1436" s="91">
        <v>44882</v>
      </c>
    </row>
    <row r="1437" spans="1:4">
      <c r="A1437" t="s">
        <v>2533</v>
      </c>
      <c r="B1437" s="1219"/>
      <c r="C1437">
        <v>8.0795000000000012</v>
      </c>
      <c r="D1437" s="91">
        <v>44882</v>
      </c>
    </row>
    <row r="1438" spans="1:4">
      <c r="A1438" t="s">
        <v>2534</v>
      </c>
      <c r="B1438" s="1219"/>
      <c r="C1438">
        <v>9.7844999999999995</v>
      </c>
      <c r="D1438" s="91">
        <v>44882</v>
      </c>
    </row>
    <row r="1439" spans="1:4">
      <c r="A1439" t="s">
        <v>2535</v>
      </c>
      <c r="B1439" s="1219"/>
      <c r="C1439">
        <v>11.649000000000001</v>
      </c>
      <c r="D1439" s="91">
        <v>44882</v>
      </c>
    </row>
    <row r="1440" spans="1:4">
      <c r="A1440" t="s">
        <v>2536</v>
      </c>
      <c r="B1440" s="1219"/>
      <c r="C1440">
        <v>14.899500000000002</v>
      </c>
      <c r="D1440" s="91">
        <v>44882</v>
      </c>
    </row>
    <row r="1441" spans="1:4">
      <c r="A1441" t="s">
        <v>2537</v>
      </c>
      <c r="B1441" s="1219"/>
      <c r="C1441">
        <v>22.236500000000003</v>
      </c>
      <c r="D1441" s="91">
        <v>44882</v>
      </c>
    </row>
    <row r="1442" spans="1:4">
      <c r="A1442" t="s">
        <v>2538</v>
      </c>
      <c r="B1442" s="1219"/>
      <c r="C1442">
        <v>28.512000000000004</v>
      </c>
      <c r="D1442" s="91">
        <v>44882</v>
      </c>
    </row>
    <row r="1443" spans="1:4">
      <c r="A1443" t="s">
        <v>2539</v>
      </c>
      <c r="B1443" s="1219"/>
      <c r="C1443">
        <v>101.464</v>
      </c>
      <c r="D1443" s="91">
        <v>44882</v>
      </c>
    </row>
    <row r="1444" spans="1:4">
      <c r="A1444" t="s">
        <v>2540</v>
      </c>
      <c r="B1444" s="1219"/>
      <c r="C1444">
        <v>121.12100000000001</v>
      </c>
      <c r="D1444" s="91">
        <v>44882</v>
      </c>
    </row>
    <row r="1445" spans="1:4">
      <c r="A1445" t="s">
        <v>2541</v>
      </c>
      <c r="B1445" s="1219"/>
      <c r="C1445">
        <v>165.40700000000001</v>
      </c>
      <c r="D1445" s="91">
        <v>44882</v>
      </c>
    </row>
    <row r="1446" spans="1:4">
      <c r="A1446" t="s">
        <v>924</v>
      </c>
      <c r="B1446" s="1219"/>
      <c r="C1446">
        <v>3.9578000000000002</v>
      </c>
      <c r="D1446" s="91">
        <v>44882</v>
      </c>
    </row>
    <row r="1447" spans="1:4">
      <c r="A1447" t="s">
        <v>925</v>
      </c>
      <c r="B1447" s="1219"/>
      <c r="C1447">
        <v>4.2504</v>
      </c>
      <c r="D1447" s="91">
        <v>44882</v>
      </c>
    </row>
    <row r="1448" spans="1:4">
      <c r="A1448" t="s">
        <v>926</v>
      </c>
      <c r="B1448" s="1219"/>
      <c r="C1448">
        <v>5.0743</v>
      </c>
      <c r="D1448" s="91">
        <v>44882</v>
      </c>
    </row>
    <row r="1449" spans="1:4">
      <c r="A1449" t="s">
        <v>928</v>
      </c>
      <c r="B1449" s="1219"/>
      <c r="C1449">
        <v>9.7251000000000012</v>
      </c>
      <c r="D1449" s="91">
        <v>44882</v>
      </c>
    </row>
    <row r="1450" spans="1:4">
      <c r="A1450" t="s">
        <v>929</v>
      </c>
      <c r="B1450" s="1219"/>
      <c r="C1450">
        <v>14.822500000000002</v>
      </c>
      <c r="D1450" s="91">
        <v>44882</v>
      </c>
    </row>
    <row r="1451" spans="1:4">
      <c r="A1451" t="s">
        <v>932</v>
      </c>
      <c r="B1451" s="1219"/>
      <c r="C1451">
        <v>71.502200000000002</v>
      </c>
      <c r="D1451" s="91">
        <v>44882</v>
      </c>
    </row>
    <row r="1452" spans="1:4">
      <c r="A1452" t="s">
        <v>933</v>
      </c>
      <c r="B1452" s="1219"/>
      <c r="C1452">
        <v>93.863000000000028</v>
      </c>
      <c r="D1452" s="91">
        <v>44882</v>
      </c>
    </row>
    <row r="1453" spans="1:4">
      <c r="A1453" t="s">
        <v>903</v>
      </c>
      <c r="B1453" s="1219"/>
      <c r="C1453">
        <v>3.9193000000000002</v>
      </c>
      <c r="D1453" s="91">
        <v>44882</v>
      </c>
    </row>
    <row r="1454" spans="1:4">
      <c r="A1454" t="s">
        <v>905</v>
      </c>
      <c r="B1454" s="1219"/>
      <c r="C1454">
        <v>5.3130000000000006</v>
      </c>
      <c r="D1454" s="91">
        <v>44882</v>
      </c>
    </row>
    <row r="1455" spans="1:4">
      <c r="A1455" t="s">
        <v>907</v>
      </c>
      <c r="B1455" s="1219"/>
      <c r="C1455">
        <v>10.2102</v>
      </c>
      <c r="D1455" s="91">
        <v>44882</v>
      </c>
    </row>
    <row r="1456" spans="1:4">
      <c r="A1456" t="s">
        <v>908</v>
      </c>
      <c r="B1456" s="1219"/>
      <c r="C1456">
        <v>16.108400000000003</v>
      </c>
      <c r="D1456" s="91">
        <v>44882</v>
      </c>
    </row>
    <row r="1457" spans="1:4">
      <c r="A1457" t="s">
        <v>911</v>
      </c>
      <c r="B1457" s="1219"/>
      <c r="C1457">
        <v>77.408100000000005</v>
      </c>
      <c r="D1457" s="91">
        <v>44882</v>
      </c>
    </row>
    <row r="1458" spans="1:4">
      <c r="A1458" t="s">
        <v>912</v>
      </c>
      <c r="B1458" s="1219"/>
      <c r="C1458">
        <v>97.64370000000001</v>
      </c>
      <c r="D1458" s="91">
        <v>44882</v>
      </c>
    </row>
    <row r="1459" spans="1:4">
      <c r="A1459" t="s">
        <v>913</v>
      </c>
      <c r="B1459" s="1219"/>
      <c r="C1459">
        <v>3.6883000000000004</v>
      </c>
      <c r="D1459" s="91">
        <v>44882</v>
      </c>
    </row>
    <row r="1460" spans="1:4">
      <c r="A1460" t="s">
        <v>914</v>
      </c>
      <c r="B1460" s="1219"/>
      <c r="C1460">
        <v>4.1811000000000007</v>
      </c>
      <c r="D1460" s="91">
        <v>44882</v>
      </c>
    </row>
    <row r="1461" spans="1:4">
      <c r="A1461" t="s">
        <v>915</v>
      </c>
      <c r="B1461" s="1219"/>
      <c r="C1461">
        <v>5.2821999999999996</v>
      </c>
      <c r="D1461" s="91">
        <v>44882</v>
      </c>
    </row>
    <row r="1462" spans="1:4">
      <c r="A1462" t="s">
        <v>917</v>
      </c>
      <c r="B1462" s="1219"/>
      <c r="C1462">
        <v>10.2102</v>
      </c>
      <c r="D1462" s="91">
        <v>44882</v>
      </c>
    </row>
    <row r="1463" spans="1:4">
      <c r="A1463" t="s">
        <v>918</v>
      </c>
      <c r="B1463" s="1219"/>
      <c r="C1463">
        <v>15.892800000000001</v>
      </c>
      <c r="D1463" s="91">
        <v>44882</v>
      </c>
    </row>
    <row r="1464" spans="1:4">
      <c r="A1464" t="s">
        <v>921</v>
      </c>
      <c r="B1464" s="1219"/>
      <c r="C1464">
        <v>69.400099999999995</v>
      </c>
      <c r="D1464" s="91">
        <v>44882</v>
      </c>
    </row>
    <row r="1465" spans="1:4">
      <c r="A1465" t="s">
        <v>922</v>
      </c>
      <c r="B1465" s="1219"/>
      <c r="C1465">
        <v>93.986200000000011</v>
      </c>
      <c r="D1465" s="91">
        <v>44882</v>
      </c>
    </row>
    <row r="1466" spans="1:4">
      <c r="A1466" t="s">
        <v>2542</v>
      </c>
      <c r="B1466" s="1219"/>
      <c r="C1466">
        <v>9.6866000000000021</v>
      </c>
      <c r="D1466" s="91">
        <v>44882</v>
      </c>
    </row>
    <row r="1467" spans="1:4">
      <c r="A1467" t="s">
        <v>2543</v>
      </c>
      <c r="B1467" s="1219"/>
      <c r="C1467">
        <v>10.063900000000002</v>
      </c>
      <c r="D1467" s="91">
        <v>44882</v>
      </c>
    </row>
    <row r="1468" spans="1:4">
      <c r="A1468" t="s">
        <v>2544</v>
      </c>
      <c r="B1468" s="1219"/>
      <c r="C1468">
        <v>12.589500000000001</v>
      </c>
      <c r="D1468" s="91">
        <v>44882</v>
      </c>
    </row>
    <row r="1469" spans="1:4">
      <c r="A1469" t="s">
        <v>2545</v>
      </c>
      <c r="B1469" s="1219"/>
      <c r="C1469">
        <v>14.861000000000002</v>
      </c>
      <c r="D1469" s="91">
        <v>44882</v>
      </c>
    </row>
    <row r="1470" spans="1:4">
      <c r="A1470" t="s">
        <v>2546</v>
      </c>
      <c r="B1470" s="1219"/>
      <c r="C1470">
        <v>29.601000000000003</v>
      </c>
      <c r="D1470" s="91">
        <v>44882</v>
      </c>
    </row>
    <row r="1471" spans="1:4">
      <c r="A1471" t="s">
        <v>2547</v>
      </c>
      <c r="B1471" s="1219"/>
      <c r="C1471">
        <v>18.934300000000004</v>
      </c>
      <c r="D1471" s="91">
        <v>44882</v>
      </c>
    </row>
    <row r="1472" spans="1:4">
      <c r="A1472" t="s">
        <v>2548</v>
      </c>
      <c r="B1472" s="1219"/>
      <c r="C1472">
        <v>36.9985</v>
      </c>
      <c r="D1472" s="91">
        <v>44882</v>
      </c>
    </row>
    <row r="1473" spans="1:4">
      <c r="A1473" t="s">
        <v>2549</v>
      </c>
      <c r="B1473" s="1219"/>
      <c r="C1473">
        <v>29.398600000000002</v>
      </c>
      <c r="D1473" s="91">
        <v>44882</v>
      </c>
    </row>
    <row r="1474" spans="1:4">
      <c r="A1474" t="s">
        <v>2550</v>
      </c>
      <c r="B1474" s="1219"/>
      <c r="C1474">
        <v>38.361400000000003</v>
      </c>
      <c r="D1474" s="91">
        <v>44882</v>
      </c>
    </row>
    <row r="1475" spans="1:4">
      <c r="A1475" t="s">
        <v>2551</v>
      </c>
      <c r="B1475" s="1219"/>
      <c r="C1475">
        <v>4.0656000000000008</v>
      </c>
      <c r="D1475" s="91">
        <v>44882</v>
      </c>
    </row>
    <row r="1476" spans="1:4">
      <c r="A1476" t="s">
        <v>2552</v>
      </c>
      <c r="B1476" s="1219"/>
      <c r="C1476">
        <v>4.4813999999999998</v>
      </c>
      <c r="D1476" s="91">
        <v>44882</v>
      </c>
    </row>
    <row r="1477" spans="1:4">
      <c r="A1477" t="s">
        <v>2553</v>
      </c>
      <c r="B1477" s="1219"/>
      <c r="C1477">
        <v>5.3283999999999994</v>
      </c>
      <c r="D1477" s="91">
        <v>44882</v>
      </c>
    </row>
    <row r="1478" spans="1:4">
      <c r="A1478" t="s">
        <v>2554</v>
      </c>
      <c r="B1478" s="1219"/>
      <c r="C1478">
        <v>6.5065</v>
      </c>
      <c r="D1478" s="91">
        <v>44882</v>
      </c>
    </row>
    <row r="1479" spans="1:4">
      <c r="A1479" t="s">
        <v>2555</v>
      </c>
      <c r="B1479" s="1219"/>
      <c r="C1479">
        <v>9.0321000000000016</v>
      </c>
      <c r="D1479" s="91">
        <v>44882</v>
      </c>
    </row>
    <row r="1480" spans="1:4">
      <c r="A1480" t="s">
        <v>2556</v>
      </c>
      <c r="B1480" s="1219"/>
      <c r="C1480">
        <v>14.260399999999999</v>
      </c>
      <c r="D1480" s="91">
        <v>44882</v>
      </c>
    </row>
    <row r="1481" spans="1:4">
      <c r="A1481" t="s">
        <v>2557</v>
      </c>
      <c r="B1481" s="1219"/>
      <c r="C1481">
        <v>51.828700000000012</v>
      </c>
      <c r="D1481" s="91">
        <v>44882</v>
      </c>
    </row>
    <row r="1482" spans="1:4">
      <c r="A1482" t="s">
        <v>2558</v>
      </c>
      <c r="B1482" s="1219"/>
      <c r="C1482">
        <v>65.835000000000008</v>
      </c>
      <c r="D1482" s="91">
        <v>44882</v>
      </c>
    </row>
    <row r="1483" spans="1:4">
      <c r="A1483" t="s">
        <v>2559</v>
      </c>
      <c r="B1483" s="1219"/>
      <c r="C1483">
        <v>88.195800000000006</v>
      </c>
      <c r="D1483" s="91">
        <v>44882</v>
      </c>
    </row>
    <row r="1484" spans="1:4">
      <c r="A1484" t="s">
        <v>2560</v>
      </c>
      <c r="B1484" s="1219"/>
      <c r="C1484">
        <v>17.117100000000001</v>
      </c>
      <c r="D1484" s="91">
        <v>44882</v>
      </c>
    </row>
    <row r="1485" spans="1:4">
      <c r="A1485" t="s">
        <v>2561</v>
      </c>
      <c r="B1485" s="1219"/>
      <c r="C1485">
        <v>18.279800000000002</v>
      </c>
      <c r="D1485" s="91">
        <v>44882</v>
      </c>
    </row>
    <row r="1486" spans="1:4">
      <c r="A1486" t="s">
        <v>1121</v>
      </c>
      <c r="B1486" s="1219"/>
      <c r="C1486">
        <v>17.240300000000001</v>
      </c>
      <c r="D1486" s="91">
        <v>44882</v>
      </c>
    </row>
    <row r="1487" spans="1:4">
      <c r="A1487" t="s">
        <v>2562</v>
      </c>
      <c r="B1487" s="1219"/>
      <c r="C1487">
        <v>18.449200000000001</v>
      </c>
      <c r="D1487" s="91">
        <v>44882</v>
      </c>
    </row>
    <row r="1488" spans="1:4">
      <c r="A1488" t="s">
        <v>2563</v>
      </c>
      <c r="B1488" s="1219"/>
      <c r="C1488">
        <v>14.113000000000001</v>
      </c>
      <c r="D1488" s="91">
        <v>44882</v>
      </c>
    </row>
    <row r="1489" spans="1:4">
      <c r="A1489" t="s">
        <v>1122</v>
      </c>
      <c r="B1489" s="1219"/>
      <c r="C1489">
        <v>21.9604</v>
      </c>
      <c r="D1489" s="91">
        <v>44882</v>
      </c>
    </row>
    <row r="1490" spans="1:4">
      <c r="A1490" t="s">
        <v>2564</v>
      </c>
      <c r="B1490" s="1219"/>
      <c r="C1490">
        <v>25.879700000000003</v>
      </c>
      <c r="D1490" s="91">
        <v>44882</v>
      </c>
    </row>
    <row r="1491" spans="1:4">
      <c r="A1491" t="s">
        <v>1123</v>
      </c>
      <c r="B1491" s="1219"/>
      <c r="C1491">
        <v>30.569000000000006</v>
      </c>
      <c r="D1491" s="91">
        <v>44882</v>
      </c>
    </row>
    <row r="1492" spans="1:4">
      <c r="A1492" t="s">
        <v>1124</v>
      </c>
      <c r="B1492" s="1219"/>
      <c r="C1492">
        <v>37.568300000000001</v>
      </c>
      <c r="D1492" s="91">
        <v>44882</v>
      </c>
    </row>
    <row r="1493" spans="1:4">
      <c r="A1493" t="s">
        <v>1125</v>
      </c>
      <c r="B1493" s="1219"/>
      <c r="C1493">
        <v>59.621100000000013</v>
      </c>
      <c r="D1493" s="91">
        <v>44882</v>
      </c>
    </row>
    <row r="1494" spans="1:4">
      <c r="A1494" t="s">
        <v>1126</v>
      </c>
      <c r="B1494" s="1219"/>
      <c r="C1494">
        <v>81.535300000000007</v>
      </c>
      <c r="D1494" s="91">
        <v>44882</v>
      </c>
    </row>
    <row r="1495" spans="1:4">
      <c r="A1495" t="s">
        <v>2565</v>
      </c>
      <c r="B1495" s="1219"/>
      <c r="C1495">
        <v>1.4740000000000002</v>
      </c>
      <c r="D1495" s="91">
        <v>44882</v>
      </c>
    </row>
    <row r="1496" spans="1:4">
      <c r="A1496" t="s">
        <v>2566</v>
      </c>
      <c r="B1496" s="1219"/>
      <c r="C1496">
        <v>2.1230000000000002</v>
      </c>
      <c r="D1496" s="91">
        <v>44882</v>
      </c>
    </row>
    <row r="1497" spans="1:4">
      <c r="A1497" t="s">
        <v>893</v>
      </c>
      <c r="B1497" s="1219"/>
      <c r="C1497">
        <v>2.1406000000000001</v>
      </c>
      <c r="D1497" s="91">
        <v>44882</v>
      </c>
    </row>
    <row r="1498" spans="1:4">
      <c r="A1498" t="s">
        <v>894</v>
      </c>
      <c r="B1498" s="1219"/>
      <c r="C1498">
        <v>2.4178000000000002</v>
      </c>
      <c r="D1498" s="91">
        <v>44882</v>
      </c>
    </row>
    <row r="1499" spans="1:4">
      <c r="A1499" t="s">
        <v>895</v>
      </c>
      <c r="B1499" s="1219"/>
      <c r="C1499">
        <v>2.8490000000000002</v>
      </c>
      <c r="D1499" s="91">
        <v>44882</v>
      </c>
    </row>
    <row r="1500" spans="1:4">
      <c r="A1500" t="s">
        <v>896</v>
      </c>
      <c r="B1500" s="1219"/>
      <c r="C1500">
        <v>0.11000000000000001</v>
      </c>
      <c r="D1500" s="91">
        <v>44882</v>
      </c>
    </row>
    <row r="1501" spans="1:4">
      <c r="A1501" t="s">
        <v>897</v>
      </c>
      <c r="B1501" s="1219"/>
      <c r="C1501">
        <v>4.7124000000000015</v>
      </c>
      <c r="D1501" s="91">
        <v>44882</v>
      </c>
    </row>
    <row r="1502" spans="1:4">
      <c r="A1502" t="s">
        <v>898</v>
      </c>
      <c r="B1502" s="1219"/>
      <c r="C1502">
        <v>6.0830000000000011</v>
      </c>
      <c r="D1502" s="91">
        <v>44882</v>
      </c>
    </row>
    <row r="1503" spans="1:4">
      <c r="A1503" t="s">
        <v>899</v>
      </c>
      <c r="B1503" s="1219"/>
      <c r="C1503">
        <v>7.3073000000000015</v>
      </c>
      <c r="D1503" s="91">
        <v>44882</v>
      </c>
    </row>
    <row r="1504" spans="1:4">
      <c r="A1504" t="s">
        <v>901</v>
      </c>
      <c r="B1504" s="1219"/>
      <c r="C1504">
        <v>37.137099999999997</v>
      </c>
      <c r="D1504" s="91">
        <v>44882</v>
      </c>
    </row>
    <row r="1505" spans="1:4">
      <c r="A1505" t="s">
        <v>902</v>
      </c>
      <c r="B1505" s="1219"/>
      <c r="C1505">
        <v>45.483900000000006</v>
      </c>
      <c r="D1505" s="91">
        <v>44882</v>
      </c>
    </row>
    <row r="1506" spans="1:4">
      <c r="A1506" t="s">
        <v>2567</v>
      </c>
      <c r="B1506" s="1219"/>
      <c r="C1506">
        <v>6.9839000000000011</v>
      </c>
      <c r="D1506" s="91">
        <v>44882</v>
      </c>
    </row>
    <row r="1507" spans="1:4">
      <c r="A1507" t="s">
        <v>2568</v>
      </c>
      <c r="B1507" s="1219"/>
      <c r="C1507">
        <v>7.0763000000000007</v>
      </c>
      <c r="D1507" s="91">
        <v>44882</v>
      </c>
    </row>
    <row r="1508" spans="1:4">
      <c r="A1508" t="s">
        <v>2569</v>
      </c>
      <c r="B1508" s="1219"/>
      <c r="C1508">
        <v>7.1841000000000008</v>
      </c>
      <c r="D1508" s="91">
        <v>44882</v>
      </c>
    </row>
    <row r="1509" spans="1:4">
      <c r="A1509" t="s">
        <v>2570</v>
      </c>
      <c r="B1509" s="1219"/>
      <c r="C1509">
        <v>7.3073000000000015</v>
      </c>
      <c r="D1509" s="91">
        <v>44882</v>
      </c>
    </row>
    <row r="1510" spans="1:4">
      <c r="A1510" t="s">
        <v>2571</v>
      </c>
      <c r="B1510" s="1219"/>
      <c r="C1510">
        <v>10.926300000000001</v>
      </c>
      <c r="D1510" s="91">
        <v>44882</v>
      </c>
    </row>
    <row r="1511" spans="1:4">
      <c r="A1511" t="s">
        <v>2572</v>
      </c>
      <c r="B1511" s="1219"/>
      <c r="C1511">
        <v>11.711700000000004</v>
      </c>
      <c r="D1511" s="91">
        <v>44882</v>
      </c>
    </row>
    <row r="1512" spans="1:4">
      <c r="A1512" t="s">
        <v>2573</v>
      </c>
      <c r="B1512" s="1219"/>
      <c r="C1512">
        <v>13.013</v>
      </c>
      <c r="D1512" s="91">
        <v>44882</v>
      </c>
    </row>
    <row r="1513" spans="1:4">
      <c r="A1513" t="s">
        <v>2574</v>
      </c>
      <c r="B1513" s="1219"/>
      <c r="C1513">
        <v>76.299300000000002</v>
      </c>
      <c r="D1513" s="91">
        <v>44882</v>
      </c>
    </row>
    <row r="1514" spans="1:4">
      <c r="A1514" t="s">
        <v>2575</v>
      </c>
      <c r="B1514" s="1219"/>
      <c r="C1514">
        <v>87.302600000000012</v>
      </c>
      <c r="D1514" s="91">
        <v>44882</v>
      </c>
    </row>
    <row r="1515" spans="1:4">
      <c r="A1515" t="s">
        <v>2576</v>
      </c>
      <c r="B1515" s="1219"/>
      <c r="C1515">
        <v>98.975800000000007</v>
      </c>
      <c r="D1515" s="91">
        <v>44882</v>
      </c>
    </row>
    <row r="1516" spans="1:4">
      <c r="A1516" t="s">
        <v>2577</v>
      </c>
      <c r="B1516" s="1219"/>
      <c r="C1516">
        <v>5.8597000000000001</v>
      </c>
      <c r="D1516" s="91">
        <v>44882</v>
      </c>
    </row>
    <row r="1517" spans="1:4">
      <c r="A1517" t="s">
        <v>997</v>
      </c>
      <c r="B1517" s="1219"/>
      <c r="C1517">
        <v>9.6866000000000021</v>
      </c>
      <c r="D1517" s="91">
        <v>44882</v>
      </c>
    </row>
    <row r="1518" spans="1:4">
      <c r="A1518" t="s">
        <v>2578</v>
      </c>
      <c r="B1518" s="1219"/>
      <c r="C1518">
        <v>7.6461000000000015</v>
      </c>
      <c r="D1518" s="91">
        <v>44882</v>
      </c>
    </row>
    <row r="1519" spans="1:4">
      <c r="A1519" t="s">
        <v>2579</v>
      </c>
      <c r="B1519" s="1219"/>
      <c r="C1519">
        <v>5.5671000000000008</v>
      </c>
      <c r="D1519" s="91">
        <v>44882</v>
      </c>
    </row>
    <row r="1520" spans="1:4">
      <c r="A1520" t="s">
        <v>1009</v>
      </c>
      <c r="B1520" s="1219"/>
      <c r="C1520">
        <v>6.2293000000000012</v>
      </c>
      <c r="D1520" s="91">
        <v>44882</v>
      </c>
    </row>
    <row r="1521" spans="1:4">
      <c r="A1521" t="s">
        <v>2580</v>
      </c>
      <c r="B1521" s="1219"/>
      <c r="C1521">
        <v>6.6758999999999995</v>
      </c>
      <c r="D1521" s="91">
        <v>44882</v>
      </c>
    </row>
    <row r="1522" spans="1:4">
      <c r="A1522" t="s">
        <v>2581</v>
      </c>
      <c r="B1522" s="1219"/>
      <c r="C1522">
        <v>6.7221000000000011</v>
      </c>
      <c r="D1522" s="91">
        <v>44882</v>
      </c>
    </row>
    <row r="1523" spans="1:4">
      <c r="A1523" t="s">
        <v>998</v>
      </c>
      <c r="B1523" s="1219"/>
      <c r="C1523">
        <v>6.1270000000000007</v>
      </c>
      <c r="D1523" s="91">
        <v>44882</v>
      </c>
    </row>
    <row r="1524" spans="1:4">
      <c r="A1524" t="s">
        <v>2582</v>
      </c>
      <c r="B1524" s="1219"/>
      <c r="C1524">
        <v>7.7847000000000008</v>
      </c>
      <c r="D1524" s="91">
        <v>44882</v>
      </c>
    </row>
    <row r="1525" spans="1:4">
      <c r="A1525" t="s">
        <v>2583</v>
      </c>
      <c r="B1525" s="1219"/>
      <c r="C1525">
        <v>6.5758000000000001</v>
      </c>
      <c r="D1525" s="91">
        <v>44882</v>
      </c>
    </row>
    <row r="1526" spans="1:4">
      <c r="A1526" t="s">
        <v>1010</v>
      </c>
      <c r="B1526" s="1219"/>
      <c r="C1526">
        <v>7.9464000000000006</v>
      </c>
      <c r="D1526" s="91">
        <v>44882</v>
      </c>
    </row>
    <row r="1527" spans="1:4">
      <c r="A1527" t="s">
        <v>2584</v>
      </c>
      <c r="B1527" s="1219"/>
      <c r="C1527">
        <v>7.1379000000000001</v>
      </c>
      <c r="D1527" s="91">
        <v>44882</v>
      </c>
    </row>
    <row r="1528" spans="1:4">
      <c r="A1528" t="s">
        <v>2585</v>
      </c>
      <c r="B1528" s="1219"/>
      <c r="C1528">
        <v>9.3478000000000012</v>
      </c>
      <c r="D1528" s="91">
        <v>44882</v>
      </c>
    </row>
    <row r="1529" spans="1:4">
      <c r="A1529" t="s">
        <v>999</v>
      </c>
      <c r="B1529" s="1219"/>
      <c r="C1529">
        <v>7.438200000000001</v>
      </c>
      <c r="D1529" s="91">
        <v>44882</v>
      </c>
    </row>
    <row r="1530" spans="1:4">
      <c r="A1530" t="s">
        <v>2586</v>
      </c>
      <c r="B1530" s="1219"/>
      <c r="C1530">
        <v>15.515500000000001</v>
      </c>
      <c r="D1530" s="91">
        <v>44882</v>
      </c>
    </row>
    <row r="1531" spans="1:4">
      <c r="A1531" t="s">
        <v>2587</v>
      </c>
      <c r="B1531" s="1219"/>
      <c r="C1531">
        <v>7.8386000000000005</v>
      </c>
      <c r="D1531" s="91">
        <v>44882</v>
      </c>
    </row>
    <row r="1532" spans="1:4">
      <c r="A1532" t="s">
        <v>2588</v>
      </c>
      <c r="B1532" s="1219"/>
      <c r="C1532">
        <v>10.872400000000001</v>
      </c>
      <c r="D1532" s="91">
        <v>44882</v>
      </c>
    </row>
    <row r="1533" spans="1:4">
      <c r="A1533" t="s">
        <v>2589</v>
      </c>
      <c r="B1533" s="1219"/>
      <c r="C1533">
        <v>15.983000000000001</v>
      </c>
      <c r="D1533" s="91">
        <v>44882</v>
      </c>
    </row>
    <row r="1534" spans="1:4">
      <c r="A1534" t="s">
        <v>1129</v>
      </c>
      <c r="B1534" s="1219"/>
      <c r="C1534">
        <v>11.1265</v>
      </c>
      <c r="D1534" s="91">
        <v>44882</v>
      </c>
    </row>
    <row r="1535" spans="1:4">
      <c r="A1535" t="s">
        <v>2590</v>
      </c>
      <c r="B1535" s="1219"/>
      <c r="C1535">
        <v>5.8960000000000008</v>
      </c>
      <c r="D1535" s="91">
        <v>44882</v>
      </c>
    </row>
    <row r="1536" spans="1:4">
      <c r="A1536" t="s">
        <v>2591</v>
      </c>
      <c r="B1536" s="1219"/>
      <c r="C1536">
        <v>12.4894</v>
      </c>
      <c r="D1536" s="91">
        <v>44882</v>
      </c>
    </row>
    <row r="1537" spans="1:4">
      <c r="A1537" t="s">
        <v>1130</v>
      </c>
      <c r="B1537" s="1219"/>
      <c r="C1537">
        <v>12.3508</v>
      </c>
      <c r="D1537" s="91">
        <v>44882</v>
      </c>
    </row>
    <row r="1538" spans="1:4">
      <c r="A1538" t="s">
        <v>2592</v>
      </c>
      <c r="B1538" s="1219"/>
      <c r="C1538">
        <v>10.610600000000002</v>
      </c>
      <c r="D1538" s="91">
        <v>44882</v>
      </c>
    </row>
    <row r="1539" spans="1:4">
      <c r="A1539" t="s">
        <v>1011</v>
      </c>
      <c r="B1539" s="1219"/>
      <c r="C1539">
        <v>12.797400000000001</v>
      </c>
      <c r="D1539" s="91">
        <v>44882</v>
      </c>
    </row>
    <row r="1540" spans="1:4">
      <c r="A1540" t="s">
        <v>2593</v>
      </c>
      <c r="B1540" s="1219"/>
      <c r="C1540">
        <v>22.55</v>
      </c>
      <c r="D1540" s="91">
        <v>44882</v>
      </c>
    </row>
    <row r="1541" spans="1:4">
      <c r="A1541" t="s">
        <v>2594</v>
      </c>
      <c r="B1541" s="1219"/>
      <c r="C1541">
        <v>16.886099999999999</v>
      </c>
      <c r="D1541" s="91">
        <v>44882</v>
      </c>
    </row>
    <row r="1542" spans="1:4">
      <c r="A1542" t="s">
        <v>1001</v>
      </c>
      <c r="B1542" s="1219"/>
      <c r="C1542">
        <v>26.103000000000002</v>
      </c>
      <c r="D1542" s="91">
        <v>44882</v>
      </c>
    </row>
    <row r="1543" spans="1:4">
      <c r="A1543" t="s">
        <v>1131</v>
      </c>
      <c r="B1543" s="1219"/>
      <c r="C1543">
        <v>17.694600000000001</v>
      </c>
      <c r="D1543" s="91">
        <v>44882</v>
      </c>
    </row>
    <row r="1544" spans="1:4">
      <c r="A1544" t="s">
        <v>2595</v>
      </c>
      <c r="B1544" s="1219"/>
      <c r="C1544">
        <v>15.862000000000004</v>
      </c>
      <c r="D1544" s="91">
        <v>44882</v>
      </c>
    </row>
    <row r="1545" spans="1:4">
      <c r="A1545" t="s">
        <v>1012</v>
      </c>
      <c r="B1545" s="1219"/>
      <c r="C1545">
        <v>18.302900000000001</v>
      </c>
      <c r="D1545" s="91">
        <v>44882</v>
      </c>
    </row>
    <row r="1546" spans="1:4">
      <c r="A1546" t="s">
        <v>2596</v>
      </c>
      <c r="B1546" s="1219"/>
      <c r="C1546">
        <v>14.799400000000002</v>
      </c>
      <c r="D1546" s="91">
        <v>44882</v>
      </c>
    </row>
    <row r="1547" spans="1:4">
      <c r="A1547" t="s">
        <v>1002</v>
      </c>
      <c r="B1547" s="1219"/>
      <c r="C1547">
        <v>18.087299999999999</v>
      </c>
      <c r="D1547" s="91">
        <v>44882</v>
      </c>
    </row>
    <row r="1548" spans="1:4">
      <c r="A1548" t="s">
        <v>1013</v>
      </c>
      <c r="B1548" s="1219"/>
      <c r="C1548">
        <v>23.692900000000005</v>
      </c>
      <c r="D1548" s="91">
        <v>44882</v>
      </c>
    </row>
    <row r="1549" spans="1:4">
      <c r="A1549" t="s">
        <v>2597</v>
      </c>
      <c r="B1549" s="1219"/>
      <c r="C1549">
        <v>18.603200000000001</v>
      </c>
      <c r="D1549" s="91">
        <v>44882</v>
      </c>
    </row>
    <row r="1550" spans="1:4">
      <c r="A1550" t="s">
        <v>1004</v>
      </c>
      <c r="B1550" s="1219"/>
      <c r="C1550">
        <v>63.147700000000007</v>
      </c>
      <c r="D1550" s="91">
        <v>44882</v>
      </c>
    </row>
    <row r="1551" spans="1:4">
      <c r="A1551" t="s">
        <v>2598</v>
      </c>
      <c r="B1551" s="1219"/>
      <c r="C1551">
        <v>31.9055</v>
      </c>
      <c r="D1551" s="91">
        <v>44882</v>
      </c>
    </row>
    <row r="1552" spans="1:4">
      <c r="A1552" t="s">
        <v>1005</v>
      </c>
      <c r="B1552" s="1219"/>
      <c r="C1552">
        <v>94.933300000000003</v>
      </c>
      <c r="D1552" s="91">
        <v>44882</v>
      </c>
    </row>
    <row r="1553" spans="1:4">
      <c r="A1553" t="s">
        <v>1006</v>
      </c>
      <c r="B1553" s="1219"/>
      <c r="C1553">
        <v>147.994</v>
      </c>
      <c r="D1553" s="91">
        <v>44882</v>
      </c>
    </row>
    <row r="1554" spans="1:4">
      <c r="A1554" t="s">
        <v>2599</v>
      </c>
      <c r="B1554" s="1219"/>
      <c r="C1554">
        <v>2.9183000000000003</v>
      </c>
      <c r="D1554" s="91">
        <v>44882</v>
      </c>
    </row>
    <row r="1555" spans="1:4">
      <c r="A1555" t="s">
        <v>2600</v>
      </c>
      <c r="B1555" s="1219"/>
      <c r="C1555">
        <v>3.2417000000000002</v>
      </c>
      <c r="D1555" s="91">
        <v>44882</v>
      </c>
    </row>
    <row r="1556" spans="1:4">
      <c r="A1556" t="s">
        <v>2601</v>
      </c>
      <c r="B1556" s="1219"/>
      <c r="C1556">
        <v>3.2801999999999998</v>
      </c>
      <c r="D1556" s="91">
        <v>44882</v>
      </c>
    </row>
    <row r="1557" spans="1:4">
      <c r="A1557" t="s">
        <v>2602</v>
      </c>
      <c r="B1557" s="1219"/>
      <c r="C1557">
        <v>5.2745000000000006</v>
      </c>
      <c r="D1557" s="91">
        <v>44882</v>
      </c>
    </row>
    <row r="1558" spans="1:4">
      <c r="A1558" t="s">
        <v>936</v>
      </c>
      <c r="B1558" s="1219"/>
      <c r="C1558">
        <v>5.2745000000000006</v>
      </c>
      <c r="D1558" s="91">
        <v>44882</v>
      </c>
    </row>
    <row r="1559" spans="1:4">
      <c r="A1559" t="s">
        <v>2603</v>
      </c>
      <c r="B1559" s="1219"/>
      <c r="C1559">
        <v>4.4660000000000002</v>
      </c>
      <c r="D1559" s="91">
        <v>44882</v>
      </c>
    </row>
    <row r="1560" spans="1:4">
      <c r="A1560" t="s">
        <v>2604</v>
      </c>
      <c r="B1560" s="1219"/>
      <c r="C1560">
        <v>11.4884</v>
      </c>
      <c r="D1560" s="91">
        <v>44882</v>
      </c>
    </row>
    <row r="1561" spans="1:4">
      <c r="A1561" t="s">
        <v>2605</v>
      </c>
      <c r="B1561" s="1219"/>
      <c r="C1561">
        <v>8.8010999999999999</v>
      </c>
      <c r="D1561" s="91">
        <v>44882</v>
      </c>
    </row>
    <row r="1562" spans="1:4">
      <c r="A1562" t="s">
        <v>2606</v>
      </c>
      <c r="B1562" s="1219"/>
      <c r="C1562">
        <v>5.8289</v>
      </c>
      <c r="D1562" s="91">
        <v>44882</v>
      </c>
    </row>
    <row r="1563" spans="1:4">
      <c r="A1563" t="s">
        <v>2607</v>
      </c>
      <c r="B1563" s="1219"/>
      <c r="C1563">
        <v>5.9829000000000008</v>
      </c>
      <c r="D1563" s="91">
        <v>44882</v>
      </c>
    </row>
    <row r="1564" spans="1:4">
      <c r="A1564" t="s">
        <v>2608</v>
      </c>
      <c r="B1564" s="1219"/>
      <c r="C1564">
        <v>11.4114</v>
      </c>
      <c r="D1564" s="91">
        <v>44882</v>
      </c>
    </row>
    <row r="1565" spans="1:4">
      <c r="A1565" t="s">
        <v>2609</v>
      </c>
      <c r="B1565" s="1219"/>
      <c r="C1565">
        <v>11.3575</v>
      </c>
      <c r="D1565" s="91">
        <v>44882</v>
      </c>
    </row>
    <row r="1566" spans="1:4">
      <c r="A1566" t="s">
        <v>938</v>
      </c>
      <c r="B1566" s="1219"/>
      <c r="C1566">
        <v>9.7713000000000001</v>
      </c>
      <c r="D1566" s="91">
        <v>44882</v>
      </c>
    </row>
    <row r="1567" spans="1:4">
      <c r="A1567" t="s">
        <v>2610</v>
      </c>
      <c r="B1567" s="1219"/>
      <c r="C1567">
        <v>12.6335</v>
      </c>
      <c r="D1567" s="91">
        <v>44882</v>
      </c>
    </row>
    <row r="1568" spans="1:4">
      <c r="A1568" t="s">
        <v>2611</v>
      </c>
      <c r="B1568" s="1219"/>
      <c r="C1568">
        <v>17.632999999999999</v>
      </c>
      <c r="D1568" s="91">
        <v>44882</v>
      </c>
    </row>
    <row r="1569" spans="1:4">
      <c r="A1569" t="s">
        <v>2612</v>
      </c>
      <c r="B1569" s="1219"/>
      <c r="C1569">
        <v>14.568400000000002</v>
      </c>
      <c r="D1569" s="91">
        <v>44882</v>
      </c>
    </row>
    <row r="1570" spans="1:4">
      <c r="A1570" t="s">
        <v>2613</v>
      </c>
      <c r="B1570" s="1219"/>
      <c r="C1570">
        <v>12.812800000000001</v>
      </c>
      <c r="D1570" s="91">
        <v>44882</v>
      </c>
    </row>
    <row r="1571" spans="1:4">
      <c r="A1571" t="s">
        <v>2614</v>
      </c>
      <c r="B1571" s="1219"/>
      <c r="C1571">
        <v>13.0746</v>
      </c>
      <c r="D1571" s="91">
        <v>44882</v>
      </c>
    </row>
    <row r="1572" spans="1:4">
      <c r="A1572" t="s">
        <v>939</v>
      </c>
      <c r="B1572" s="1219"/>
      <c r="C1572">
        <v>8.9781999999999993</v>
      </c>
      <c r="D1572" s="91">
        <v>44882</v>
      </c>
    </row>
    <row r="1573" spans="1:4">
      <c r="A1573" t="s">
        <v>2615</v>
      </c>
      <c r="B1573" s="1219"/>
      <c r="C1573">
        <v>31.916500000000003</v>
      </c>
      <c r="D1573" s="91">
        <v>44882</v>
      </c>
    </row>
    <row r="1574" spans="1:4">
      <c r="A1574" t="s">
        <v>2616</v>
      </c>
      <c r="B1574" s="1219"/>
      <c r="C1574">
        <v>37.984100000000005</v>
      </c>
      <c r="D1574" s="91">
        <v>44882</v>
      </c>
    </row>
    <row r="1575" spans="1:4">
      <c r="A1575" t="s">
        <v>2617</v>
      </c>
      <c r="B1575" s="1219"/>
      <c r="C1575">
        <v>51.828700000000012</v>
      </c>
      <c r="D1575" s="91">
        <v>44882</v>
      </c>
    </row>
    <row r="1576" spans="1:4">
      <c r="A1576" t="s">
        <v>2618</v>
      </c>
      <c r="B1576" s="1219"/>
      <c r="C1576">
        <v>44.259599999999999</v>
      </c>
      <c r="D1576" s="91">
        <v>44882</v>
      </c>
    </row>
    <row r="1577" spans="1:4">
      <c r="A1577" t="s">
        <v>942</v>
      </c>
      <c r="B1577" s="1219"/>
      <c r="C1577">
        <v>57.180200000000006</v>
      </c>
      <c r="D1577" s="91">
        <v>44882</v>
      </c>
    </row>
    <row r="1578" spans="1:4">
      <c r="A1578" t="s">
        <v>2619</v>
      </c>
      <c r="B1578" s="1219"/>
      <c r="C1578">
        <v>59.105200000000004</v>
      </c>
      <c r="D1578" s="91">
        <v>44882</v>
      </c>
    </row>
    <row r="1579" spans="1:4">
      <c r="A1579" t="s">
        <v>689</v>
      </c>
      <c r="B1579" s="1219"/>
      <c r="C1579">
        <v>5.9475900000000008</v>
      </c>
      <c r="D1579" s="91">
        <v>44882</v>
      </c>
    </row>
    <row r="1580" spans="1:4">
      <c r="A1580" t="s">
        <v>686</v>
      </c>
      <c r="B1580" s="1219"/>
      <c r="C1580">
        <v>7.1379000000000001</v>
      </c>
      <c r="D1580" s="91">
        <v>44882</v>
      </c>
    </row>
    <row r="1581" spans="1:4">
      <c r="A1581" t="s">
        <v>684</v>
      </c>
      <c r="B1581" s="1219"/>
      <c r="C1581">
        <v>7.8771000000000004</v>
      </c>
      <c r="D1581" s="91">
        <v>44882</v>
      </c>
    </row>
    <row r="1582" spans="1:4">
      <c r="A1582" t="s">
        <v>682</v>
      </c>
      <c r="B1582" s="1219"/>
      <c r="C1582">
        <v>9.4633000000000003</v>
      </c>
      <c r="D1582" s="91">
        <v>44882</v>
      </c>
    </row>
    <row r="1583" spans="1:4">
      <c r="A1583" t="s">
        <v>680</v>
      </c>
      <c r="B1583" s="1219"/>
      <c r="C1583">
        <v>12.150600000000001</v>
      </c>
      <c r="D1583" s="91">
        <v>44882</v>
      </c>
    </row>
    <row r="1584" spans="1:4">
      <c r="A1584" t="s">
        <v>678</v>
      </c>
      <c r="B1584" s="1219"/>
      <c r="C1584">
        <v>15.314860000000003</v>
      </c>
      <c r="D1584" s="91">
        <v>44882</v>
      </c>
    </row>
    <row r="1585" spans="1:4">
      <c r="A1585" t="s">
        <v>672</v>
      </c>
      <c r="B1585" s="1219"/>
      <c r="C1585">
        <v>93.639700000000005</v>
      </c>
      <c r="D1585" s="91">
        <v>44882</v>
      </c>
    </row>
    <row r="1586" spans="1:4">
      <c r="A1586" t="s">
        <v>943</v>
      </c>
      <c r="B1586" s="1219"/>
      <c r="C1586">
        <v>115.22279999999999</v>
      </c>
      <c r="D1586" s="91">
        <v>44882</v>
      </c>
    </row>
    <row r="1587" spans="1:4">
      <c r="A1587" t="s">
        <v>954</v>
      </c>
      <c r="B1587" s="1219"/>
      <c r="C1587">
        <v>6.9377000000000004</v>
      </c>
      <c r="D1587" s="91">
        <v>44882</v>
      </c>
    </row>
    <row r="1588" spans="1:4">
      <c r="A1588" t="s">
        <v>955</v>
      </c>
      <c r="B1588" s="1219"/>
      <c r="C1588">
        <v>7.0301000000000009</v>
      </c>
      <c r="D1588" s="91">
        <v>44882</v>
      </c>
    </row>
    <row r="1589" spans="1:4">
      <c r="A1589" t="s">
        <v>965</v>
      </c>
      <c r="B1589" s="1219"/>
      <c r="C1589">
        <v>7.6461000000000015</v>
      </c>
      <c r="D1589" s="91">
        <v>44882</v>
      </c>
    </row>
    <row r="1590" spans="1:4">
      <c r="A1590" t="s">
        <v>956</v>
      </c>
      <c r="B1590" s="1219"/>
      <c r="C1590">
        <v>8.5393000000000008</v>
      </c>
      <c r="D1590" s="91">
        <v>44882</v>
      </c>
    </row>
    <row r="1591" spans="1:4">
      <c r="A1591" t="s">
        <v>966</v>
      </c>
      <c r="B1591" s="1219"/>
      <c r="C1591">
        <v>9.2630999999999997</v>
      </c>
      <c r="D1591" s="91">
        <v>44882</v>
      </c>
    </row>
    <row r="1592" spans="1:4">
      <c r="A1592" t="s">
        <v>957</v>
      </c>
      <c r="B1592" s="1219"/>
      <c r="C1592">
        <v>9.9021999999999988</v>
      </c>
      <c r="D1592" s="91">
        <v>44882</v>
      </c>
    </row>
    <row r="1593" spans="1:4">
      <c r="A1593" t="s">
        <v>967</v>
      </c>
      <c r="B1593" s="1219"/>
      <c r="C1593">
        <v>10.626000000000001</v>
      </c>
      <c r="D1593" s="91">
        <v>44882</v>
      </c>
    </row>
    <row r="1594" spans="1:4">
      <c r="A1594" t="s">
        <v>2620</v>
      </c>
      <c r="B1594" s="1219"/>
      <c r="C1594">
        <v>11.711700000000004</v>
      </c>
      <c r="D1594" s="91">
        <v>44882</v>
      </c>
    </row>
    <row r="1595" spans="1:4">
      <c r="A1595" t="s">
        <v>958</v>
      </c>
      <c r="B1595" s="1219"/>
      <c r="C1595">
        <v>10.987900000000002</v>
      </c>
      <c r="D1595" s="91">
        <v>44882</v>
      </c>
    </row>
    <row r="1596" spans="1:4">
      <c r="A1596" t="s">
        <v>2621</v>
      </c>
      <c r="B1596" s="1219"/>
      <c r="C1596">
        <v>12.989900000000002</v>
      </c>
      <c r="D1596" s="91">
        <v>44882</v>
      </c>
    </row>
    <row r="1597" spans="1:4">
      <c r="A1597" t="s">
        <v>968</v>
      </c>
      <c r="B1597" s="1219"/>
      <c r="C1597">
        <v>13.721400000000001</v>
      </c>
      <c r="D1597" s="91">
        <v>44882</v>
      </c>
    </row>
    <row r="1598" spans="1:4">
      <c r="A1598" t="s">
        <v>959</v>
      </c>
      <c r="B1598" s="1219"/>
      <c r="C1598">
        <v>12.928300000000002</v>
      </c>
      <c r="D1598" s="91">
        <v>44882</v>
      </c>
    </row>
    <row r="1599" spans="1:4">
      <c r="A1599" t="s">
        <v>2622</v>
      </c>
      <c r="B1599" s="1219"/>
      <c r="C1599">
        <v>14.691599999999999</v>
      </c>
      <c r="D1599" s="91">
        <v>44882</v>
      </c>
    </row>
    <row r="1600" spans="1:4">
      <c r="A1600" t="s">
        <v>969</v>
      </c>
      <c r="B1600" s="1219"/>
      <c r="C1600">
        <v>15.600200000000005</v>
      </c>
      <c r="D1600" s="91">
        <v>44882</v>
      </c>
    </row>
    <row r="1601" spans="1:4">
      <c r="A1601" t="s">
        <v>2623</v>
      </c>
      <c r="B1601" s="1219"/>
      <c r="C1601">
        <v>18.318300000000001</v>
      </c>
      <c r="D1601" s="91">
        <v>44882</v>
      </c>
    </row>
    <row r="1602" spans="1:4">
      <c r="A1602" t="s">
        <v>970</v>
      </c>
      <c r="B1602" s="1219"/>
      <c r="C1602">
        <v>31.508400000000002</v>
      </c>
      <c r="D1602" s="91">
        <v>44882</v>
      </c>
    </row>
    <row r="1603" spans="1:4">
      <c r="A1603" t="s">
        <v>2624</v>
      </c>
      <c r="B1603" s="1219"/>
      <c r="C1603">
        <v>151.33250000000001</v>
      </c>
      <c r="D1603" s="91">
        <v>44882</v>
      </c>
    </row>
    <row r="1604" spans="1:4">
      <c r="A1604" t="s">
        <v>971</v>
      </c>
      <c r="B1604" s="1219"/>
      <c r="C1604">
        <v>90.42110000000001</v>
      </c>
      <c r="D1604" s="91">
        <v>44882</v>
      </c>
    </row>
    <row r="1605" spans="1:4">
      <c r="A1605" t="s">
        <v>962</v>
      </c>
      <c r="B1605" s="1219"/>
      <c r="C1605">
        <v>88.388300000000015</v>
      </c>
      <c r="D1605" s="91">
        <v>44882</v>
      </c>
    </row>
    <row r="1606" spans="1:4">
      <c r="A1606" t="s">
        <v>972</v>
      </c>
      <c r="B1606" s="1219"/>
      <c r="C1606">
        <v>101.12410000000003</v>
      </c>
      <c r="D1606" s="91">
        <v>44882</v>
      </c>
    </row>
    <row r="1607" spans="1:4">
      <c r="A1607" t="s">
        <v>963</v>
      </c>
      <c r="B1607" s="1219"/>
      <c r="C1607">
        <v>104.41199999999999</v>
      </c>
      <c r="D1607" s="91">
        <v>44882</v>
      </c>
    </row>
    <row r="1608" spans="1:4">
      <c r="A1608" t="s">
        <v>973</v>
      </c>
      <c r="B1608" s="1219"/>
      <c r="C1608">
        <v>112.4508</v>
      </c>
      <c r="D1608" s="91">
        <v>44882</v>
      </c>
    </row>
    <row r="1609" spans="1:4">
      <c r="A1609" t="s">
        <v>2625</v>
      </c>
      <c r="B1609" s="1219"/>
      <c r="C1609">
        <v>6.4295</v>
      </c>
      <c r="D1609" s="91">
        <v>44882</v>
      </c>
    </row>
    <row r="1610" spans="1:4">
      <c r="A1610" t="s">
        <v>2626</v>
      </c>
      <c r="B1610" s="1219"/>
      <c r="C1610">
        <v>6.9069000000000003</v>
      </c>
      <c r="D1610" s="91">
        <v>44882</v>
      </c>
    </row>
    <row r="1611" spans="1:4">
      <c r="A1611" t="s">
        <v>945</v>
      </c>
      <c r="B1611" s="1219"/>
      <c r="C1611">
        <v>7.1148000000000007</v>
      </c>
      <c r="D1611" s="91">
        <v>44882</v>
      </c>
    </row>
    <row r="1612" spans="1:4">
      <c r="A1612" t="s">
        <v>2627</v>
      </c>
      <c r="B1612" s="1219"/>
      <c r="C1612">
        <v>8.3160000000000007</v>
      </c>
      <c r="D1612" s="91">
        <v>44882</v>
      </c>
    </row>
    <row r="1613" spans="1:4">
      <c r="A1613" t="s">
        <v>2628</v>
      </c>
      <c r="B1613" s="1219"/>
      <c r="C1613">
        <v>8.5777999999999999</v>
      </c>
      <c r="D1613" s="91">
        <v>44882</v>
      </c>
    </row>
    <row r="1614" spans="1:4">
      <c r="A1614" t="s">
        <v>946</v>
      </c>
      <c r="B1614" s="1219"/>
      <c r="C1614">
        <v>8.9627999999999997</v>
      </c>
      <c r="D1614" s="91">
        <v>44882</v>
      </c>
    </row>
    <row r="1615" spans="1:4">
      <c r="A1615" t="s">
        <v>2629</v>
      </c>
      <c r="B1615" s="1219"/>
      <c r="C1615">
        <v>10.1486</v>
      </c>
      <c r="D1615" s="91">
        <v>44882</v>
      </c>
    </row>
    <row r="1616" spans="1:4">
      <c r="A1616" t="s">
        <v>2630</v>
      </c>
      <c r="B1616" s="1219"/>
      <c r="C1616">
        <v>10.410399999999999</v>
      </c>
      <c r="D1616" s="91">
        <v>44882</v>
      </c>
    </row>
    <row r="1617" spans="1:4">
      <c r="A1617" t="s">
        <v>2631</v>
      </c>
      <c r="B1617" s="1219"/>
      <c r="C1617">
        <v>10.6183</v>
      </c>
      <c r="D1617" s="91">
        <v>44882</v>
      </c>
    </row>
    <row r="1618" spans="1:4">
      <c r="A1618" t="s">
        <v>947</v>
      </c>
      <c r="B1618" s="1219"/>
      <c r="C1618">
        <v>11.041800000000002</v>
      </c>
      <c r="D1618" s="91">
        <v>44882</v>
      </c>
    </row>
    <row r="1619" spans="1:4">
      <c r="A1619" t="s">
        <v>2632</v>
      </c>
      <c r="B1619" s="1219"/>
      <c r="C1619">
        <v>13.798400000000001</v>
      </c>
      <c r="D1619" s="91">
        <v>44882</v>
      </c>
    </row>
    <row r="1620" spans="1:4">
      <c r="A1620" t="s">
        <v>2633</v>
      </c>
      <c r="B1620" s="1219"/>
      <c r="C1620">
        <v>14.914900000000003</v>
      </c>
      <c r="D1620" s="91">
        <v>44882</v>
      </c>
    </row>
    <row r="1621" spans="1:4">
      <c r="A1621" t="s">
        <v>2634</v>
      </c>
      <c r="B1621" s="1219"/>
      <c r="C1621">
        <v>15.492400000000002</v>
      </c>
      <c r="D1621" s="91">
        <v>44882</v>
      </c>
    </row>
    <row r="1622" spans="1:4">
      <c r="A1622" t="s">
        <v>948</v>
      </c>
      <c r="B1622" s="1219"/>
      <c r="C1622">
        <v>16.062200000000001</v>
      </c>
      <c r="D1622" s="91">
        <v>44882</v>
      </c>
    </row>
    <row r="1623" spans="1:4">
      <c r="A1623" t="s">
        <v>2635</v>
      </c>
      <c r="B1623" s="1219"/>
      <c r="C1623">
        <v>17.994900000000005</v>
      </c>
      <c r="D1623" s="91">
        <v>44882</v>
      </c>
    </row>
    <row r="1624" spans="1:4">
      <c r="A1624" t="s">
        <v>2636</v>
      </c>
      <c r="B1624" s="1219"/>
      <c r="C1624">
        <v>17.994900000000005</v>
      </c>
      <c r="D1624" s="91">
        <v>44882</v>
      </c>
    </row>
    <row r="1625" spans="1:4">
      <c r="A1625" t="s">
        <v>2637</v>
      </c>
      <c r="B1625" s="1219"/>
      <c r="C1625">
        <v>18.418400000000002</v>
      </c>
      <c r="D1625" s="91">
        <v>44882</v>
      </c>
    </row>
    <row r="1626" spans="1:4">
      <c r="A1626" t="s">
        <v>2638</v>
      </c>
      <c r="B1626" s="1219"/>
      <c r="C1626">
        <v>19.257700000000003</v>
      </c>
      <c r="D1626" s="91">
        <v>44882</v>
      </c>
    </row>
    <row r="1627" spans="1:4">
      <c r="A1627" t="s">
        <v>949</v>
      </c>
      <c r="B1627" s="1219"/>
      <c r="C1627">
        <v>20.089299999999998</v>
      </c>
      <c r="D1627" s="91">
        <v>44882</v>
      </c>
    </row>
    <row r="1628" spans="1:4">
      <c r="A1628" t="s">
        <v>2639</v>
      </c>
      <c r="B1628" s="1219"/>
      <c r="C1628">
        <v>70.616700000000009</v>
      </c>
      <c r="D1628" s="91">
        <v>44882</v>
      </c>
    </row>
    <row r="1629" spans="1:4">
      <c r="A1629" t="s">
        <v>2640</v>
      </c>
      <c r="B1629" s="1219"/>
      <c r="C1629">
        <v>73.843000000000018</v>
      </c>
      <c r="D1629" s="91">
        <v>44882</v>
      </c>
    </row>
    <row r="1630" spans="1:4">
      <c r="A1630" t="s">
        <v>2641</v>
      </c>
      <c r="B1630" s="1219"/>
      <c r="C1630">
        <v>75.067300000000003</v>
      </c>
      <c r="D1630" s="91">
        <v>44882</v>
      </c>
    </row>
    <row r="1631" spans="1:4">
      <c r="A1631" t="s">
        <v>950</v>
      </c>
      <c r="B1631" s="1219"/>
      <c r="C1631">
        <v>77.315700000000007</v>
      </c>
      <c r="D1631" s="91">
        <v>44882</v>
      </c>
    </row>
    <row r="1632" spans="1:4">
      <c r="A1632" t="s">
        <v>2642</v>
      </c>
      <c r="B1632" s="1219"/>
      <c r="C1632">
        <v>80.6267</v>
      </c>
      <c r="D1632" s="91">
        <v>44882</v>
      </c>
    </row>
    <row r="1633" spans="1:4">
      <c r="A1633" t="s">
        <v>2643</v>
      </c>
      <c r="B1633" s="1219"/>
      <c r="C1633">
        <v>82.744200000000006</v>
      </c>
      <c r="D1633" s="91">
        <v>44882</v>
      </c>
    </row>
    <row r="1634" spans="1:4">
      <c r="A1634" t="s">
        <v>2644</v>
      </c>
      <c r="B1634" s="1219"/>
      <c r="C1634">
        <v>85.077299999999994</v>
      </c>
      <c r="D1634" s="91">
        <v>44882</v>
      </c>
    </row>
    <row r="1635" spans="1:4">
      <c r="A1635" t="s">
        <v>2645</v>
      </c>
      <c r="B1635" s="1219"/>
      <c r="C1635">
        <v>88.303600000000017</v>
      </c>
      <c r="D1635" s="91">
        <v>44882</v>
      </c>
    </row>
    <row r="1636" spans="1:4">
      <c r="A1636" t="s">
        <v>2646</v>
      </c>
      <c r="B1636" s="1219"/>
      <c r="C1636">
        <v>90.644400000000005</v>
      </c>
      <c r="D1636" s="91">
        <v>44882</v>
      </c>
    </row>
    <row r="1637" spans="1:4">
      <c r="A1637" t="s">
        <v>2647</v>
      </c>
      <c r="B1637" s="1219"/>
      <c r="C1637">
        <v>96.088300000000018</v>
      </c>
      <c r="D1637" s="91">
        <v>44882</v>
      </c>
    </row>
    <row r="1638" spans="1:4">
      <c r="A1638" t="s">
        <v>2648</v>
      </c>
      <c r="B1638" s="1219"/>
      <c r="C1638">
        <v>105.105</v>
      </c>
      <c r="D1638" s="91">
        <v>44882</v>
      </c>
    </row>
    <row r="1639" spans="1:4">
      <c r="A1639" t="s">
        <v>2649</v>
      </c>
      <c r="B1639" s="1219"/>
      <c r="C1639">
        <v>107.98480000000002</v>
      </c>
      <c r="D1639" s="91">
        <v>44882</v>
      </c>
    </row>
    <row r="1640" spans="1:4">
      <c r="A1640" t="s">
        <v>2650</v>
      </c>
      <c r="B1640" s="1219"/>
      <c r="C1640">
        <v>110.5412</v>
      </c>
      <c r="D1640" s="91">
        <v>44882</v>
      </c>
    </row>
    <row r="1641" spans="1:4">
      <c r="A1641" t="s">
        <v>2651</v>
      </c>
      <c r="B1641" s="1219"/>
      <c r="C1641">
        <v>115.10730000000001</v>
      </c>
      <c r="D1641" s="91">
        <v>44882</v>
      </c>
    </row>
    <row r="1642" spans="1:4">
      <c r="A1642" t="s">
        <v>952</v>
      </c>
      <c r="B1642" s="1219"/>
      <c r="C1642">
        <v>129.67570000000001</v>
      </c>
      <c r="D1642" s="91">
        <v>44882</v>
      </c>
    </row>
    <row r="1643" spans="1:4">
      <c r="A1643" t="s">
        <v>2652</v>
      </c>
      <c r="B1643" s="1219"/>
      <c r="C1643">
        <v>132.77880000000002</v>
      </c>
      <c r="D1643" s="91">
        <v>44882</v>
      </c>
    </row>
    <row r="1644" spans="1:4">
      <c r="A1644" t="s">
        <v>882</v>
      </c>
      <c r="B1644" s="1219"/>
      <c r="C1644">
        <v>3.8887200000000002</v>
      </c>
      <c r="D1644" s="91">
        <v>44882</v>
      </c>
    </row>
    <row r="1645" spans="1:4">
      <c r="A1645" t="s">
        <v>883</v>
      </c>
      <c r="B1645" s="1219"/>
      <c r="C1645">
        <v>2.75</v>
      </c>
      <c r="D1645" s="91">
        <v>44882</v>
      </c>
    </row>
    <row r="1646" spans="1:4">
      <c r="A1646" t="s">
        <v>884</v>
      </c>
      <c r="B1646" s="1219"/>
      <c r="C1646">
        <v>6.4152000000000005</v>
      </c>
      <c r="D1646" s="91">
        <v>44882</v>
      </c>
    </row>
    <row r="1647" spans="1:4">
      <c r="A1647" t="s">
        <v>886</v>
      </c>
      <c r="B1647" s="1219"/>
      <c r="C1647">
        <v>11.420640000000002</v>
      </c>
      <c r="D1647" s="91">
        <v>44882</v>
      </c>
    </row>
    <row r="1648" spans="1:4">
      <c r="A1648" t="s">
        <v>887</v>
      </c>
      <c r="B1648" s="1219"/>
      <c r="C1648">
        <v>13.559040000000001</v>
      </c>
      <c r="D1648" s="91">
        <v>44882</v>
      </c>
    </row>
    <row r="1649" spans="1:4">
      <c r="A1649" t="s">
        <v>888</v>
      </c>
      <c r="B1649" s="1219"/>
      <c r="C1649">
        <v>12.771000000000001</v>
      </c>
      <c r="D1649" s="91">
        <v>44882</v>
      </c>
    </row>
    <row r="1650" spans="1:4">
      <c r="A1650" t="s">
        <v>890</v>
      </c>
      <c r="B1650" s="1219"/>
      <c r="C1650">
        <v>38.158560000000001</v>
      </c>
      <c r="D1650" s="91">
        <v>44882</v>
      </c>
    </row>
    <row r="1651" spans="1:4">
      <c r="A1651" t="s">
        <v>891</v>
      </c>
      <c r="B1651" s="1219"/>
      <c r="C1651">
        <v>62.661500000000011</v>
      </c>
      <c r="D1651" s="91">
        <v>44882</v>
      </c>
    </row>
    <row r="1652" spans="1:4">
      <c r="A1652" t="s">
        <v>2653</v>
      </c>
      <c r="B1652" s="1219"/>
      <c r="C1652">
        <v>5.02128</v>
      </c>
      <c r="D1652" s="91">
        <v>44882</v>
      </c>
    </row>
    <row r="1653" spans="1:4">
      <c r="A1653" t="s">
        <v>2654</v>
      </c>
      <c r="B1653" s="1219"/>
      <c r="C1653">
        <v>6.0429599999999999</v>
      </c>
      <c r="D1653" s="91">
        <v>44882</v>
      </c>
    </row>
    <row r="1654" spans="1:4">
      <c r="A1654" t="s">
        <v>2655</v>
      </c>
      <c r="B1654" s="1219"/>
      <c r="C1654">
        <v>8.5852800000000009</v>
      </c>
      <c r="D1654" s="91">
        <v>44882</v>
      </c>
    </row>
    <row r="1655" spans="1:4">
      <c r="A1655" t="s">
        <v>2656</v>
      </c>
      <c r="B1655" s="1219"/>
      <c r="C1655">
        <v>9.9633600000000015</v>
      </c>
      <c r="D1655" s="91">
        <v>44882</v>
      </c>
    </row>
    <row r="1656" spans="1:4">
      <c r="A1656" t="s">
        <v>2657</v>
      </c>
      <c r="B1656" s="1219"/>
      <c r="C1656">
        <v>15.459840000000003</v>
      </c>
      <c r="D1656" s="91">
        <v>44882</v>
      </c>
    </row>
    <row r="1657" spans="1:4">
      <c r="A1657" t="s">
        <v>2658</v>
      </c>
      <c r="B1657" s="1219"/>
      <c r="C1657">
        <v>18.437760000000004</v>
      </c>
      <c r="D1657" s="91">
        <v>44882</v>
      </c>
    </row>
    <row r="1658" spans="1:4">
      <c r="A1658" t="s">
        <v>2659</v>
      </c>
      <c r="B1658" s="1219"/>
      <c r="C1658">
        <v>23.823360000000001</v>
      </c>
      <c r="D1658" s="91">
        <v>44882</v>
      </c>
    </row>
    <row r="1659" spans="1:4">
      <c r="A1659" t="s">
        <v>2660</v>
      </c>
      <c r="B1659" s="1219"/>
      <c r="C1659">
        <v>99.489500000000007</v>
      </c>
      <c r="D1659" s="91">
        <v>44882</v>
      </c>
    </row>
    <row r="1660" spans="1:4">
      <c r="A1660" t="s">
        <v>2661</v>
      </c>
      <c r="B1660" s="1219"/>
      <c r="C1660">
        <v>2.1230000000000002</v>
      </c>
      <c r="D1660" s="91">
        <v>44882</v>
      </c>
    </row>
    <row r="1661" spans="1:4">
      <c r="A1661" t="s">
        <v>2662</v>
      </c>
      <c r="B1661" s="1219"/>
      <c r="C1661">
        <v>3.5530000000000004</v>
      </c>
      <c r="D1661" s="91">
        <v>44882</v>
      </c>
    </row>
    <row r="1662" spans="1:4">
      <c r="A1662" t="s">
        <v>2663</v>
      </c>
      <c r="B1662" s="1219"/>
      <c r="C1662">
        <v>2.8380000000000005</v>
      </c>
      <c r="D1662" s="91">
        <v>44882</v>
      </c>
    </row>
    <row r="1663" spans="1:4">
      <c r="A1663" t="s">
        <v>2664</v>
      </c>
      <c r="B1663" s="1219"/>
      <c r="C1663">
        <v>1.1660000000000001</v>
      </c>
      <c r="D1663" s="91">
        <v>44882</v>
      </c>
    </row>
    <row r="1664" spans="1:4">
      <c r="A1664" t="s">
        <v>2665</v>
      </c>
      <c r="B1664" s="1219"/>
      <c r="C1664">
        <v>0.96800000000000008</v>
      </c>
      <c r="D1664" s="91">
        <v>44882</v>
      </c>
    </row>
    <row r="1665" spans="1:4">
      <c r="A1665" t="s">
        <v>2666</v>
      </c>
      <c r="B1665" s="1219"/>
      <c r="C1665">
        <v>5.3944000000000001</v>
      </c>
      <c r="D1665" s="91">
        <v>44882</v>
      </c>
    </row>
    <row r="1666" spans="1:4">
      <c r="A1666" t="s">
        <v>2667</v>
      </c>
      <c r="B1666" s="1219"/>
      <c r="C1666">
        <v>7.6670000000000007</v>
      </c>
      <c r="D1666" s="91">
        <v>44882</v>
      </c>
    </row>
    <row r="1667" spans="1:4">
      <c r="A1667" t="s">
        <v>2668</v>
      </c>
      <c r="B1667" s="1219"/>
      <c r="C1667">
        <v>17.919</v>
      </c>
      <c r="D1667" s="91">
        <v>44882</v>
      </c>
    </row>
    <row r="1668" spans="1:4">
      <c r="A1668" t="s">
        <v>2669</v>
      </c>
      <c r="B1668" s="1219"/>
      <c r="C1668">
        <v>0.78100000000000003</v>
      </c>
      <c r="D1668" s="91">
        <v>44882</v>
      </c>
    </row>
    <row r="1669" spans="1:4">
      <c r="A1669" t="s">
        <v>2670</v>
      </c>
      <c r="B1669" s="1219"/>
      <c r="C1669">
        <v>0.89100000000000013</v>
      </c>
      <c r="D1669" s="91">
        <v>44882</v>
      </c>
    </row>
    <row r="1670" spans="1:4">
      <c r="A1670" t="s">
        <v>2671</v>
      </c>
      <c r="B1670" s="1219"/>
      <c r="C1670">
        <v>3.355</v>
      </c>
      <c r="D1670" s="91">
        <v>44882</v>
      </c>
    </row>
    <row r="1671" spans="1:4">
      <c r="A1671" t="s">
        <v>2672</v>
      </c>
      <c r="B1671" s="1219"/>
      <c r="C1671">
        <v>37.950000000000003</v>
      </c>
      <c r="D1671" s="91">
        <v>44882</v>
      </c>
    </row>
    <row r="1672" spans="1:4">
      <c r="A1672" t="s">
        <v>2673</v>
      </c>
      <c r="B1672" s="1219"/>
      <c r="C1672">
        <v>19.511800000000001</v>
      </c>
      <c r="D1672" s="91">
        <v>44882</v>
      </c>
    </row>
    <row r="1673" spans="1:4">
      <c r="A1673" t="s">
        <v>2674</v>
      </c>
      <c r="B1673" s="1219"/>
      <c r="C1673">
        <v>43.736000000000004</v>
      </c>
      <c r="D1673" s="91">
        <v>44882</v>
      </c>
    </row>
    <row r="1674" spans="1:4">
      <c r="A1674" t="s">
        <v>2675</v>
      </c>
      <c r="B1674" s="1219"/>
      <c r="C1674">
        <v>8.2830000000000013</v>
      </c>
      <c r="D1674" s="91">
        <v>44882</v>
      </c>
    </row>
    <row r="1675" spans="1:4">
      <c r="A1675" t="s">
        <v>2676</v>
      </c>
      <c r="B1675" s="1219"/>
      <c r="C1675">
        <v>19.910000000000004</v>
      </c>
      <c r="D1675" s="91">
        <v>44882</v>
      </c>
    </row>
    <row r="1676" spans="1:4">
      <c r="A1676" t="s">
        <v>2677</v>
      </c>
      <c r="B1676" s="1219"/>
      <c r="C1676">
        <v>30.305000000000003</v>
      </c>
      <c r="D1676" s="91">
        <v>44882</v>
      </c>
    </row>
    <row r="1677" spans="1:4">
      <c r="A1677" t="s">
        <v>2678</v>
      </c>
      <c r="B1677" s="1219"/>
      <c r="C1677">
        <v>31.779000000000003</v>
      </c>
      <c r="D1677" s="91">
        <v>44882</v>
      </c>
    </row>
    <row r="1678" spans="1:4">
      <c r="A1678" t="s">
        <v>2679</v>
      </c>
      <c r="B1678" s="1219"/>
      <c r="C1678">
        <v>3.4760000000000004</v>
      </c>
      <c r="D1678" s="91">
        <v>44882</v>
      </c>
    </row>
    <row r="1679" spans="1:4">
      <c r="A1679" t="s">
        <v>2680</v>
      </c>
      <c r="B1679" s="1219"/>
      <c r="C1679">
        <v>6.0720000000000001</v>
      </c>
      <c r="D1679" s="91">
        <v>44882</v>
      </c>
    </row>
    <row r="1680" spans="1:4">
      <c r="A1680" t="s">
        <v>2681</v>
      </c>
      <c r="B1680" s="1219"/>
      <c r="C1680">
        <v>12.188000000000001</v>
      </c>
      <c r="D1680" s="91">
        <v>44882</v>
      </c>
    </row>
    <row r="1681" spans="1:4">
      <c r="A1681" t="s">
        <v>2682</v>
      </c>
      <c r="B1681" s="1219"/>
      <c r="C1681">
        <v>3.0470000000000002</v>
      </c>
      <c r="D1681" s="91">
        <v>44882</v>
      </c>
    </row>
    <row r="1682" spans="1:4">
      <c r="A1682" t="s">
        <v>2683</v>
      </c>
      <c r="B1682" s="1219"/>
      <c r="C1682">
        <v>2.8600000000000003</v>
      </c>
      <c r="D1682" s="91">
        <v>44882</v>
      </c>
    </row>
    <row r="1683" spans="1:4">
      <c r="A1683" t="s">
        <v>2684</v>
      </c>
      <c r="B1683" s="1219"/>
      <c r="C1683">
        <v>4.2570000000000006</v>
      </c>
      <c r="D1683" s="91">
        <v>44882</v>
      </c>
    </row>
    <row r="1684" spans="1:4">
      <c r="A1684" t="s">
        <v>2685</v>
      </c>
      <c r="B1684" s="1219"/>
      <c r="C1684">
        <v>7.2050000000000001</v>
      </c>
      <c r="D1684" s="91">
        <v>44882</v>
      </c>
    </row>
    <row r="1685" spans="1:4">
      <c r="A1685" t="s">
        <v>2686</v>
      </c>
      <c r="B1685" s="1219"/>
      <c r="C1685">
        <v>1.3420000000000001</v>
      </c>
      <c r="D1685" s="91">
        <v>44882</v>
      </c>
    </row>
    <row r="1686" spans="1:4">
      <c r="A1686" t="s">
        <v>2687</v>
      </c>
      <c r="B1686" s="1219"/>
      <c r="C1686">
        <v>1.7490000000000003</v>
      </c>
      <c r="D1686" s="91">
        <v>44882</v>
      </c>
    </row>
    <row r="1687" spans="1:4">
      <c r="A1687" t="s">
        <v>2688</v>
      </c>
      <c r="B1687" s="1219"/>
      <c r="C1687">
        <v>3.2560000000000002</v>
      </c>
      <c r="D1687" s="91">
        <v>44882</v>
      </c>
    </row>
    <row r="1688" spans="1:4">
      <c r="A1688" t="s">
        <v>2689</v>
      </c>
      <c r="B1688" s="1219"/>
      <c r="C1688">
        <v>11</v>
      </c>
      <c r="D1688" s="91">
        <v>44882</v>
      </c>
    </row>
    <row r="1689" spans="1:4">
      <c r="A1689" t="s">
        <v>2690</v>
      </c>
      <c r="B1689" s="1219"/>
      <c r="C1689">
        <v>47.234000000000002</v>
      </c>
      <c r="D1689" s="91">
        <v>44882</v>
      </c>
    </row>
    <row r="1690" spans="1:4">
      <c r="A1690" t="s">
        <v>2691</v>
      </c>
      <c r="B1690" s="1219"/>
      <c r="C1690">
        <v>34.969000000000001</v>
      </c>
      <c r="D1690" s="91">
        <v>44882</v>
      </c>
    </row>
    <row r="1691" spans="1:4">
      <c r="A1691" t="s">
        <v>2692</v>
      </c>
      <c r="B1691" s="1219"/>
      <c r="C1691">
        <v>48.059000000000005</v>
      </c>
      <c r="D1691" s="91">
        <v>44882</v>
      </c>
    </row>
    <row r="1692" spans="1:4">
      <c r="A1692" t="s">
        <v>2693</v>
      </c>
      <c r="B1692" s="1219"/>
      <c r="C1692">
        <v>4.5540000000000012</v>
      </c>
      <c r="D1692" s="91">
        <v>44882</v>
      </c>
    </row>
    <row r="1693" spans="1:4">
      <c r="A1693" t="s">
        <v>2694</v>
      </c>
      <c r="B1693" s="1219"/>
      <c r="C1693">
        <v>5.3570000000000002</v>
      </c>
      <c r="D1693" s="91">
        <v>44882</v>
      </c>
    </row>
    <row r="1694" spans="1:4">
      <c r="A1694" t="s">
        <v>2695</v>
      </c>
      <c r="B1694" s="1219"/>
      <c r="C1694">
        <v>6.1270000000000007</v>
      </c>
      <c r="D1694" s="91">
        <v>44882</v>
      </c>
    </row>
    <row r="1695" spans="1:4">
      <c r="A1695" t="s">
        <v>2696</v>
      </c>
      <c r="B1695" s="1219"/>
      <c r="C1695">
        <v>9.8890000000000011</v>
      </c>
      <c r="D1695" s="91">
        <v>44882</v>
      </c>
    </row>
    <row r="1696" spans="1:4">
      <c r="A1696" t="s">
        <v>2697</v>
      </c>
      <c r="B1696" s="1219"/>
      <c r="C1696">
        <v>2.2220000000000004</v>
      </c>
      <c r="D1696" s="91">
        <v>44882</v>
      </c>
    </row>
    <row r="1697" spans="1:4">
      <c r="A1697" t="s">
        <v>2698</v>
      </c>
      <c r="B1697" s="1219"/>
      <c r="C1697">
        <v>3.08</v>
      </c>
      <c r="D1697" s="91">
        <v>44882</v>
      </c>
    </row>
    <row r="1698" spans="1:4">
      <c r="A1698" t="s">
        <v>2699</v>
      </c>
      <c r="B1698" s="1219"/>
      <c r="C1698">
        <v>2.3760000000000003</v>
      </c>
      <c r="D1698" s="91">
        <v>44882</v>
      </c>
    </row>
    <row r="1699" spans="1:4">
      <c r="A1699" t="s">
        <v>2700</v>
      </c>
      <c r="B1699" s="1219"/>
      <c r="C1699">
        <v>2.9700000000000006</v>
      </c>
      <c r="D1699" s="91">
        <v>44882</v>
      </c>
    </row>
    <row r="1700" spans="1:4">
      <c r="A1700" t="s">
        <v>2701</v>
      </c>
      <c r="B1700" s="1219"/>
      <c r="C1700">
        <v>1.7160000000000002</v>
      </c>
      <c r="D1700" s="91">
        <v>44882</v>
      </c>
    </row>
    <row r="1701" spans="1:4">
      <c r="A1701" t="s">
        <v>2702</v>
      </c>
      <c r="B1701" s="1219"/>
      <c r="C1701">
        <v>1.1990000000000003</v>
      </c>
      <c r="D1701" s="91">
        <v>44882</v>
      </c>
    </row>
    <row r="1702" spans="1:4">
      <c r="A1702" t="s">
        <v>2703</v>
      </c>
      <c r="B1702" s="1219"/>
      <c r="C1702">
        <v>2.6619999999999999</v>
      </c>
      <c r="D1702" s="91">
        <v>44882</v>
      </c>
    </row>
    <row r="1703" spans="1:4">
      <c r="A1703" t="s">
        <v>2704</v>
      </c>
      <c r="B1703" s="1219"/>
      <c r="C1703">
        <v>2.9700000000000006</v>
      </c>
      <c r="D1703" s="91">
        <v>44882</v>
      </c>
    </row>
    <row r="1704" spans="1:4">
      <c r="A1704" t="s">
        <v>2705</v>
      </c>
      <c r="B1704" s="1219"/>
      <c r="C1704">
        <v>1.2727000000000002</v>
      </c>
      <c r="D1704" s="91">
        <v>44882</v>
      </c>
    </row>
    <row r="1705" spans="1:4">
      <c r="A1705" t="s">
        <v>2706</v>
      </c>
      <c r="B1705" s="1219"/>
      <c r="C1705">
        <v>1.8480000000000001</v>
      </c>
      <c r="D1705" s="91">
        <v>44882</v>
      </c>
    </row>
    <row r="1706" spans="1:4">
      <c r="A1706" t="s">
        <v>2707</v>
      </c>
      <c r="B1706" s="1219"/>
      <c r="C1706">
        <v>1.903</v>
      </c>
      <c r="D1706" s="91">
        <v>44882</v>
      </c>
    </row>
    <row r="1707" spans="1:4">
      <c r="A1707" t="s">
        <v>2708</v>
      </c>
      <c r="B1707" s="1219"/>
      <c r="C1707">
        <v>2.3100000000000005</v>
      </c>
      <c r="D1707" s="91">
        <v>44882</v>
      </c>
    </row>
    <row r="1708" spans="1:4">
      <c r="A1708" t="s">
        <v>2709</v>
      </c>
      <c r="B1708" s="1219"/>
      <c r="C1708">
        <v>1.254</v>
      </c>
      <c r="D1708" s="91">
        <v>44882</v>
      </c>
    </row>
    <row r="1709" spans="1:4">
      <c r="A1709" t="s">
        <v>2710</v>
      </c>
      <c r="B1709" s="1219"/>
      <c r="C1709">
        <v>5.5770000000000008</v>
      </c>
      <c r="D1709" s="91">
        <v>44882</v>
      </c>
    </row>
    <row r="1710" spans="1:4">
      <c r="A1710" t="s">
        <v>2711</v>
      </c>
      <c r="B1710" s="1219"/>
      <c r="C1710">
        <v>2.1230000000000002</v>
      </c>
      <c r="D1710" s="91">
        <v>44882</v>
      </c>
    </row>
    <row r="1711" spans="1:4">
      <c r="A1711" t="s">
        <v>2712</v>
      </c>
      <c r="B1711" s="1219"/>
      <c r="C1711">
        <v>1.3860000000000001</v>
      </c>
      <c r="D1711" s="91">
        <v>44882</v>
      </c>
    </row>
    <row r="1712" spans="1:4">
      <c r="A1712" t="s">
        <v>2713</v>
      </c>
      <c r="B1712" s="1219"/>
      <c r="C1712">
        <v>3.399</v>
      </c>
      <c r="D1712" s="91">
        <v>44882</v>
      </c>
    </row>
    <row r="1713" spans="1:4">
      <c r="A1713" t="s">
        <v>2714</v>
      </c>
      <c r="B1713" s="1219"/>
      <c r="C1713">
        <v>16.269000000000002</v>
      </c>
      <c r="D1713" s="91">
        <v>44882</v>
      </c>
    </row>
    <row r="1714" spans="1:4">
      <c r="A1714" t="s">
        <v>2715</v>
      </c>
      <c r="B1714" s="1219"/>
      <c r="C1714">
        <v>8.2390000000000008</v>
      </c>
      <c r="D1714" s="91">
        <v>44882</v>
      </c>
    </row>
    <row r="1715" spans="1:4">
      <c r="A1715" t="s">
        <v>2716</v>
      </c>
      <c r="B1715" s="1219"/>
      <c r="C1715">
        <v>6.9740000000000002</v>
      </c>
      <c r="D1715" s="91">
        <v>44882</v>
      </c>
    </row>
    <row r="1716" spans="1:4">
      <c r="A1716" t="s">
        <v>2717</v>
      </c>
      <c r="B1716" s="1219"/>
      <c r="C1716">
        <v>10.604000000000001</v>
      </c>
      <c r="D1716" s="91">
        <v>44882</v>
      </c>
    </row>
    <row r="1717" spans="1:4">
      <c r="A1717" t="s">
        <v>2718</v>
      </c>
      <c r="B1717" s="1219"/>
      <c r="C1717">
        <v>25.575000000000003</v>
      </c>
      <c r="D1717" s="91">
        <v>44882</v>
      </c>
    </row>
    <row r="1718" spans="1:4">
      <c r="A1718" t="s">
        <v>2719</v>
      </c>
      <c r="B1718" s="1219"/>
      <c r="C1718">
        <v>15.499000000000001</v>
      </c>
      <c r="D1718" s="91">
        <v>44882</v>
      </c>
    </row>
    <row r="1719" spans="1:4">
      <c r="A1719" t="s">
        <v>2720</v>
      </c>
      <c r="B1719" s="1219"/>
      <c r="C1719">
        <v>15.367000000000003</v>
      </c>
      <c r="D1719" s="91">
        <v>44882</v>
      </c>
    </row>
    <row r="1720" spans="1:4">
      <c r="A1720" t="s">
        <v>2721</v>
      </c>
      <c r="B1720" s="1219"/>
      <c r="C1720">
        <v>12.056000000000003</v>
      </c>
      <c r="D1720" s="91">
        <v>44882</v>
      </c>
    </row>
    <row r="1721" spans="1:4">
      <c r="A1721" t="s">
        <v>2722</v>
      </c>
      <c r="B1721" s="1219"/>
      <c r="C1721">
        <v>40.006999999999998</v>
      </c>
      <c r="D1721" s="91">
        <v>44882</v>
      </c>
    </row>
    <row r="1722" spans="1:4">
      <c r="A1722" t="s">
        <v>2723</v>
      </c>
      <c r="B1722" s="1219"/>
      <c r="C1722">
        <v>47.861000000000004</v>
      </c>
      <c r="D1722" s="91">
        <v>44882</v>
      </c>
    </row>
    <row r="1723" spans="1:4">
      <c r="A1723" t="s">
        <v>2724</v>
      </c>
      <c r="B1723" s="1219"/>
      <c r="C1723">
        <v>41.690000000000005</v>
      </c>
      <c r="D1723" s="91">
        <v>44882</v>
      </c>
    </row>
    <row r="1724" spans="1:4">
      <c r="A1724" t="s">
        <v>2725</v>
      </c>
      <c r="B1724" s="1219"/>
      <c r="C1724">
        <v>21.230000000000004</v>
      </c>
      <c r="D1724" s="91">
        <v>44882</v>
      </c>
    </row>
    <row r="1725" spans="1:4">
      <c r="A1725" t="s">
        <v>2726</v>
      </c>
      <c r="B1725" s="1219"/>
      <c r="C1725">
        <v>2.6950000000000003</v>
      </c>
      <c r="D1725" s="91">
        <v>44882</v>
      </c>
    </row>
    <row r="1726" spans="1:4">
      <c r="A1726" t="s">
        <v>2727</v>
      </c>
      <c r="B1726" s="1219"/>
      <c r="C1726">
        <v>4.2130000000000001</v>
      </c>
      <c r="D1726" s="91">
        <v>44882</v>
      </c>
    </row>
    <row r="1727" spans="1:4">
      <c r="A1727" t="s">
        <v>2728</v>
      </c>
      <c r="B1727" s="1219"/>
      <c r="C1727">
        <v>3.6410000000000005</v>
      </c>
      <c r="D1727" s="91">
        <v>44882</v>
      </c>
    </row>
    <row r="1728" spans="1:4">
      <c r="A1728" t="s">
        <v>2729</v>
      </c>
      <c r="B1728" s="1219"/>
      <c r="C1728">
        <v>15.246</v>
      </c>
      <c r="D1728" s="91">
        <v>44882</v>
      </c>
    </row>
    <row r="1729" spans="1:4">
      <c r="A1729" t="s">
        <v>2730</v>
      </c>
      <c r="B1729" s="1219"/>
      <c r="C1729">
        <v>5.4119999999999999</v>
      </c>
      <c r="D1729" s="91">
        <v>44882</v>
      </c>
    </row>
    <row r="1730" spans="1:4">
      <c r="A1730" t="s">
        <v>2731</v>
      </c>
      <c r="B1730" s="1219"/>
      <c r="C1730">
        <v>3.9380000000000006</v>
      </c>
      <c r="D1730" s="91">
        <v>44882</v>
      </c>
    </row>
    <row r="1731" spans="1:4">
      <c r="A1731" t="s">
        <v>2732</v>
      </c>
      <c r="B1731" s="1219"/>
      <c r="C1731">
        <v>24.761000000000003</v>
      </c>
      <c r="D1731" s="91">
        <v>44882</v>
      </c>
    </row>
    <row r="1732" spans="1:4">
      <c r="A1732" t="s">
        <v>2733</v>
      </c>
      <c r="B1732" s="1219"/>
      <c r="C1732">
        <v>31.592000000000002</v>
      </c>
      <c r="D1732" s="91">
        <v>44882</v>
      </c>
    </row>
    <row r="1733" spans="1:4">
      <c r="A1733" t="s">
        <v>2734</v>
      </c>
      <c r="B1733" s="1219"/>
      <c r="C1733">
        <v>67.231999999999999</v>
      </c>
      <c r="D1733" s="91">
        <v>44882</v>
      </c>
    </row>
    <row r="1734" spans="1:4">
      <c r="A1734" t="s">
        <v>2735</v>
      </c>
      <c r="B1734" s="1219"/>
      <c r="C1734">
        <v>82.576999999999998</v>
      </c>
      <c r="D1734" s="91">
        <v>44882</v>
      </c>
    </row>
    <row r="1735" spans="1:4">
      <c r="A1735" t="s">
        <v>2736</v>
      </c>
      <c r="B1735" s="1219"/>
      <c r="C1735">
        <v>7.3590000000000009</v>
      </c>
      <c r="D1735" s="91">
        <v>44882</v>
      </c>
    </row>
    <row r="1736" spans="1:4">
      <c r="A1736" t="s">
        <v>2737</v>
      </c>
      <c r="B1736" s="1219"/>
      <c r="C1736">
        <v>6.5340000000000007</v>
      </c>
      <c r="D1736" s="91">
        <v>44882</v>
      </c>
    </row>
    <row r="1737" spans="1:4">
      <c r="A1737" t="s">
        <v>2738</v>
      </c>
      <c r="B1737" s="1219"/>
      <c r="C1737">
        <v>6.8750000000000009</v>
      </c>
      <c r="D1737" s="91">
        <v>44882</v>
      </c>
    </row>
    <row r="1738" spans="1:4">
      <c r="A1738" t="s">
        <v>2739</v>
      </c>
      <c r="B1738" s="1219"/>
      <c r="C1738">
        <v>11.605000000000002</v>
      </c>
      <c r="D1738" s="91">
        <v>44882</v>
      </c>
    </row>
    <row r="1739" spans="1:4">
      <c r="A1739" t="s">
        <v>2740</v>
      </c>
      <c r="B1739" s="1219"/>
      <c r="C1739">
        <v>20.196000000000002</v>
      </c>
      <c r="D1739" s="91">
        <v>44882</v>
      </c>
    </row>
    <row r="1740" spans="1:4">
      <c r="A1740" t="s">
        <v>2741</v>
      </c>
      <c r="B1740" s="1219"/>
      <c r="C1740">
        <v>36.289000000000009</v>
      </c>
      <c r="D1740" s="91">
        <v>44882</v>
      </c>
    </row>
    <row r="1741" spans="1:4">
      <c r="A1741" t="s">
        <v>2742</v>
      </c>
      <c r="B1741" s="1219"/>
      <c r="C1741">
        <v>43.956000000000003</v>
      </c>
      <c r="D1741" s="91">
        <v>44882</v>
      </c>
    </row>
    <row r="1742" spans="1:4">
      <c r="A1742" t="s">
        <v>2743</v>
      </c>
      <c r="B1742" s="1219"/>
      <c r="C1742">
        <v>50.699000000000005</v>
      </c>
      <c r="D1742" s="91">
        <v>44882</v>
      </c>
    </row>
    <row r="1743" spans="1:4">
      <c r="A1743" t="s">
        <v>2744</v>
      </c>
      <c r="B1743" s="1219"/>
      <c r="C1743">
        <v>35.464000000000006</v>
      </c>
      <c r="D1743" s="91">
        <v>44882</v>
      </c>
    </row>
    <row r="1744" spans="1:4">
      <c r="A1744" t="s">
        <v>2745</v>
      </c>
      <c r="B1744" s="1219"/>
      <c r="C1744">
        <v>8.6349999999999998</v>
      </c>
      <c r="D1744" s="91">
        <v>44882</v>
      </c>
    </row>
    <row r="1745" spans="1:4">
      <c r="A1745" t="s">
        <v>2746</v>
      </c>
      <c r="B1745" s="1219"/>
      <c r="C1745">
        <v>8.91</v>
      </c>
      <c r="D1745" s="91">
        <v>44882</v>
      </c>
    </row>
    <row r="1746" spans="1:4">
      <c r="A1746" t="s">
        <v>2747</v>
      </c>
      <c r="B1746" s="1219"/>
      <c r="C1746">
        <v>14.179000000000002</v>
      </c>
      <c r="D1746" s="91">
        <v>44882</v>
      </c>
    </row>
    <row r="1747" spans="1:4">
      <c r="A1747" t="s">
        <v>2748</v>
      </c>
      <c r="B1747" s="1219"/>
      <c r="C1747">
        <v>18.59</v>
      </c>
      <c r="D1747" s="91">
        <v>44882</v>
      </c>
    </row>
    <row r="1748" spans="1:4">
      <c r="A1748" t="s">
        <v>2749</v>
      </c>
      <c r="B1748" s="1219"/>
      <c r="C1748">
        <v>20.482000000000003</v>
      </c>
      <c r="D1748" s="91">
        <v>44882</v>
      </c>
    </row>
    <row r="1749" spans="1:4">
      <c r="A1749" t="s">
        <v>2750</v>
      </c>
      <c r="B1749" s="1219"/>
      <c r="C1749">
        <v>5.8630000000000004</v>
      </c>
      <c r="D1749" s="91">
        <v>44882</v>
      </c>
    </row>
    <row r="1750" spans="1:4">
      <c r="A1750" t="s">
        <v>2751</v>
      </c>
      <c r="B1750" s="1219"/>
      <c r="C1750">
        <v>5.3570000000000002</v>
      </c>
      <c r="D1750" s="91">
        <v>44882</v>
      </c>
    </row>
    <row r="1751" spans="1:4">
      <c r="A1751" t="s">
        <v>2752</v>
      </c>
      <c r="B1751" s="1219"/>
      <c r="C1751">
        <v>1.2100000000000002</v>
      </c>
      <c r="D1751" s="91">
        <v>44882</v>
      </c>
    </row>
    <row r="1752" spans="1:4">
      <c r="A1752" t="s">
        <v>2753</v>
      </c>
      <c r="B1752" s="1219"/>
      <c r="C1752">
        <v>7.2160000000000002</v>
      </c>
      <c r="D1752" s="91">
        <v>44882</v>
      </c>
    </row>
    <row r="1753" spans="1:4">
      <c r="A1753" t="s">
        <v>2754</v>
      </c>
      <c r="B1753" s="1219"/>
      <c r="C1753">
        <v>175.8075</v>
      </c>
      <c r="D1753" s="91">
        <v>44882</v>
      </c>
    </row>
    <row r="1754" spans="1:4">
      <c r="A1754" t="s">
        <v>2755</v>
      </c>
      <c r="B1754" s="1219"/>
      <c r="C1754">
        <v>3.1240000000000001</v>
      </c>
      <c r="D1754" s="91">
        <v>44882</v>
      </c>
    </row>
    <row r="1755" spans="1:4">
      <c r="A1755" t="s">
        <v>2756</v>
      </c>
      <c r="B1755" s="1219"/>
      <c r="C1755">
        <v>8.7340000000000018</v>
      </c>
      <c r="D1755" s="91">
        <v>44882</v>
      </c>
    </row>
    <row r="1756" spans="1:4">
      <c r="A1756" t="s">
        <v>2757</v>
      </c>
      <c r="B1756" s="1219"/>
      <c r="C1756">
        <v>1.3860000000000001</v>
      </c>
      <c r="D1756" s="91">
        <v>44882</v>
      </c>
    </row>
    <row r="1757" spans="1:4">
      <c r="A1757" t="s">
        <v>2758</v>
      </c>
      <c r="B1757" s="1219"/>
      <c r="C1757">
        <v>2.09</v>
      </c>
      <c r="D1757" s="91">
        <v>44882</v>
      </c>
    </row>
    <row r="1758" spans="1:4">
      <c r="A1758" t="s">
        <v>2759</v>
      </c>
      <c r="B1758" s="1219"/>
      <c r="C1758">
        <v>6.8420000000000005</v>
      </c>
      <c r="D1758" s="91">
        <v>44882</v>
      </c>
    </row>
    <row r="1759" spans="1:4">
      <c r="A1759" t="s">
        <v>2760</v>
      </c>
      <c r="B1759" s="1219"/>
      <c r="C1759">
        <v>12.32</v>
      </c>
      <c r="D1759" s="91">
        <v>44882</v>
      </c>
    </row>
    <row r="1760" spans="1:4">
      <c r="A1760" t="s">
        <v>2761</v>
      </c>
      <c r="B1760" s="1219"/>
      <c r="C1760">
        <v>2.6950000000000003</v>
      </c>
      <c r="D1760" s="91">
        <v>44882</v>
      </c>
    </row>
    <row r="1761" spans="1:4">
      <c r="A1761" t="s">
        <v>2762</v>
      </c>
      <c r="B1761" s="1219"/>
      <c r="C1761">
        <v>2.9370000000000003</v>
      </c>
      <c r="D1761" s="91">
        <v>44882</v>
      </c>
    </row>
    <row r="1762" spans="1:4">
      <c r="A1762" t="s">
        <v>2763</v>
      </c>
      <c r="B1762" s="1219"/>
      <c r="C1762">
        <v>4.0920000000000005</v>
      </c>
      <c r="D1762" s="91">
        <v>44882</v>
      </c>
    </row>
    <row r="1763" spans="1:4">
      <c r="A1763" t="s">
        <v>2764</v>
      </c>
      <c r="B1763" s="1219"/>
      <c r="C1763">
        <v>5.6430000000000007</v>
      </c>
      <c r="D1763" s="91">
        <v>44882</v>
      </c>
    </row>
    <row r="1764" spans="1:4">
      <c r="A1764" t="s">
        <v>2765</v>
      </c>
      <c r="B1764" s="1219"/>
      <c r="C1764">
        <v>6.4240000000000004</v>
      </c>
      <c r="D1764" s="91">
        <v>44882</v>
      </c>
    </row>
    <row r="1765" spans="1:4">
      <c r="A1765" t="s">
        <v>2766</v>
      </c>
      <c r="B1765" s="1219"/>
      <c r="C1765">
        <v>14.498000000000001</v>
      </c>
      <c r="D1765" s="91">
        <v>44882</v>
      </c>
    </row>
    <row r="1766" spans="1:4">
      <c r="A1766" t="s">
        <v>2767</v>
      </c>
      <c r="B1766" s="1219"/>
      <c r="C1766">
        <v>15.532</v>
      </c>
      <c r="D1766" s="91">
        <v>44882</v>
      </c>
    </row>
    <row r="1767" spans="1:4">
      <c r="A1767" t="s">
        <v>2768</v>
      </c>
      <c r="B1767" s="1219"/>
      <c r="C1767">
        <v>19.657000000000004</v>
      </c>
      <c r="D1767" s="91">
        <v>44882</v>
      </c>
    </row>
    <row r="1768" spans="1:4">
      <c r="A1768" t="s">
        <v>2769</v>
      </c>
      <c r="B1768" s="1219"/>
      <c r="C1768">
        <v>3.2450000000000006</v>
      </c>
      <c r="D1768" s="91">
        <v>44882</v>
      </c>
    </row>
    <row r="1769" spans="1:4">
      <c r="A1769" t="s">
        <v>2770</v>
      </c>
      <c r="B1769" s="1219"/>
      <c r="C1769">
        <v>1.1000000000000001</v>
      </c>
      <c r="D1769" s="91">
        <v>44882</v>
      </c>
    </row>
    <row r="1770" spans="1:4">
      <c r="A1770" t="s">
        <v>2771</v>
      </c>
      <c r="B1770" s="1219"/>
      <c r="C1770">
        <v>6.6000000000000005</v>
      </c>
      <c r="D1770" s="91">
        <v>44882</v>
      </c>
    </row>
    <row r="1771" spans="1:4">
      <c r="A1771" t="s">
        <v>2772</v>
      </c>
      <c r="B1771" s="1219"/>
      <c r="C1771">
        <v>5.7640000000000011</v>
      </c>
      <c r="D1771" s="91">
        <v>44882</v>
      </c>
    </row>
    <row r="1772" spans="1:4">
      <c r="A1772" t="s">
        <v>2773</v>
      </c>
      <c r="B1772" s="1219"/>
      <c r="C1772">
        <v>1.5070000000000003</v>
      </c>
      <c r="D1772" s="91">
        <v>44882</v>
      </c>
    </row>
    <row r="1773" spans="1:4">
      <c r="A1773" t="s">
        <v>2774</v>
      </c>
      <c r="B1773" s="1219"/>
      <c r="C1773">
        <v>17.908000000000001</v>
      </c>
      <c r="D1773" s="91">
        <v>44882</v>
      </c>
    </row>
    <row r="1774" spans="1:4">
      <c r="A1774" t="s">
        <v>2775</v>
      </c>
      <c r="B1774" s="1219"/>
      <c r="C1774">
        <v>24.068000000000001</v>
      </c>
      <c r="D1774" s="91">
        <v>44882</v>
      </c>
    </row>
    <row r="1775" spans="1:4">
      <c r="A1775" t="s">
        <v>2776</v>
      </c>
      <c r="B1775" s="1219"/>
      <c r="C1775">
        <v>4.5979999999999999</v>
      </c>
      <c r="D1775" s="91">
        <v>44882</v>
      </c>
    </row>
    <row r="1776" spans="1:4">
      <c r="A1776" t="s">
        <v>2777</v>
      </c>
      <c r="B1776" s="1219"/>
      <c r="C1776">
        <v>8.5250000000000004</v>
      </c>
      <c r="D1776" s="91">
        <v>44882</v>
      </c>
    </row>
    <row r="1777" spans="1:4">
      <c r="A1777" t="s">
        <v>2778</v>
      </c>
      <c r="B1777" s="1219"/>
      <c r="C1777">
        <v>2.0350000000000001</v>
      </c>
      <c r="D1777" s="91">
        <v>44882</v>
      </c>
    </row>
    <row r="1778" spans="1:4">
      <c r="A1778" t="s">
        <v>2779</v>
      </c>
      <c r="B1778" s="1219"/>
      <c r="C1778">
        <v>1.2869999999999999</v>
      </c>
      <c r="D1778" s="91">
        <v>44882</v>
      </c>
    </row>
    <row r="1779" spans="1:4">
      <c r="A1779" t="s">
        <v>2780</v>
      </c>
      <c r="B1779" s="1219"/>
      <c r="C1779">
        <v>1.518</v>
      </c>
      <c r="D1779" s="91">
        <v>44882</v>
      </c>
    </row>
    <row r="1780" spans="1:4">
      <c r="A1780" t="s">
        <v>2781</v>
      </c>
      <c r="B1780" s="1219"/>
      <c r="C1780">
        <v>1.9360000000000002</v>
      </c>
      <c r="D1780" s="91">
        <v>44882</v>
      </c>
    </row>
    <row r="1781" spans="1:4">
      <c r="A1781" t="s">
        <v>2782</v>
      </c>
      <c r="B1781" s="1219"/>
      <c r="C1781">
        <v>18.406300000000002</v>
      </c>
      <c r="D1781" s="91">
        <v>44882</v>
      </c>
    </row>
    <row r="1782" spans="1:4">
      <c r="A1782" t="s">
        <v>2783</v>
      </c>
      <c r="B1782" s="1219"/>
      <c r="C1782">
        <v>3.7070000000000003</v>
      </c>
      <c r="D1782" s="91">
        <v>44882</v>
      </c>
    </row>
    <row r="1783" spans="1:4">
      <c r="A1783" t="s">
        <v>2784</v>
      </c>
      <c r="B1783" s="1219"/>
      <c r="C1783">
        <v>4.1360000000000001</v>
      </c>
      <c r="D1783" s="91">
        <v>44882</v>
      </c>
    </row>
    <row r="1784" spans="1:4">
      <c r="A1784" t="s">
        <v>2785</v>
      </c>
      <c r="B1784" s="1219"/>
      <c r="C1784">
        <v>15.185500000000001</v>
      </c>
      <c r="D1784" s="91">
        <v>44882</v>
      </c>
    </row>
    <row r="1785" spans="1:4">
      <c r="A1785" t="s">
        <v>2786</v>
      </c>
      <c r="B1785" s="1219"/>
      <c r="C1785">
        <v>3.8720000000000003</v>
      </c>
      <c r="D1785" s="91">
        <v>44882</v>
      </c>
    </row>
    <row r="1786" spans="1:4">
      <c r="A1786" t="s">
        <v>2787</v>
      </c>
      <c r="B1786" s="1219"/>
      <c r="C1786">
        <v>1.6610000000000003</v>
      </c>
      <c r="D1786" s="91">
        <v>44882</v>
      </c>
    </row>
    <row r="1787" spans="1:4">
      <c r="A1787" t="s">
        <v>2788</v>
      </c>
      <c r="B1787" s="1219"/>
      <c r="C1787">
        <v>1.1110000000000002</v>
      </c>
      <c r="D1787" s="91">
        <v>44882</v>
      </c>
    </row>
    <row r="1788" spans="1:4">
      <c r="A1788" t="s">
        <v>2789</v>
      </c>
      <c r="B1788" s="1219"/>
      <c r="C1788">
        <v>1.276</v>
      </c>
      <c r="D1788" s="91">
        <v>44882</v>
      </c>
    </row>
    <row r="1789" spans="1:4">
      <c r="A1789" t="s">
        <v>2790</v>
      </c>
      <c r="B1789" s="1219"/>
      <c r="C1789">
        <v>40.920000000000009</v>
      </c>
      <c r="D1789" s="91">
        <v>44882</v>
      </c>
    </row>
    <row r="1790" spans="1:4">
      <c r="A1790" t="s">
        <v>2791</v>
      </c>
      <c r="B1790" s="1219"/>
      <c r="C1790">
        <v>24.42</v>
      </c>
      <c r="D1790" s="91">
        <v>44882</v>
      </c>
    </row>
    <row r="1791" spans="1:4">
      <c r="A1791" t="s">
        <v>2792</v>
      </c>
      <c r="B1791" s="1219"/>
      <c r="C1791">
        <v>24.42</v>
      </c>
      <c r="D1791" s="91">
        <v>44882</v>
      </c>
    </row>
    <row r="1792" spans="1:4">
      <c r="A1792" t="s">
        <v>2793</v>
      </c>
      <c r="B1792" s="1219"/>
      <c r="C1792">
        <v>47.256000000000007</v>
      </c>
      <c r="D1792" s="91">
        <v>44882</v>
      </c>
    </row>
    <row r="1793" spans="1:4">
      <c r="A1793" t="s">
        <v>2794</v>
      </c>
      <c r="B1793" s="1219"/>
      <c r="C1793">
        <v>1.7050000000000003</v>
      </c>
      <c r="D1793" s="91">
        <v>44882</v>
      </c>
    </row>
    <row r="1794" spans="1:4">
      <c r="A1794" t="s">
        <v>2795</v>
      </c>
      <c r="B1794" s="1219"/>
      <c r="C1794">
        <v>6.0060000000000002</v>
      </c>
      <c r="D1794" s="91">
        <v>44882</v>
      </c>
    </row>
    <row r="1795" spans="1:4">
      <c r="A1795" t="s">
        <v>2796</v>
      </c>
      <c r="B1795" s="1219"/>
      <c r="C1795">
        <v>7.6890000000000009</v>
      </c>
      <c r="D1795" s="91">
        <v>44882</v>
      </c>
    </row>
    <row r="1796" spans="1:4">
      <c r="A1796" t="s">
        <v>2797</v>
      </c>
      <c r="B1796" s="1219"/>
      <c r="C1796">
        <v>9.9110000000000014</v>
      </c>
      <c r="D1796" s="91">
        <v>44882</v>
      </c>
    </row>
    <row r="1797" spans="1:4">
      <c r="A1797" t="s">
        <v>2798</v>
      </c>
      <c r="B1797" s="1219"/>
      <c r="C1797">
        <v>2.4640000000000004</v>
      </c>
      <c r="D1797" s="91">
        <v>44882</v>
      </c>
    </row>
    <row r="1798" spans="1:4">
      <c r="A1798" t="s">
        <v>2799</v>
      </c>
      <c r="B1798" s="1219"/>
      <c r="C1798">
        <v>17.182000000000002</v>
      </c>
      <c r="D1798" s="91">
        <v>44882</v>
      </c>
    </row>
    <row r="1799" spans="1:4">
      <c r="A1799" t="s">
        <v>2800</v>
      </c>
      <c r="B1799" s="1219"/>
      <c r="C1799">
        <v>2.5409999999999999</v>
      </c>
      <c r="D1799" s="91">
        <v>44882</v>
      </c>
    </row>
    <row r="1800" spans="1:4">
      <c r="A1800" t="s">
        <v>2801</v>
      </c>
      <c r="B1800" s="1219"/>
      <c r="C1800">
        <v>40.326000000000001</v>
      </c>
      <c r="D1800" s="91">
        <v>44882</v>
      </c>
    </row>
    <row r="1801" spans="1:4">
      <c r="A1801" t="s">
        <v>2802</v>
      </c>
      <c r="B1801" s="1219"/>
      <c r="C1801">
        <v>3.8720000000000003</v>
      </c>
      <c r="D1801" s="91">
        <v>44882</v>
      </c>
    </row>
    <row r="1802" spans="1:4">
      <c r="A1802" t="s">
        <v>2803</v>
      </c>
      <c r="B1802" s="1219"/>
      <c r="C1802">
        <v>12.023000000000001</v>
      </c>
      <c r="D1802" s="91">
        <v>44882</v>
      </c>
    </row>
    <row r="1803" spans="1:4">
      <c r="A1803" t="s">
        <v>2804</v>
      </c>
      <c r="B1803" s="1219"/>
      <c r="C1803">
        <v>19.288500000000003</v>
      </c>
      <c r="D1803" s="91">
        <v>44882</v>
      </c>
    </row>
    <row r="1804" spans="1:4">
      <c r="A1804" t="s">
        <v>2805</v>
      </c>
      <c r="B1804" s="1219"/>
      <c r="C1804">
        <v>25.234000000000002</v>
      </c>
      <c r="D1804" s="91">
        <v>44882</v>
      </c>
    </row>
    <row r="1805" spans="1:4">
      <c r="A1805" t="s">
        <v>2806</v>
      </c>
      <c r="B1805" s="1219"/>
      <c r="C1805">
        <v>50.225999999999999</v>
      </c>
      <c r="D1805" s="91">
        <v>44882</v>
      </c>
    </row>
    <row r="1806" spans="1:4">
      <c r="A1806" t="s">
        <v>2807</v>
      </c>
      <c r="B1806" s="1219"/>
      <c r="C1806">
        <v>18.711000000000002</v>
      </c>
      <c r="D1806" s="91">
        <v>44882</v>
      </c>
    </row>
    <row r="1807" spans="1:4">
      <c r="A1807" t="s">
        <v>2808</v>
      </c>
      <c r="B1807" s="1219"/>
      <c r="C1807">
        <v>9.7460000000000004</v>
      </c>
      <c r="D1807" s="91">
        <v>44882</v>
      </c>
    </row>
    <row r="1808" spans="1:4">
      <c r="A1808" t="s">
        <v>2809</v>
      </c>
      <c r="B1808" s="1219"/>
      <c r="C1808">
        <v>0.50600000000000012</v>
      </c>
      <c r="D1808" s="91">
        <v>44882</v>
      </c>
    </row>
    <row r="1809" spans="1:4">
      <c r="A1809" t="s">
        <v>2810</v>
      </c>
      <c r="B1809" s="1219"/>
      <c r="C1809">
        <v>1.7160000000000002</v>
      </c>
      <c r="D1809" s="91">
        <v>44882</v>
      </c>
    </row>
    <row r="1810" spans="1:4">
      <c r="A1810" t="s">
        <v>1026</v>
      </c>
      <c r="B1810" s="1219"/>
      <c r="C1810">
        <v>2.1779999999999999</v>
      </c>
      <c r="D1810" s="91">
        <v>44882</v>
      </c>
    </row>
    <row r="1811" spans="1:4">
      <c r="A1811" t="s">
        <v>1027</v>
      </c>
      <c r="B1811" s="1219"/>
      <c r="C1811">
        <v>1.881</v>
      </c>
      <c r="D1811" s="91">
        <v>44882</v>
      </c>
    </row>
    <row r="1812" spans="1:4">
      <c r="A1812" t="s">
        <v>1028</v>
      </c>
      <c r="B1812" s="1219"/>
      <c r="C1812">
        <v>3.0030000000000001</v>
      </c>
      <c r="D1812" s="91">
        <v>44882</v>
      </c>
    </row>
    <row r="1813" spans="1:4">
      <c r="A1813" t="s">
        <v>2811</v>
      </c>
      <c r="B1813" s="1219"/>
      <c r="C1813">
        <v>2.4640000000000004</v>
      </c>
      <c r="D1813" s="91">
        <v>44882</v>
      </c>
    </row>
    <row r="1814" spans="1:4">
      <c r="A1814" t="s">
        <v>2812</v>
      </c>
      <c r="B1814" s="1219"/>
      <c r="C1814">
        <v>5.335</v>
      </c>
      <c r="D1814" s="91">
        <v>44882</v>
      </c>
    </row>
    <row r="1815" spans="1:4">
      <c r="A1815" t="s">
        <v>2813</v>
      </c>
      <c r="B1815" s="1219"/>
      <c r="C1815">
        <v>7.3040000000000003</v>
      </c>
      <c r="D1815" s="91">
        <v>44882</v>
      </c>
    </row>
    <row r="1816" spans="1:4">
      <c r="A1816" t="s">
        <v>2814</v>
      </c>
      <c r="B1816" s="1219"/>
      <c r="C1816">
        <v>0.34100000000000003</v>
      </c>
      <c r="D1816" s="91">
        <v>44882</v>
      </c>
    </row>
    <row r="1817" spans="1:4">
      <c r="A1817" t="s">
        <v>2815</v>
      </c>
      <c r="B1817" s="1219"/>
      <c r="C1817">
        <v>0.37400000000000005</v>
      </c>
      <c r="D1817" s="91">
        <v>44882</v>
      </c>
    </row>
    <row r="1818" spans="1:4">
      <c r="A1818" t="s">
        <v>2816</v>
      </c>
      <c r="B1818" s="1219"/>
      <c r="C1818">
        <v>0.55000000000000004</v>
      </c>
      <c r="D1818" s="91">
        <v>44882</v>
      </c>
    </row>
    <row r="1819" spans="1:4">
      <c r="A1819" t="s">
        <v>2817</v>
      </c>
      <c r="B1819" s="1219"/>
      <c r="C1819">
        <v>0.50600000000000012</v>
      </c>
      <c r="D1819" s="91">
        <v>44882</v>
      </c>
    </row>
    <row r="1820" spans="1:4">
      <c r="A1820" t="s">
        <v>2818</v>
      </c>
      <c r="B1820" s="1219"/>
      <c r="C1820">
        <v>0.89100000000000013</v>
      </c>
      <c r="D1820" s="91">
        <v>44882</v>
      </c>
    </row>
    <row r="1821" spans="1:4">
      <c r="A1821" t="s">
        <v>2819</v>
      </c>
      <c r="B1821" s="1219"/>
      <c r="C1821">
        <v>1.2649999999999999</v>
      </c>
      <c r="D1821" s="91">
        <v>44882</v>
      </c>
    </row>
    <row r="1822" spans="1:4">
      <c r="A1822" t="s">
        <v>2820</v>
      </c>
      <c r="B1822" s="1219"/>
      <c r="C1822">
        <v>2.1890000000000001</v>
      </c>
      <c r="D1822" s="91">
        <v>44882</v>
      </c>
    </row>
    <row r="1823" spans="1:4">
      <c r="A1823" t="s">
        <v>2821</v>
      </c>
      <c r="B1823" s="1219"/>
      <c r="C1823">
        <v>105.49000000000001</v>
      </c>
      <c r="D1823" s="91">
        <v>44882</v>
      </c>
    </row>
    <row r="1824" spans="1:4">
      <c r="A1824" t="s">
        <v>2822</v>
      </c>
      <c r="B1824" s="1219"/>
      <c r="C1824">
        <v>66.759</v>
      </c>
      <c r="D1824" s="91">
        <v>44882</v>
      </c>
    </row>
    <row r="1825" spans="1:4">
      <c r="A1825" t="s">
        <v>2823</v>
      </c>
      <c r="B1825" s="1219"/>
      <c r="C1825">
        <v>2.9260000000000006</v>
      </c>
      <c r="D1825" s="91">
        <v>44882</v>
      </c>
    </row>
    <row r="1826" spans="1:4">
      <c r="A1826" t="s">
        <v>2824</v>
      </c>
      <c r="B1826" s="1219"/>
      <c r="C1826">
        <v>2.1560000000000001</v>
      </c>
      <c r="D1826" s="91">
        <v>44882</v>
      </c>
    </row>
    <row r="1827" spans="1:4">
      <c r="A1827" t="s">
        <v>2825</v>
      </c>
      <c r="B1827" s="1219"/>
      <c r="C1827">
        <v>8.1950000000000003</v>
      </c>
      <c r="D1827" s="91">
        <v>44882</v>
      </c>
    </row>
    <row r="1828" spans="1:4">
      <c r="A1828" t="s">
        <v>2826</v>
      </c>
      <c r="B1828" s="1219"/>
      <c r="C1828">
        <v>4.18</v>
      </c>
      <c r="D1828" s="91">
        <v>44882</v>
      </c>
    </row>
    <row r="1829" spans="1:4">
      <c r="A1829" t="s">
        <v>2827</v>
      </c>
      <c r="B1829" s="1219"/>
      <c r="C1829">
        <v>1.254</v>
      </c>
      <c r="D1829" s="91">
        <v>44882</v>
      </c>
    </row>
    <row r="1830" spans="1:4">
      <c r="A1830" t="s">
        <v>2828</v>
      </c>
      <c r="B1830" s="1219"/>
      <c r="C1830">
        <v>8.0410000000000004</v>
      </c>
      <c r="D1830" s="91">
        <v>44882</v>
      </c>
    </row>
    <row r="1831" spans="1:4">
      <c r="A1831" t="s">
        <v>2829</v>
      </c>
      <c r="B1831" s="1219"/>
      <c r="C1831">
        <v>1.5070000000000003</v>
      </c>
      <c r="D1831" s="91">
        <v>44882</v>
      </c>
    </row>
    <row r="1832" spans="1:4">
      <c r="A1832" t="s">
        <v>2830</v>
      </c>
      <c r="B1832" s="1219"/>
      <c r="C1832">
        <v>0.77</v>
      </c>
      <c r="D1832" s="91">
        <v>44882</v>
      </c>
    </row>
    <row r="1833" spans="1:4">
      <c r="A1833" t="s">
        <v>2831</v>
      </c>
      <c r="B1833" s="1219"/>
      <c r="C1833">
        <v>0.44000000000000006</v>
      </c>
      <c r="D1833" s="91">
        <v>44882</v>
      </c>
    </row>
    <row r="1834" spans="1:4">
      <c r="A1834" t="s">
        <v>2832</v>
      </c>
      <c r="B1834" s="1219"/>
      <c r="C1834">
        <v>0.29700000000000004</v>
      </c>
      <c r="D1834" s="91">
        <v>44882</v>
      </c>
    </row>
    <row r="1835" spans="1:4">
      <c r="A1835" t="s">
        <v>2833</v>
      </c>
      <c r="B1835" s="1219"/>
      <c r="C1835">
        <v>0.49500000000000005</v>
      </c>
      <c r="D1835" s="91">
        <v>44882</v>
      </c>
    </row>
    <row r="1836" spans="1:4">
      <c r="A1836" t="s">
        <v>2834</v>
      </c>
      <c r="B1836" s="1219"/>
      <c r="C1836">
        <v>0.20900000000000002</v>
      </c>
      <c r="D1836" s="91">
        <v>44882</v>
      </c>
    </row>
    <row r="1837" spans="1:4">
      <c r="A1837" t="s">
        <v>2835</v>
      </c>
      <c r="B1837" s="1219"/>
      <c r="C1837">
        <v>12.287000000000001</v>
      </c>
      <c r="D1837" s="91">
        <v>44882</v>
      </c>
    </row>
    <row r="1838" spans="1:4">
      <c r="A1838" t="s">
        <v>2836</v>
      </c>
      <c r="B1838" s="1219"/>
      <c r="C1838">
        <v>19.25</v>
      </c>
      <c r="D1838" s="91">
        <v>44882</v>
      </c>
    </row>
    <row r="1839" spans="1:4">
      <c r="A1839" t="s">
        <v>2837</v>
      </c>
      <c r="B1839" s="1219"/>
      <c r="C1839">
        <v>23.375000000000004</v>
      </c>
      <c r="D1839" s="91">
        <v>44882</v>
      </c>
    </row>
    <row r="1840" spans="1:4">
      <c r="A1840" t="s">
        <v>2838</v>
      </c>
      <c r="B1840" s="1219"/>
      <c r="C1840">
        <v>19.371000000000002</v>
      </c>
      <c r="D1840" s="91">
        <v>44882</v>
      </c>
    </row>
    <row r="1841" spans="1:4">
      <c r="A1841" t="s">
        <v>2839</v>
      </c>
      <c r="B1841" s="1219"/>
      <c r="C1841">
        <v>16.027000000000001</v>
      </c>
      <c r="D1841" s="91">
        <v>44882</v>
      </c>
    </row>
    <row r="1842" spans="1:4">
      <c r="A1842" t="s">
        <v>2840</v>
      </c>
      <c r="B1842" s="1219"/>
      <c r="C1842">
        <v>11.187000000000001</v>
      </c>
      <c r="D1842" s="91">
        <v>44882</v>
      </c>
    </row>
    <row r="1843" spans="1:4">
      <c r="A1843" t="s">
        <v>2841</v>
      </c>
      <c r="B1843" s="1219"/>
      <c r="C1843">
        <v>6.6330000000000009</v>
      </c>
      <c r="D1843" s="91">
        <v>44882</v>
      </c>
    </row>
    <row r="1844" spans="1:4">
      <c r="A1844" t="s">
        <v>2842</v>
      </c>
      <c r="B1844" s="1219"/>
      <c r="C1844">
        <v>3.4100000000000006</v>
      </c>
      <c r="D1844" s="91">
        <v>44882</v>
      </c>
    </row>
    <row r="1845" spans="1:4">
      <c r="A1845" t="s">
        <v>2843</v>
      </c>
      <c r="B1845" s="1219"/>
      <c r="C1845">
        <v>2.0350000000000001</v>
      </c>
      <c r="D1845" s="91">
        <v>44882</v>
      </c>
    </row>
    <row r="1846" spans="1:4">
      <c r="A1846" t="s">
        <v>2844</v>
      </c>
      <c r="B1846" s="1219"/>
      <c r="C1846">
        <v>1.353</v>
      </c>
      <c r="D1846" s="91">
        <v>44882</v>
      </c>
    </row>
    <row r="1847" spans="1:4">
      <c r="A1847" t="s">
        <v>2845</v>
      </c>
      <c r="B1847" s="1219"/>
      <c r="C1847">
        <v>0.78100000000000003</v>
      </c>
      <c r="D1847" s="91">
        <v>44882</v>
      </c>
    </row>
    <row r="1848" spans="1:4">
      <c r="A1848" t="s">
        <v>2846</v>
      </c>
      <c r="B1848" s="1219"/>
      <c r="C1848">
        <v>0.91300000000000003</v>
      </c>
      <c r="D1848" s="91">
        <v>44882</v>
      </c>
    </row>
    <row r="1849" spans="1:4">
      <c r="A1849" t="s">
        <v>2847</v>
      </c>
      <c r="B1849" s="1219"/>
      <c r="C1849">
        <v>19.239000000000001</v>
      </c>
      <c r="D1849" s="91">
        <v>44882</v>
      </c>
    </row>
    <row r="1850" spans="1:4">
      <c r="A1850" t="s">
        <v>2848</v>
      </c>
      <c r="B1850" s="1219"/>
      <c r="C1850">
        <v>12.793000000000001</v>
      </c>
      <c r="D1850" s="91">
        <v>44882</v>
      </c>
    </row>
    <row r="1851" spans="1:4">
      <c r="A1851" t="s">
        <v>2849</v>
      </c>
      <c r="B1851" s="1219"/>
      <c r="C1851">
        <v>8.0739999999999998</v>
      </c>
      <c r="D1851" s="91">
        <v>44882</v>
      </c>
    </row>
    <row r="1852" spans="1:4">
      <c r="A1852" t="s">
        <v>2850</v>
      </c>
      <c r="B1852" s="1219"/>
      <c r="C1852">
        <v>3.6190000000000002</v>
      </c>
      <c r="D1852" s="91">
        <v>44882</v>
      </c>
    </row>
    <row r="1853" spans="1:4">
      <c r="A1853" t="s">
        <v>2851</v>
      </c>
      <c r="B1853" s="1219"/>
      <c r="C1853">
        <v>2.6619999999999999</v>
      </c>
      <c r="D1853" s="91">
        <v>44882</v>
      </c>
    </row>
    <row r="1854" spans="1:4">
      <c r="A1854" t="s">
        <v>2852</v>
      </c>
      <c r="B1854" s="1219"/>
      <c r="C1854">
        <v>1.7929999999999999</v>
      </c>
      <c r="D1854" s="91">
        <v>44882</v>
      </c>
    </row>
    <row r="1855" spans="1:4">
      <c r="A1855" t="s">
        <v>2853</v>
      </c>
      <c r="B1855" s="1219"/>
      <c r="C1855">
        <v>1.1000000000000001</v>
      </c>
      <c r="D1855" s="91">
        <v>44882</v>
      </c>
    </row>
    <row r="1856" spans="1:4">
      <c r="A1856" t="s">
        <v>2854</v>
      </c>
      <c r="B1856" s="1219"/>
      <c r="C1856">
        <v>4.6970000000000001</v>
      </c>
      <c r="D1856" s="91">
        <v>44882</v>
      </c>
    </row>
    <row r="1857" spans="1:4">
      <c r="A1857" t="s">
        <v>2855</v>
      </c>
      <c r="B1857" s="1219"/>
      <c r="C1857">
        <v>0.9900000000000001</v>
      </c>
      <c r="D1857" s="91">
        <v>44882</v>
      </c>
    </row>
    <row r="1858" spans="1:4">
      <c r="A1858" t="s">
        <v>2856</v>
      </c>
      <c r="B1858" s="1219"/>
      <c r="C1858">
        <v>6.9190000000000005</v>
      </c>
      <c r="D1858" s="91">
        <v>44882</v>
      </c>
    </row>
    <row r="1859" spans="1:4">
      <c r="A1859" t="s">
        <v>2857</v>
      </c>
      <c r="B1859" s="1219"/>
      <c r="C1859">
        <v>3.4210000000000003</v>
      </c>
      <c r="D1859" s="91">
        <v>44882</v>
      </c>
    </row>
    <row r="1860" spans="1:4">
      <c r="A1860" t="s">
        <v>2858</v>
      </c>
      <c r="B1860" s="1219"/>
      <c r="C1860">
        <v>2.6730000000000005</v>
      </c>
      <c r="D1860" s="91">
        <v>44882</v>
      </c>
    </row>
    <row r="1861" spans="1:4">
      <c r="A1861" t="s">
        <v>2859</v>
      </c>
      <c r="B1861" s="1219"/>
      <c r="C1861">
        <v>1.6940000000000002</v>
      </c>
      <c r="D1861" s="91">
        <v>44882</v>
      </c>
    </row>
    <row r="1862" spans="1:4">
      <c r="A1862" t="s">
        <v>2860</v>
      </c>
      <c r="B1862" s="1219"/>
      <c r="C1862">
        <v>1.254</v>
      </c>
      <c r="D1862" s="91">
        <v>44882</v>
      </c>
    </row>
    <row r="1863" spans="1:4">
      <c r="A1863" t="s">
        <v>2861</v>
      </c>
      <c r="B1863" s="1219"/>
      <c r="C1863">
        <v>0.72600000000000009</v>
      </c>
      <c r="D1863" s="91">
        <v>44882</v>
      </c>
    </row>
    <row r="1864" spans="1:4">
      <c r="A1864" t="s">
        <v>2862</v>
      </c>
      <c r="B1864" s="1219"/>
      <c r="C1864">
        <v>0.8580000000000001</v>
      </c>
      <c r="D1864" s="91">
        <v>44882</v>
      </c>
    </row>
    <row r="1865" spans="1:4">
      <c r="A1865" t="s">
        <v>2863</v>
      </c>
      <c r="B1865" s="1219"/>
      <c r="C1865">
        <v>0.79200000000000004</v>
      </c>
      <c r="D1865" s="91">
        <v>44882</v>
      </c>
    </row>
    <row r="1866" spans="1:4">
      <c r="A1866" t="s">
        <v>2864</v>
      </c>
      <c r="B1866" s="1219"/>
      <c r="C1866">
        <v>1.7820000000000003</v>
      </c>
      <c r="D1866" s="91">
        <v>44882</v>
      </c>
    </row>
    <row r="1867" spans="1:4">
      <c r="A1867" t="s">
        <v>2865</v>
      </c>
      <c r="B1867" s="1219"/>
      <c r="C1867">
        <v>7.524</v>
      </c>
      <c r="D1867" s="91">
        <v>44882</v>
      </c>
    </row>
    <row r="1868" spans="1:4">
      <c r="A1868" t="s">
        <v>2866</v>
      </c>
      <c r="B1868" s="1219"/>
      <c r="C1868">
        <v>19.393000000000001</v>
      </c>
      <c r="D1868" s="91">
        <v>44882</v>
      </c>
    </row>
    <row r="1869" spans="1:4">
      <c r="A1869" t="s">
        <v>2867</v>
      </c>
      <c r="B1869" s="1219"/>
      <c r="C1869">
        <v>27.324000000000002</v>
      </c>
      <c r="D1869" s="91">
        <v>44882</v>
      </c>
    </row>
    <row r="1870" spans="1:4">
      <c r="A1870" t="s">
        <v>2868</v>
      </c>
      <c r="B1870" s="1219"/>
      <c r="C1870">
        <v>4.0590000000000002</v>
      </c>
      <c r="D1870" s="91">
        <v>44882</v>
      </c>
    </row>
    <row r="1871" spans="1:4">
      <c r="A1871" t="s">
        <v>2869</v>
      </c>
      <c r="B1871" s="1219"/>
      <c r="C1871">
        <v>4.5760000000000005</v>
      </c>
      <c r="D1871" s="91">
        <v>44882</v>
      </c>
    </row>
    <row r="1872" spans="1:4">
      <c r="A1872" t="s">
        <v>2870</v>
      </c>
      <c r="B1872" s="1219"/>
      <c r="C1872">
        <v>2.8160000000000003</v>
      </c>
      <c r="D1872" s="91">
        <v>44882</v>
      </c>
    </row>
    <row r="1873" spans="1:4">
      <c r="A1873" t="s">
        <v>2871</v>
      </c>
      <c r="B1873" s="1219"/>
      <c r="C1873">
        <v>3.6410000000000005</v>
      </c>
      <c r="D1873" s="91">
        <v>44882</v>
      </c>
    </row>
    <row r="1874" spans="1:4">
      <c r="A1874" t="s">
        <v>2872</v>
      </c>
      <c r="B1874" s="1219"/>
      <c r="C1874">
        <v>1.4630000000000003</v>
      </c>
      <c r="D1874" s="91">
        <v>44882</v>
      </c>
    </row>
    <row r="1875" spans="1:4">
      <c r="A1875" t="s">
        <v>2873</v>
      </c>
      <c r="B1875" s="1219"/>
      <c r="C1875">
        <v>1.881</v>
      </c>
      <c r="D1875" s="91">
        <v>44882</v>
      </c>
    </row>
    <row r="1876" spans="1:4">
      <c r="A1876" t="s">
        <v>2874</v>
      </c>
      <c r="B1876" s="1219"/>
      <c r="C1876">
        <v>2.9700000000000006</v>
      </c>
      <c r="D1876" s="91">
        <v>44882</v>
      </c>
    </row>
    <row r="1877" spans="1:4">
      <c r="A1877" t="s">
        <v>2875</v>
      </c>
      <c r="B1877" s="1219"/>
      <c r="C1877">
        <v>0.91300000000000003</v>
      </c>
      <c r="D1877" s="91">
        <v>44882</v>
      </c>
    </row>
    <row r="1878" spans="1:4">
      <c r="A1878" t="s">
        <v>2876</v>
      </c>
      <c r="B1878" s="1219"/>
      <c r="C1878">
        <v>0.75900000000000001</v>
      </c>
      <c r="D1878" s="91">
        <v>44882</v>
      </c>
    </row>
    <row r="1879" spans="1:4">
      <c r="A1879" t="s">
        <v>2877</v>
      </c>
      <c r="B1879" s="1219"/>
      <c r="C1879">
        <v>2.3650000000000002</v>
      </c>
      <c r="D1879" s="91">
        <v>44882</v>
      </c>
    </row>
    <row r="1880" spans="1:4">
      <c r="A1880" t="s">
        <v>2878</v>
      </c>
      <c r="B1880" s="1219"/>
      <c r="C1880">
        <v>0.88000000000000012</v>
      </c>
      <c r="D1880" s="91">
        <v>44882</v>
      </c>
    </row>
    <row r="1881" spans="1:4">
      <c r="A1881" t="s">
        <v>2879</v>
      </c>
      <c r="B1881" s="1219"/>
      <c r="C1881">
        <v>1.8480000000000001</v>
      </c>
      <c r="D1881" s="91">
        <v>44882</v>
      </c>
    </row>
    <row r="1882" spans="1:4">
      <c r="A1882" t="s">
        <v>2880</v>
      </c>
      <c r="B1882" s="1219"/>
      <c r="C1882">
        <v>1.573</v>
      </c>
      <c r="D1882" s="91">
        <v>44882</v>
      </c>
    </row>
    <row r="1883" spans="1:4">
      <c r="A1883" t="s">
        <v>2881</v>
      </c>
      <c r="B1883" s="1219"/>
      <c r="C1883">
        <v>2.387</v>
      </c>
      <c r="D1883" s="91">
        <v>44882</v>
      </c>
    </row>
    <row r="1884" spans="1:4">
      <c r="A1884" t="s">
        <v>2882</v>
      </c>
      <c r="B1884" s="1219"/>
      <c r="C1884">
        <v>0.627</v>
      </c>
      <c r="D1884" s="91">
        <v>44882</v>
      </c>
    </row>
    <row r="1885" spans="1:4">
      <c r="A1885" t="s">
        <v>2883</v>
      </c>
      <c r="B1885" s="1219"/>
      <c r="C1885">
        <v>1.7600000000000002</v>
      </c>
      <c r="D1885" s="91">
        <v>44882</v>
      </c>
    </row>
    <row r="1886" spans="1:4">
      <c r="A1886" t="s">
        <v>2884</v>
      </c>
      <c r="B1886" s="1219"/>
      <c r="C1886">
        <v>3.8500000000000005</v>
      </c>
      <c r="D1886" s="91">
        <v>44882</v>
      </c>
    </row>
    <row r="1887" spans="1:4">
      <c r="A1887" t="s">
        <v>2885</v>
      </c>
      <c r="B1887" s="1219"/>
      <c r="C1887">
        <v>15.257</v>
      </c>
      <c r="D1887" s="91">
        <v>44882</v>
      </c>
    </row>
    <row r="1888" spans="1:4">
      <c r="A1888" t="s">
        <v>2886</v>
      </c>
      <c r="B1888" s="1219"/>
      <c r="C1888">
        <v>3.6630000000000003</v>
      </c>
      <c r="D1888" s="91">
        <v>44882</v>
      </c>
    </row>
    <row r="1889" spans="1:4">
      <c r="A1889" t="s">
        <v>2887</v>
      </c>
      <c r="B1889" s="1219"/>
      <c r="C1889">
        <v>4.8070000000000004</v>
      </c>
      <c r="D1889" s="91">
        <v>44882</v>
      </c>
    </row>
    <row r="1890" spans="1:4">
      <c r="A1890" t="s">
        <v>2888</v>
      </c>
      <c r="B1890" s="1219"/>
      <c r="C1890">
        <v>2.6070000000000002</v>
      </c>
      <c r="D1890" s="91">
        <v>44882</v>
      </c>
    </row>
    <row r="1891" spans="1:4">
      <c r="A1891" t="s">
        <v>2889</v>
      </c>
      <c r="B1891" s="1219"/>
      <c r="C1891">
        <v>2.4200000000000004</v>
      </c>
      <c r="D1891" s="91">
        <v>44882</v>
      </c>
    </row>
    <row r="1892" spans="1:4">
      <c r="A1892" t="s">
        <v>2890</v>
      </c>
      <c r="B1892" s="1219"/>
      <c r="C1892">
        <v>1.3860000000000001</v>
      </c>
      <c r="D1892" s="91">
        <v>44882</v>
      </c>
    </row>
    <row r="1893" spans="1:4">
      <c r="A1893" t="s">
        <v>2891</v>
      </c>
      <c r="B1893" s="1219"/>
      <c r="C1893">
        <v>2.0790000000000002</v>
      </c>
      <c r="D1893" s="91">
        <v>44882</v>
      </c>
    </row>
    <row r="1894" spans="1:4">
      <c r="A1894" t="s">
        <v>2892</v>
      </c>
      <c r="B1894" s="1219"/>
      <c r="C1894">
        <v>1.3860000000000001</v>
      </c>
      <c r="D1894" s="91">
        <v>44882</v>
      </c>
    </row>
    <row r="1895" spans="1:4">
      <c r="A1895" t="s">
        <v>2893</v>
      </c>
      <c r="B1895" s="1219"/>
      <c r="C1895">
        <v>1.518</v>
      </c>
      <c r="D1895" s="91">
        <v>44882</v>
      </c>
    </row>
    <row r="1896" spans="1:4">
      <c r="A1896" t="s">
        <v>2894</v>
      </c>
      <c r="B1896" s="1219"/>
      <c r="C1896">
        <v>0.55000000000000004</v>
      </c>
      <c r="D1896" s="91">
        <v>44882</v>
      </c>
    </row>
    <row r="1897" spans="1:4">
      <c r="A1897" t="s">
        <v>2895</v>
      </c>
      <c r="B1897" s="1219"/>
      <c r="C1897">
        <v>1.4300000000000002</v>
      </c>
      <c r="D1897" s="91">
        <v>44882</v>
      </c>
    </row>
    <row r="1898" spans="1:4">
      <c r="A1898" t="s">
        <v>2896</v>
      </c>
      <c r="B1898" s="1219"/>
      <c r="C1898">
        <v>0.9900000000000001</v>
      </c>
      <c r="D1898" s="91">
        <v>44882</v>
      </c>
    </row>
    <row r="1899" spans="1:4">
      <c r="A1899" t="s">
        <v>2897</v>
      </c>
      <c r="B1899" s="1219"/>
      <c r="C1899">
        <v>7.0400000000000009</v>
      </c>
      <c r="D1899" s="91">
        <v>44882</v>
      </c>
    </row>
    <row r="1900" spans="1:4">
      <c r="A1900" t="s">
        <v>2898</v>
      </c>
      <c r="B1900" s="1219"/>
      <c r="C1900">
        <v>13.376000000000001</v>
      </c>
      <c r="D1900" s="91">
        <v>44882</v>
      </c>
    </row>
    <row r="1901" spans="1:4">
      <c r="A1901" t="s">
        <v>2899</v>
      </c>
      <c r="B1901" s="1219"/>
      <c r="C1901">
        <v>24.332000000000004</v>
      </c>
      <c r="D1901" s="91">
        <v>44882</v>
      </c>
    </row>
    <row r="1902" spans="1:4">
      <c r="A1902" t="s">
        <v>2900</v>
      </c>
      <c r="B1902" s="1219"/>
      <c r="C1902">
        <v>2.09</v>
      </c>
      <c r="D1902" s="91">
        <v>44882</v>
      </c>
    </row>
    <row r="1903" spans="1:4">
      <c r="A1903" t="s">
        <v>2901</v>
      </c>
      <c r="B1903" s="1219"/>
      <c r="C1903">
        <v>5.0599999999999996</v>
      </c>
      <c r="D1903" s="91">
        <v>44882</v>
      </c>
    </row>
    <row r="1904" spans="1:4">
      <c r="A1904" t="s">
        <v>2902</v>
      </c>
      <c r="B1904" s="1219"/>
      <c r="C1904">
        <v>8.2940000000000005</v>
      </c>
      <c r="D1904" s="91">
        <v>44882</v>
      </c>
    </row>
    <row r="1905" spans="1:4">
      <c r="A1905" t="s">
        <v>2903</v>
      </c>
      <c r="B1905" s="1219"/>
      <c r="C1905">
        <v>1.9360000000000002</v>
      </c>
      <c r="D1905" s="91">
        <v>44882</v>
      </c>
    </row>
    <row r="1906" spans="1:4">
      <c r="A1906" t="s">
        <v>2904</v>
      </c>
      <c r="B1906" s="1219"/>
      <c r="C1906">
        <v>3.2010000000000005</v>
      </c>
      <c r="D1906" s="91">
        <v>44882</v>
      </c>
    </row>
    <row r="1907" spans="1:4">
      <c r="A1907" t="s">
        <v>2905</v>
      </c>
      <c r="B1907" s="1219"/>
      <c r="C1907">
        <v>0.94600000000000006</v>
      </c>
      <c r="D1907" s="91">
        <v>44882</v>
      </c>
    </row>
    <row r="1908" spans="1:4">
      <c r="A1908" t="s">
        <v>2906</v>
      </c>
      <c r="B1908" s="1219"/>
      <c r="C1908">
        <v>1.639</v>
      </c>
      <c r="D1908" s="91">
        <v>44882</v>
      </c>
    </row>
    <row r="1909" spans="1:4">
      <c r="A1909" t="s">
        <v>2907</v>
      </c>
      <c r="B1909" s="1219"/>
      <c r="C1909">
        <v>7.2380000000000004</v>
      </c>
      <c r="D1909" s="91">
        <v>44882</v>
      </c>
    </row>
    <row r="1910" spans="1:4">
      <c r="A1910" t="s">
        <v>2908</v>
      </c>
      <c r="B1910" s="1219"/>
      <c r="C1910">
        <v>0.89100000000000013</v>
      </c>
      <c r="D1910" s="91">
        <v>44882</v>
      </c>
    </row>
    <row r="1911" spans="1:4">
      <c r="A1911" t="s">
        <v>2909</v>
      </c>
      <c r="B1911" s="1219"/>
      <c r="C1911">
        <v>0.92400000000000004</v>
      </c>
      <c r="D1911" s="91">
        <v>44882</v>
      </c>
    </row>
    <row r="1912" spans="1:4">
      <c r="A1912" t="s">
        <v>2910</v>
      </c>
      <c r="B1912" s="1219"/>
      <c r="C1912">
        <v>6.6990000000000007</v>
      </c>
      <c r="D1912" s="91">
        <v>44882</v>
      </c>
    </row>
    <row r="1913" spans="1:4">
      <c r="A1913" t="s">
        <v>2911</v>
      </c>
      <c r="B1913" s="1219"/>
      <c r="C1913">
        <v>0.33</v>
      </c>
      <c r="D1913" s="91">
        <v>44882</v>
      </c>
    </row>
    <row r="1914" spans="1:4">
      <c r="A1914" t="s">
        <v>2912</v>
      </c>
      <c r="B1914" s="1219"/>
      <c r="C1914">
        <v>1.8480000000000001</v>
      </c>
      <c r="D1914" s="91">
        <v>44882</v>
      </c>
    </row>
    <row r="1915" spans="1:4">
      <c r="A1915" t="s">
        <v>2913</v>
      </c>
      <c r="B1915" s="1219"/>
      <c r="C1915">
        <v>1.0449999999999999</v>
      </c>
      <c r="D1915" s="91">
        <v>44882</v>
      </c>
    </row>
    <row r="1916" spans="1:4">
      <c r="A1916" t="s">
        <v>2914</v>
      </c>
      <c r="B1916" s="1219"/>
      <c r="C1916">
        <v>0.84700000000000009</v>
      </c>
      <c r="D1916" s="91">
        <v>44882</v>
      </c>
    </row>
    <row r="1917" spans="1:4">
      <c r="A1917" t="s">
        <v>2915</v>
      </c>
      <c r="B1917" s="1219"/>
      <c r="C1917">
        <v>0.33</v>
      </c>
      <c r="D1917" s="91">
        <v>44882</v>
      </c>
    </row>
    <row r="1918" spans="1:4">
      <c r="A1918" t="s">
        <v>2916</v>
      </c>
      <c r="B1918" s="1219"/>
      <c r="C1918">
        <v>20.79</v>
      </c>
      <c r="D1918" s="91">
        <v>44882</v>
      </c>
    </row>
    <row r="1919" spans="1:4">
      <c r="A1919" t="s">
        <v>2917</v>
      </c>
      <c r="B1919" s="1219"/>
      <c r="C1919">
        <v>14.399000000000001</v>
      </c>
      <c r="D1919" s="91">
        <v>44882</v>
      </c>
    </row>
    <row r="1920" spans="1:4">
      <c r="A1920" t="s">
        <v>2918</v>
      </c>
      <c r="B1920" s="1219"/>
      <c r="C1920">
        <v>9.4489999999999998</v>
      </c>
      <c r="D1920" s="91">
        <v>44882</v>
      </c>
    </row>
    <row r="1921" spans="1:4">
      <c r="A1921" t="s">
        <v>2919</v>
      </c>
      <c r="B1921" s="1219"/>
      <c r="C1921">
        <v>4.5650000000000004</v>
      </c>
      <c r="D1921" s="91">
        <v>44882</v>
      </c>
    </row>
    <row r="1922" spans="1:4">
      <c r="A1922" t="s">
        <v>2920</v>
      </c>
      <c r="B1922" s="1219"/>
      <c r="C1922">
        <v>3.5750000000000002</v>
      </c>
      <c r="D1922" s="91">
        <v>44882</v>
      </c>
    </row>
    <row r="1923" spans="1:4">
      <c r="A1923" t="s">
        <v>2921</v>
      </c>
      <c r="B1923" s="1219"/>
      <c r="C1923">
        <v>2.0790000000000002</v>
      </c>
      <c r="D1923" s="91">
        <v>44882</v>
      </c>
    </row>
    <row r="1924" spans="1:4">
      <c r="A1924" t="s">
        <v>2922</v>
      </c>
      <c r="B1924" s="1219"/>
      <c r="C1924">
        <v>1.7820000000000003</v>
      </c>
      <c r="D1924" s="91">
        <v>44882</v>
      </c>
    </row>
    <row r="1925" spans="1:4">
      <c r="A1925" t="s">
        <v>2923</v>
      </c>
      <c r="B1925" s="1219"/>
      <c r="C1925">
        <v>82.390000000000015</v>
      </c>
      <c r="D1925" s="91">
        <v>44882</v>
      </c>
    </row>
    <row r="1926" spans="1:4">
      <c r="A1926" t="s">
        <v>2924</v>
      </c>
      <c r="B1926" s="1219"/>
      <c r="C1926">
        <v>52.899000000000008</v>
      </c>
      <c r="D1926" s="91">
        <v>44882</v>
      </c>
    </row>
    <row r="1927" spans="1:4">
      <c r="A1927" t="s">
        <v>2925</v>
      </c>
      <c r="B1927" s="1219"/>
      <c r="C1927">
        <v>44.858000000000004</v>
      </c>
      <c r="D1927" s="91">
        <v>44882</v>
      </c>
    </row>
    <row r="1928" spans="1:4">
      <c r="A1928" t="s">
        <v>2926</v>
      </c>
      <c r="B1928" s="1219"/>
      <c r="C1928">
        <v>24.914999999999999</v>
      </c>
      <c r="D1928" s="91">
        <v>44882</v>
      </c>
    </row>
    <row r="1929" spans="1:4">
      <c r="A1929" t="s">
        <v>2927</v>
      </c>
      <c r="B1929" s="1219"/>
      <c r="C1929">
        <v>18.172000000000001</v>
      </c>
      <c r="D1929" s="91">
        <v>44882</v>
      </c>
    </row>
    <row r="1930" spans="1:4">
      <c r="A1930" t="s">
        <v>2928</v>
      </c>
      <c r="B1930" s="1219"/>
      <c r="C1930">
        <v>7.8540000000000001</v>
      </c>
      <c r="D1930" s="91">
        <v>44882</v>
      </c>
    </row>
    <row r="1931" spans="1:4">
      <c r="A1931" t="s">
        <v>2929</v>
      </c>
      <c r="B1931" s="1219"/>
      <c r="C1931">
        <v>11.858000000000001</v>
      </c>
      <c r="D1931" s="91">
        <v>44882</v>
      </c>
    </row>
    <row r="1932" spans="1:4">
      <c r="A1932" t="s">
        <v>2930</v>
      </c>
      <c r="B1932" s="1219"/>
      <c r="C1932">
        <v>72.149000000000015</v>
      </c>
      <c r="D1932" s="91">
        <v>44882</v>
      </c>
    </row>
    <row r="1933" spans="1:4">
      <c r="A1933" t="s">
        <v>2931</v>
      </c>
      <c r="B1933" s="1219"/>
      <c r="C1933">
        <v>45.628</v>
      </c>
      <c r="D1933" s="91">
        <v>44882</v>
      </c>
    </row>
    <row r="1934" spans="1:4">
      <c r="A1934" t="s">
        <v>2932</v>
      </c>
      <c r="B1934" s="1219"/>
      <c r="C1934">
        <v>30.030000000000005</v>
      </c>
      <c r="D1934" s="91">
        <v>44882</v>
      </c>
    </row>
    <row r="1935" spans="1:4">
      <c r="A1935" t="s">
        <v>2933</v>
      </c>
      <c r="B1935" s="1219"/>
      <c r="C1935">
        <v>20.02</v>
      </c>
      <c r="D1935" s="91">
        <v>44882</v>
      </c>
    </row>
    <row r="1936" spans="1:4">
      <c r="A1936" t="s">
        <v>2934</v>
      </c>
      <c r="B1936" s="1219"/>
      <c r="C1936">
        <v>13.398000000000001</v>
      </c>
      <c r="D1936" s="91">
        <v>44882</v>
      </c>
    </row>
    <row r="1937" spans="1:4">
      <c r="A1937" t="s">
        <v>2935</v>
      </c>
      <c r="B1937" s="1219"/>
      <c r="C1937">
        <v>9.9</v>
      </c>
      <c r="D1937" s="91">
        <v>44882</v>
      </c>
    </row>
    <row r="1938" spans="1:4">
      <c r="A1938" t="s">
        <v>2936</v>
      </c>
      <c r="B1938" s="1219"/>
      <c r="C1938">
        <v>8.9320000000000004</v>
      </c>
      <c r="D1938" s="91">
        <v>44882</v>
      </c>
    </row>
    <row r="1939" spans="1:4">
      <c r="A1939" t="s">
        <v>2937</v>
      </c>
      <c r="B1939" s="1219"/>
      <c r="C1939">
        <v>39.808999999999997</v>
      </c>
      <c r="D1939" s="91">
        <v>44882</v>
      </c>
    </row>
    <row r="1940" spans="1:4">
      <c r="A1940" t="s">
        <v>2938</v>
      </c>
      <c r="B1940" s="1219"/>
      <c r="C1940">
        <v>33.880000000000003</v>
      </c>
      <c r="D1940" s="91">
        <v>44882</v>
      </c>
    </row>
    <row r="1941" spans="1:4">
      <c r="A1941" t="s">
        <v>2939</v>
      </c>
      <c r="B1941" s="1219"/>
      <c r="C1941">
        <v>28.182000000000002</v>
      </c>
      <c r="D1941" s="91">
        <v>44882</v>
      </c>
    </row>
    <row r="1942" spans="1:4">
      <c r="A1942" t="s">
        <v>2940</v>
      </c>
      <c r="B1942" s="1219"/>
      <c r="C1942">
        <v>16.632000000000001</v>
      </c>
      <c r="D1942" s="91">
        <v>44882</v>
      </c>
    </row>
    <row r="1943" spans="1:4">
      <c r="A1943" t="s">
        <v>2941</v>
      </c>
      <c r="B1943" s="1219"/>
      <c r="C1943">
        <v>8.3160000000000007</v>
      </c>
      <c r="D1943" s="91">
        <v>44882</v>
      </c>
    </row>
    <row r="1944" spans="1:4">
      <c r="A1944" t="s">
        <v>2942</v>
      </c>
      <c r="B1944" s="1219"/>
      <c r="C1944">
        <v>16.940000000000001</v>
      </c>
      <c r="D1944" s="91">
        <v>44882</v>
      </c>
    </row>
    <row r="1945" spans="1:4">
      <c r="A1945" t="s">
        <v>2943</v>
      </c>
      <c r="B1945" s="1219"/>
      <c r="C1945">
        <v>57.857800000000005</v>
      </c>
      <c r="D1945" s="91">
        <v>44882</v>
      </c>
    </row>
    <row r="1946" spans="1:4">
      <c r="A1946" t="s">
        <v>2944</v>
      </c>
      <c r="B1946" s="1219"/>
      <c r="C1946">
        <v>90.682900000000004</v>
      </c>
      <c r="D1946" s="91">
        <v>44882</v>
      </c>
    </row>
    <row r="1947" spans="1:4">
      <c r="A1947" t="s">
        <v>2945</v>
      </c>
      <c r="B1947" s="1219"/>
      <c r="C1947">
        <v>108.82410000000002</v>
      </c>
      <c r="D1947" s="91">
        <v>44882</v>
      </c>
    </row>
    <row r="1948" spans="1:4">
      <c r="A1948" t="s">
        <v>2946</v>
      </c>
      <c r="B1948" s="1219"/>
      <c r="C1948">
        <v>145.09110000000001</v>
      </c>
      <c r="D1948" s="91">
        <v>44882</v>
      </c>
    </row>
    <row r="1949" spans="1:4">
      <c r="A1949" t="s">
        <v>2947</v>
      </c>
      <c r="B1949" s="1219"/>
      <c r="C1949">
        <v>1.0846</v>
      </c>
      <c r="D1949" s="91">
        <v>44882</v>
      </c>
    </row>
    <row r="1950" spans="1:4">
      <c r="A1950" t="s">
        <v>2948</v>
      </c>
      <c r="B1950" s="1219"/>
      <c r="C1950">
        <v>1.5631000000000002</v>
      </c>
      <c r="D1950" s="91">
        <v>44882</v>
      </c>
    </row>
    <row r="1951" spans="1:4">
      <c r="A1951" t="s">
        <v>2949</v>
      </c>
      <c r="B1951" s="1219"/>
      <c r="C1951">
        <v>1.7710000000000004</v>
      </c>
      <c r="D1951" s="91">
        <v>44882</v>
      </c>
    </row>
    <row r="1952" spans="1:4">
      <c r="A1952" t="s">
        <v>2950</v>
      </c>
      <c r="B1952" s="1219"/>
      <c r="C1952">
        <v>4.5463000000000005</v>
      </c>
      <c r="D1952" s="91">
        <v>44882</v>
      </c>
    </row>
    <row r="1953" spans="1:4">
      <c r="A1953" t="s">
        <v>2951</v>
      </c>
      <c r="B1953" s="1219"/>
      <c r="C1953">
        <v>6.460300000000001</v>
      </c>
      <c r="D1953" s="91">
        <v>44882</v>
      </c>
    </row>
    <row r="1954" spans="1:4">
      <c r="A1954" t="s">
        <v>2952</v>
      </c>
      <c r="B1954" s="1219"/>
      <c r="C1954">
        <v>4.5430000000000001</v>
      </c>
      <c r="D1954" s="91">
        <v>44882</v>
      </c>
    </row>
    <row r="1955" spans="1:4">
      <c r="A1955" t="s">
        <v>2953</v>
      </c>
      <c r="B1955" s="1219"/>
      <c r="C1955">
        <v>8.9540000000000006</v>
      </c>
      <c r="D1955" s="91">
        <v>44882</v>
      </c>
    </row>
    <row r="1956" spans="1:4">
      <c r="A1956" t="s">
        <v>2954</v>
      </c>
      <c r="B1956" s="1219"/>
      <c r="C1956">
        <v>7.7198000000000002</v>
      </c>
      <c r="D1956" s="91">
        <v>44882</v>
      </c>
    </row>
    <row r="1957" spans="1:4">
      <c r="A1957" t="s">
        <v>2955</v>
      </c>
      <c r="B1957" s="1219"/>
      <c r="C1957">
        <v>18.6296</v>
      </c>
      <c r="D1957" s="91">
        <v>44882</v>
      </c>
    </row>
    <row r="1958" spans="1:4">
      <c r="A1958" t="s">
        <v>2956</v>
      </c>
      <c r="B1958" s="1219"/>
      <c r="C1958">
        <v>21.325700000000001</v>
      </c>
      <c r="D1958" s="91">
        <v>44882</v>
      </c>
    </row>
    <row r="1959" spans="1:4">
      <c r="A1959" t="s">
        <v>2957</v>
      </c>
      <c r="B1959" s="1219"/>
      <c r="C1959">
        <v>28.454800000000002</v>
      </c>
      <c r="D1959" s="91">
        <v>44882</v>
      </c>
    </row>
    <row r="1960" spans="1:4">
      <c r="A1960" t="s">
        <v>2958</v>
      </c>
      <c r="B1960" s="1219"/>
      <c r="C1960">
        <v>31.834000000000003</v>
      </c>
      <c r="D1960" s="91">
        <v>44882</v>
      </c>
    </row>
    <row r="1961" spans="1:4">
      <c r="A1961" t="s">
        <v>2959</v>
      </c>
      <c r="B1961" s="1219"/>
      <c r="C1961">
        <v>32.0595</v>
      </c>
      <c r="D1961" s="91">
        <v>44882</v>
      </c>
    </row>
    <row r="1962" spans="1:4">
      <c r="A1962" t="s">
        <v>2960</v>
      </c>
      <c r="B1962" s="1219"/>
      <c r="C1962">
        <v>16.0457</v>
      </c>
      <c r="D1962" s="91">
        <v>44882</v>
      </c>
    </row>
    <row r="1963" spans="1:4">
      <c r="A1963" t="s">
        <v>2961</v>
      </c>
      <c r="B1963" s="1219"/>
      <c r="C1963">
        <v>26.092000000000002</v>
      </c>
      <c r="D1963" s="91">
        <v>44882</v>
      </c>
    </row>
    <row r="1964" spans="1:4">
      <c r="A1964" t="s">
        <v>2962</v>
      </c>
      <c r="B1964" s="1219"/>
      <c r="C1964">
        <v>20.432500000000001</v>
      </c>
      <c r="D1964" s="91">
        <v>44882</v>
      </c>
    </row>
    <row r="1965" spans="1:4">
      <c r="A1965" t="s">
        <v>2963</v>
      </c>
      <c r="B1965" s="1219"/>
      <c r="C1965">
        <v>15.466000000000001</v>
      </c>
      <c r="D1965" s="91">
        <v>44882</v>
      </c>
    </row>
    <row r="1966" spans="1:4">
      <c r="A1966" t="s">
        <v>2964</v>
      </c>
      <c r="B1966" s="1219"/>
      <c r="C1966">
        <v>29.9068</v>
      </c>
      <c r="D1966" s="91">
        <v>44882</v>
      </c>
    </row>
    <row r="1967" spans="1:4">
      <c r="A1967" t="s">
        <v>2965</v>
      </c>
      <c r="B1967" s="1219"/>
      <c r="C1967">
        <v>35.983200000000004</v>
      </c>
      <c r="D1967" s="91">
        <v>44882</v>
      </c>
    </row>
    <row r="1968" spans="1:4">
      <c r="A1968" t="s">
        <v>2966</v>
      </c>
      <c r="B1968" s="1219"/>
      <c r="C1968">
        <v>87.725000000000009</v>
      </c>
      <c r="D1968" s="91">
        <v>44882</v>
      </c>
    </row>
    <row r="1969" spans="1:4">
      <c r="A1969" t="s">
        <v>2967</v>
      </c>
      <c r="B1969" s="1219"/>
      <c r="C1969">
        <v>6.9300000000000006</v>
      </c>
      <c r="D1969" s="91">
        <v>44882</v>
      </c>
    </row>
    <row r="1970" spans="1:4">
      <c r="A1970" t="s">
        <v>2968</v>
      </c>
      <c r="B1970" s="1219"/>
      <c r="C1970">
        <v>6.5714000000000006</v>
      </c>
      <c r="D1970" s="91">
        <v>44882</v>
      </c>
    </row>
    <row r="1971" spans="1:4">
      <c r="A1971" t="s">
        <v>2969</v>
      </c>
      <c r="B1971" s="1219"/>
      <c r="C1971">
        <v>8.9166000000000007</v>
      </c>
      <c r="D1971" s="91">
        <v>44882</v>
      </c>
    </row>
    <row r="1972" spans="1:4">
      <c r="A1972" t="s">
        <v>2970</v>
      </c>
      <c r="B1972" s="1219"/>
      <c r="C1972">
        <v>9.8890000000000011</v>
      </c>
      <c r="D1972" s="91">
        <v>44882</v>
      </c>
    </row>
    <row r="1973" spans="1:4">
      <c r="A1973" t="s">
        <v>2971</v>
      </c>
      <c r="B1973" s="1219"/>
      <c r="C1973">
        <v>24.3078</v>
      </c>
      <c r="D1973" s="91">
        <v>44882</v>
      </c>
    </row>
    <row r="1974" spans="1:4">
      <c r="A1974" t="s">
        <v>2972</v>
      </c>
      <c r="B1974" s="1219"/>
      <c r="C1974">
        <v>23.542200000000005</v>
      </c>
      <c r="D1974" s="91">
        <v>44882</v>
      </c>
    </row>
    <row r="1975" spans="1:4">
      <c r="A1975" t="s">
        <v>2973</v>
      </c>
      <c r="B1975" s="1219"/>
      <c r="C1975">
        <v>5.61</v>
      </c>
      <c r="D1975" s="91">
        <v>44882</v>
      </c>
    </row>
    <row r="1976" spans="1:4">
      <c r="A1976" t="s">
        <v>2974</v>
      </c>
      <c r="B1976" s="1219"/>
      <c r="C1976">
        <v>10.340000000000002</v>
      </c>
      <c r="D1976" s="91">
        <v>44882</v>
      </c>
    </row>
    <row r="1977" spans="1:4">
      <c r="A1977" t="s">
        <v>2975</v>
      </c>
      <c r="B1977" s="1219"/>
      <c r="C1977">
        <v>4.8972000000000007</v>
      </c>
      <c r="D1977" s="91">
        <v>44882</v>
      </c>
    </row>
    <row r="1978" spans="1:4">
      <c r="A1978" t="s">
        <v>2976</v>
      </c>
      <c r="B1978" s="1219"/>
      <c r="C1978">
        <v>17.051100000000002</v>
      </c>
      <c r="D1978" s="91">
        <v>44882</v>
      </c>
    </row>
    <row r="1979" spans="1:4">
      <c r="A1979" t="s">
        <v>2977</v>
      </c>
      <c r="B1979" s="1219"/>
      <c r="C1979">
        <v>12.106600000000002</v>
      </c>
      <c r="D1979" s="91">
        <v>44882</v>
      </c>
    </row>
    <row r="1980" spans="1:4">
      <c r="A1980" t="s">
        <v>2978</v>
      </c>
      <c r="B1980" s="1219"/>
      <c r="C1980">
        <v>3.3880000000000003</v>
      </c>
      <c r="D1980" s="91">
        <v>44882</v>
      </c>
    </row>
    <row r="1981" spans="1:4">
      <c r="A1981" t="s">
        <v>2979</v>
      </c>
      <c r="B1981" s="1219"/>
      <c r="C1981">
        <v>3.927</v>
      </c>
      <c r="D1981" s="91">
        <v>44882</v>
      </c>
    </row>
    <row r="1982" spans="1:4">
      <c r="A1982" t="s">
        <v>2980</v>
      </c>
      <c r="B1982" s="1219"/>
      <c r="C1982">
        <v>5.6650000000000009</v>
      </c>
      <c r="D1982" s="91">
        <v>44882</v>
      </c>
    </row>
    <row r="1983" spans="1:4">
      <c r="A1983" t="s">
        <v>2981</v>
      </c>
      <c r="B1983" s="1219"/>
      <c r="C1983">
        <v>4.5463000000000005</v>
      </c>
      <c r="D1983" s="91">
        <v>44882</v>
      </c>
    </row>
    <row r="1984" spans="1:4">
      <c r="A1984" t="s">
        <v>2982</v>
      </c>
      <c r="B1984" s="1219"/>
      <c r="C1984">
        <v>7.6725000000000003</v>
      </c>
      <c r="D1984" s="91">
        <v>44882</v>
      </c>
    </row>
    <row r="1985" spans="1:4">
      <c r="A1985" t="s">
        <v>2983</v>
      </c>
      <c r="B1985" s="1219"/>
      <c r="C1985">
        <v>12.568600000000002</v>
      </c>
      <c r="D1985" s="91">
        <v>44882</v>
      </c>
    </row>
    <row r="1986" spans="1:4">
      <c r="A1986" t="s">
        <v>2984</v>
      </c>
      <c r="B1986" s="1219"/>
      <c r="C1986">
        <v>7.2259000000000002</v>
      </c>
      <c r="D1986" s="91">
        <v>44882</v>
      </c>
    </row>
    <row r="1987" spans="1:4">
      <c r="A1987" t="s">
        <v>2985</v>
      </c>
      <c r="B1987" s="1219"/>
      <c r="C1987">
        <v>10.718400000000001</v>
      </c>
      <c r="D1987" s="91">
        <v>44882</v>
      </c>
    </row>
    <row r="1988" spans="1:4">
      <c r="A1988" t="s">
        <v>2986</v>
      </c>
      <c r="B1988" s="1219"/>
      <c r="C1988">
        <v>6.0480200000000011</v>
      </c>
      <c r="D1988" s="91">
        <v>44882</v>
      </c>
    </row>
    <row r="1989" spans="1:4">
      <c r="A1989" t="s">
        <v>2987</v>
      </c>
      <c r="B1989" s="1219"/>
      <c r="C1989">
        <v>6.556</v>
      </c>
      <c r="D1989" s="91">
        <v>44882</v>
      </c>
    </row>
    <row r="1990" spans="1:4">
      <c r="A1990" t="s">
        <v>2988</v>
      </c>
      <c r="B1990" s="1219"/>
      <c r="C1990">
        <v>21.208000000000002</v>
      </c>
      <c r="D1990" s="91">
        <v>44882</v>
      </c>
    </row>
    <row r="1991" spans="1:4">
      <c r="A1991" t="s">
        <v>2989</v>
      </c>
      <c r="B1991" s="1219"/>
      <c r="C1991">
        <v>10.879000000000001</v>
      </c>
      <c r="D1991" s="91">
        <v>44882</v>
      </c>
    </row>
    <row r="1992" spans="1:4">
      <c r="A1992" t="s">
        <v>2990</v>
      </c>
      <c r="B1992" s="1219"/>
      <c r="C1992">
        <v>25.281300000000002</v>
      </c>
      <c r="D1992" s="91">
        <v>44882</v>
      </c>
    </row>
    <row r="1993" spans="1:4">
      <c r="A1993" t="s">
        <v>2991</v>
      </c>
      <c r="B1993" s="1219"/>
      <c r="C1993">
        <v>33.064900000000002</v>
      </c>
      <c r="D1993" s="91">
        <v>44882</v>
      </c>
    </row>
    <row r="1994" spans="1:4">
      <c r="A1994" t="s">
        <v>2992</v>
      </c>
      <c r="B1994" s="1219"/>
      <c r="C1994">
        <v>22.715</v>
      </c>
      <c r="D1994" s="91">
        <v>44882</v>
      </c>
    </row>
    <row r="1995" spans="1:4">
      <c r="A1995" t="s">
        <v>2993</v>
      </c>
      <c r="B1995" s="1219"/>
      <c r="C1995">
        <v>66.862400000000008</v>
      </c>
      <c r="D1995" s="91">
        <v>44882</v>
      </c>
    </row>
    <row r="1996" spans="1:4">
      <c r="A1996" t="s">
        <v>2994</v>
      </c>
      <c r="B1996" s="1219"/>
      <c r="C1996">
        <v>97.263100000000009</v>
      </c>
      <c r="D1996" s="91">
        <v>44882</v>
      </c>
    </row>
    <row r="1997" spans="1:4">
      <c r="A1997" t="s">
        <v>2995</v>
      </c>
      <c r="B1997" s="1219"/>
      <c r="C1997">
        <v>3.3109999999999999</v>
      </c>
      <c r="D1997" s="91">
        <v>44882</v>
      </c>
    </row>
    <row r="1998" spans="1:4">
      <c r="A1998" t="s">
        <v>2996</v>
      </c>
      <c r="B1998" s="1219"/>
      <c r="C1998">
        <v>3.3109999999999999</v>
      </c>
      <c r="D1998" s="91">
        <v>44882</v>
      </c>
    </row>
    <row r="1999" spans="1:4">
      <c r="A1999" t="s">
        <v>2997</v>
      </c>
      <c r="B1999" s="1219"/>
      <c r="C1999">
        <v>8.6900000000000013</v>
      </c>
      <c r="D1999" s="91">
        <v>44882</v>
      </c>
    </row>
    <row r="2000" spans="1:4">
      <c r="A2000" t="s">
        <v>2998</v>
      </c>
      <c r="B2000" s="1219"/>
      <c r="C2000">
        <v>2.0130000000000003</v>
      </c>
      <c r="D2000" s="91">
        <v>44882</v>
      </c>
    </row>
    <row r="2001" spans="1:4">
      <c r="A2001" t="s">
        <v>2999</v>
      </c>
      <c r="B2001" s="1219"/>
      <c r="C2001">
        <v>3.6630000000000003</v>
      </c>
      <c r="D2001" s="91">
        <v>44882</v>
      </c>
    </row>
    <row r="2002" spans="1:4">
      <c r="A2002" t="s">
        <v>3000</v>
      </c>
      <c r="B2002" s="1219"/>
      <c r="C2002">
        <v>2.2220000000000004</v>
      </c>
      <c r="D2002" s="91">
        <v>44882</v>
      </c>
    </row>
    <row r="2003" spans="1:4">
      <c r="A2003" t="s">
        <v>3001</v>
      </c>
      <c r="B2003" s="1219"/>
      <c r="C2003">
        <v>4.2460000000000004</v>
      </c>
      <c r="D2003" s="91">
        <v>44882</v>
      </c>
    </row>
    <row r="2004" spans="1:4">
      <c r="A2004" t="s">
        <v>3002</v>
      </c>
      <c r="B2004" s="1219"/>
      <c r="C2004">
        <v>4.1470000000000002</v>
      </c>
      <c r="D2004" s="91">
        <v>44882</v>
      </c>
    </row>
    <row r="2005" spans="1:4">
      <c r="A2005" t="s">
        <v>3003</v>
      </c>
      <c r="B2005" s="1219"/>
      <c r="C2005">
        <v>8.8000000000000007</v>
      </c>
      <c r="D2005" s="91">
        <v>44882</v>
      </c>
    </row>
    <row r="2006" spans="1:4">
      <c r="A2006" t="s">
        <v>3004</v>
      </c>
      <c r="B2006" s="1219"/>
      <c r="C2006">
        <v>5.2030000000000012</v>
      </c>
      <c r="D2006" s="91">
        <v>44882</v>
      </c>
    </row>
    <row r="2007" spans="1:4">
      <c r="A2007" t="s">
        <v>3005</v>
      </c>
      <c r="B2007" s="1219"/>
      <c r="C2007">
        <v>14.377000000000001</v>
      </c>
      <c r="D2007" s="91">
        <v>44882</v>
      </c>
    </row>
    <row r="2008" spans="1:4">
      <c r="A2008" t="s">
        <v>3006</v>
      </c>
      <c r="B2008" s="1219"/>
      <c r="C2008">
        <v>19.349</v>
      </c>
      <c r="D2008" s="91">
        <v>44882</v>
      </c>
    </row>
    <row r="2009" spans="1:4">
      <c r="A2009" t="s">
        <v>3007</v>
      </c>
      <c r="B2009" s="1219"/>
      <c r="C2009">
        <v>8.4920000000000009</v>
      </c>
      <c r="D2009" s="91">
        <v>44882</v>
      </c>
    </row>
    <row r="2010" spans="1:4">
      <c r="A2010" t="s">
        <v>3008</v>
      </c>
      <c r="B2010" s="1219"/>
      <c r="C2010">
        <v>8.2280000000000015</v>
      </c>
      <c r="D2010" s="91">
        <v>44882</v>
      </c>
    </row>
    <row r="2011" spans="1:4">
      <c r="A2011" t="s">
        <v>3009</v>
      </c>
      <c r="B2011" s="1219"/>
      <c r="C2011">
        <v>13.728000000000002</v>
      </c>
      <c r="D2011" s="91">
        <v>44882</v>
      </c>
    </row>
    <row r="2012" spans="1:4">
      <c r="A2012" t="s">
        <v>3010</v>
      </c>
      <c r="B2012" s="1219"/>
      <c r="C2012">
        <v>1.0714000000000001</v>
      </c>
      <c r="D2012" s="91">
        <v>44882</v>
      </c>
    </row>
    <row r="2013" spans="1:4">
      <c r="A2013" t="s">
        <v>3011</v>
      </c>
      <c r="B2013" s="1219"/>
      <c r="C2013">
        <v>1.6357000000000002</v>
      </c>
      <c r="D2013" s="91">
        <v>44882</v>
      </c>
    </row>
    <row r="2014" spans="1:4">
      <c r="A2014" t="s">
        <v>3012</v>
      </c>
      <c r="B2014" s="1219"/>
      <c r="C2014">
        <v>2.7280000000000002</v>
      </c>
      <c r="D2014" s="91">
        <v>44882</v>
      </c>
    </row>
    <row r="2015" spans="1:4">
      <c r="A2015" t="s">
        <v>3013</v>
      </c>
      <c r="B2015" s="1219"/>
      <c r="C2015">
        <v>3.0975999999999999</v>
      </c>
      <c r="D2015" s="91">
        <v>44882</v>
      </c>
    </row>
    <row r="2016" spans="1:4">
      <c r="A2016" t="s">
        <v>3014</v>
      </c>
      <c r="B2016" s="1219"/>
      <c r="C2016">
        <v>6.8332000000000006</v>
      </c>
      <c r="D2016" s="91">
        <v>44882</v>
      </c>
    </row>
    <row r="2017" spans="1:4">
      <c r="A2017" t="s">
        <v>3015</v>
      </c>
      <c r="B2017" s="1219"/>
      <c r="C2017">
        <v>3.3528000000000002</v>
      </c>
      <c r="D2017" s="91">
        <v>44882</v>
      </c>
    </row>
    <row r="2018" spans="1:4">
      <c r="A2018" t="s">
        <v>3016</v>
      </c>
      <c r="B2018" s="1219"/>
      <c r="C2018">
        <v>4.7025000000000006</v>
      </c>
      <c r="D2018" s="91">
        <v>44882</v>
      </c>
    </row>
    <row r="2019" spans="1:4">
      <c r="A2019" t="s">
        <v>3017</v>
      </c>
      <c r="B2019" s="1219"/>
      <c r="C2019">
        <v>5.781600000000001</v>
      </c>
      <c r="D2019" s="91">
        <v>44882</v>
      </c>
    </row>
    <row r="2020" spans="1:4">
      <c r="A2020" t="s">
        <v>3018</v>
      </c>
      <c r="B2020" s="1219"/>
      <c r="C2020">
        <v>5.3845000000000001</v>
      </c>
      <c r="D2020" s="91">
        <v>44882</v>
      </c>
    </row>
    <row r="2021" spans="1:4">
      <c r="A2021" t="s">
        <v>3019</v>
      </c>
      <c r="B2021" s="1219"/>
      <c r="C2021">
        <v>7.7286000000000001</v>
      </c>
      <c r="D2021" s="91">
        <v>44882</v>
      </c>
    </row>
    <row r="2022" spans="1:4">
      <c r="A2022" t="s">
        <v>3020</v>
      </c>
      <c r="B2022" s="1219"/>
      <c r="C2022">
        <v>3.1823000000000001</v>
      </c>
      <c r="D2022" s="91">
        <v>44882</v>
      </c>
    </row>
    <row r="2023" spans="1:4">
      <c r="A2023" t="s">
        <v>3021</v>
      </c>
      <c r="B2023" s="1219"/>
      <c r="C2023">
        <v>3.4661</v>
      </c>
      <c r="D2023" s="91">
        <v>44882</v>
      </c>
    </row>
    <row r="2024" spans="1:4">
      <c r="A2024" t="s">
        <v>3022</v>
      </c>
      <c r="B2024" s="1219"/>
      <c r="C2024">
        <v>4.9016000000000011</v>
      </c>
      <c r="D2024" s="91">
        <v>44882</v>
      </c>
    </row>
    <row r="2025" spans="1:4">
      <c r="A2025" t="s">
        <v>3023</v>
      </c>
      <c r="B2025" s="1219"/>
      <c r="C2025">
        <v>6.2931000000000008</v>
      </c>
      <c r="D2025" s="91">
        <v>44882</v>
      </c>
    </row>
    <row r="2026" spans="1:4">
      <c r="A2026" t="s">
        <v>3024</v>
      </c>
      <c r="B2026" s="1219"/>
      <c r="C2026">
        <v>2.145</v>
      </c>
      <c r="D2026" s="91">
        <v>44882</v>
      </c>
    </row>
    <row r="2027" spans="1:4">
      <c r="A2027" t="s">
        <v>3025</v>
      </c>
      <c r="B2027" s="1219"/>
      <c r="C2027">
        <v>2.3441000000000001</v>
      </c>
      <c r="D2027" s="91">
        <v>44882</v>
      </c>
    </row>
    <row r="2028" spans="1:4">
      <c r="A2028" t="s">
        <v>3026</v>
      </c>
      <c r="B2028" s="1219"/>
      <c r="C2028">
        <v>2.6708000000000003</v>
      </c>
      <c r="D2028" s="91">
        <v>44882</v>
      </c>
    </row>
    <row r="2029" spans="1:4">
      <c r="A2029" t="s">
        <v>3027</v>
      </c>
      <c r="B2029" s="1219"/>
      <c r="C2029">
        <v>3.9072000000000005</v>
      </c>
      <c r="D2029" s="91">
        <v>44882</v>
      </c>
    </row>
    <row r="2030" spans="1:4">
      <c r="A2030" t="s">
        <v>3028</v>
      </c>
      <c r="B2030" s="1219"/>
      <c r="C2030">
        <v>4.0348000000000006</v>
      </c>
      <c r="D2030" s="91">
        <v>44882</v>
      </c>
    </row>
    <row r="2031" spans="1:4">
      <c r="A2031" t="s">
        <v>3029</v>
      </c>
      <c r="B2031" s="1219"/>
      <c r="C2031">
        <v>4.1195000000000004</v>
      </c>
      <c r="D2031" s="91">
        <v>44882</v>
      </c>
    </row>
    <row r="2032" spans="1:4">
      <c r="A2032" t="s">
        <v>3030</v>
      </c>
      <c r="B2032" s="1219"/>
      <c r="C2032">
        <v>5.1282000000000005</v>
      </c>
      <c r="D2032" s="91">
        <v>44882</v>
      </c>
    </row>
    <row r="2033" spans="1:4">
      <c r="A2033" t="s">
        <v>3031</v>
      </c>
      <c r="B2033" s="1219"/>
      <c r="C2033">
        <v>4.8301000000000007</v>
      </c>
      <c r="D2033" s="91">
        <v>44882</v>
      </c>
    </row>
    <row r="2034" spans="1:4">
      <c r="A2034" t="s">
        <v>3032</v>
      </c>
      <c r="B2034" s="1219"/>
      <c r="C2034">
        <v>7.0323000000000002</v>
      </c>
      <c r="D2034" s="91">
        <v>44882</v>
      </c>
    </row>
    <row r="2035" spans="1:4">
      <c r="A2035" t="s">
        <v>3033</v>
      </c>
      <c r="B2035" s="1219"/>
      <c r="C2035">
        <v>2.6862000000000004</v>
      </c>
      <c r="D2035" s="91">
        <v>44882</v>
      </c>
    </row>
    <row r="2036" spans="1:4">
      <c r="A2036" t="s">
        <v>3034</v>
      </c>
      <c r="B2036" s="1219"/>
      <c r="C2036">
        <v>3.2956000000000003</v>
      </c>
      <c r="D2036" s="91">
        <v>44882</v>
      </c>
    </row>
    <row r="2037" spans="1:4">
      <c r="A2037" t="s">
        <v>3035</v>
      </c>
      <c r="B2037" s="1219"/>
      <c r="C2037">
        <v>1.9965000000000002</v>
      </c>
      <c r="D2037" s="91">
        <v>44882</v>
      </c>
    </row>
    <row r="2038" spans="1:4">
      <c r="A2038" t="s">
        <v>3036</v>
      </c>
      <c r="B2038" s="1219"/>
      <c r="C2038">
        <v>3.63</v>
      </c>
      <c r="D2038" s="91">
        <v>44882</v>
      </c>
    </row>
    <row r="2039" spans="1:4">
      <c r="A2039" t="s">
        <v>3037</v>
      </c>
      <c r="B2039" s="1219"/>
      <c r="C2039">
        <v>2.8534000000000002</v>
      </c>
      <c r="D2039" s="91">
        <v>44882</v>
      </c>
    </row>
    <row r="2040" spans="1:4">
      <c r="A2040" t="s">
        <v>3038</v>
      </c>
      <c r="B2040" s="1219"/>
      <c r="C2040">
        <v>2.4100999999999999</v>
      </c>
      <c r="D2040" s="91">
        <v>44882</v>
      </c>
    </row>
    <row r="2041" spans="1:4">
      <c r="A2041" t="s">
        <v>3039</v>
      </c>
      <c r="B2041" s="1219"/>
      <c r="C2041">
        <v>2.5146000000000002</v>
      </c>
      <c r="D2041" s="91">
        <v>44882</v>
      </c>
    </row>
    <row r="2042" spans="1:4">
      <c r="A2042" t="s">
        <v>3040</v>
      </c>
      <c r="B2042" s="1219"/>
      <c r="C2042">
        <v>2.0746000000000002</v>
      </c>
      <c r="D2042" s="91">
        <v>44882</v>
      </c>
    </row>
    <row r="2043" spans="1:4">
      <c r="A2043" t="s">
        <v>3041</v>
      </c>
      <c r="B2043" s="1219"/>
      <c r="C2043">
        <v>7.9969999999999999</v>
      </c>
      <c r="D2043" s="91">
        <v>44882</v>
      </c>
    </row>
    <row r="2044" spans="1:4">
      <c r="A2044" t="s">
        <v>1134</v>
      </c>
      <c r="B2044" s="1219"/>
      <c r="C2044">
        <v>23.879900000000003</v>
      </c>
      <c r="D2044" s="91">
        <v>44882</v>
      </c>
    </row>
    <row r="2045" spans="1:4">
      <c r="A2045" t="s">
        <v>3042</v>
      </c>
      <c r="B2045" s="1219"/>
      <c r="C2045">
        <v>4.6738999999999997</v>
      </c>
      <c r="D2045" s="91">
        <v>44882</v>
      </c>
    </row>
    <row r="2046" spans="1:4">
      <c r="A2046" t="s">
        <v>3043</v>
      </c>
      <c r="B2046" s="1219"/>
      <c r="C2046">
        <v>20.698700000000002</v>
      </c>
      <c r="D2046" s="91">
        <v>44882</v>
      </c>
    </row>
    <row r="2047" spans="1:4">
      <c r="A2047" t="s">
        <v>1135</v>
      </c>
      <c r="B2047" s="1219"/>
      <c r="C2047">
        <v>10.214050000000002</v>
      </c>
      <c r="D2047" s="91">
        <v>44882</v>
      </c>
    </row>
    <row r="2048" spans="1:4">
      <c r="A2048" t="s">
        <v>3044</v>
      </c>
      <c r="B2048" s="1219"/>
      <c r="C2048">
        <v>1.3860000000000001</v>
      </c>
      <c r="D2048" s="91">
        <v>44882</v>
      </c>
    </row>
    <row r="2049" spans="1:4">
      <c r="A2049" t="s">
        <v>3045</v>
      </c>
      <c r="B2049" s="1219"/>
      <c r="C2049">
        <v>14.388000000000002</v>
      </c>
      <c r="D2049" s="91">
        <v>44882</v>
      </c>
    </row>
    <row r="2050" spans="1:4">
      <c r="A2050" t="s">
        <v>3046</v>
      </c>
      <c r="B2050" s="1219"/>
      <c r="C2050">
        <v>13.8996</v>
      </c>
      <c r="D2050" s="91">
        <v>44882</v>
      </c>
    </row>
    <row r="2051" spans="1:4">
      <c r="A2051" t="s">
        <v>3047</v>
      </c>
      <c r="B2051" s="1219"/>
      <c r="C2051">
        <v>12.368400000000001</v>
      </c>
      <c r="D2051" s="91">
        <v>44882</v>
      </c>
    </row>
    <row r="2052" spans="1:4">
      <c r="A2052" t="s">
        <v>3048</v>
      </c>
      <c r="B2052" s="1219"/>
      <c r="C2052">
        <v>11.998800000000001</v>
      </c>
      <c r="D2052" s="91">
        <v>44882</v>
      </c>
    </row>
    <row r="2053" spans="1:4">
      <c r="A2053" t="s">
        <v>3049</v>
      </c>
      <c r="B2053" s="1219"/>
      <c r="C2053">
        <v>12.170400000000001</v>
      </c>
      <c r="D2053" s="91">
        <v>44882</v>
      </c>
    </row>
    <row r="2054" spans="1:4">
      <c r="A2054" t="s">
        <v>3050</v>
      </c>
      <c r="B2054" s="1219"/>
      <c r="C2054">
        <v>2.8973999999999998</v>
      </c>
      <c r="D2054" s="91">
        <v>44882</v>
      </c>
    </row>
    <row r="2055" spans="1:4">
      <c r="A2055" t="s">
        <v>3051</v>
      </c>
      <c r="B2055" s="1219"/>
      <c r="C2055">
        <v>11.990000000000002</v>
      </c>
      <c r="D2055" s="91">
        <v>44882</v>
      </c>
    </row>
    <row r="2056" spans="1:4">
      <c r="A2056" t="s">
        <v>3052</v>
      </c>
      <c r="B2056" s="1219"/>
      <c r="C2056">
        <v>11.583</v>
      </c>
      <c r="D2056" s="91">
        <v>44882</v>
      </c>
    </row>
    <row r="2057" spans="1:4">
      <c r="A2057" t="s">
        <v>3053</v>
      </c>
      <c r="B2057" s="1219"/>
      <c r="C2057">
        <v>12.870000000000001</v>
      </c>
      <c r="D2057" s="91">
        <v>44882</v>
      </c>
    </row>
    <row r="2058" spans="1:4">
      <c r="A2058" t="s">
        <v>3054</v>
      </c>
      <c r="B2058" s="1219"/>
      <c r="C2058">
        <v>3.9380000000000006</v>
      </c>
      <c r="D2058" s="91">
        <v>44882</v>
      </c>
    </row>
    <row r="2059" spans="1:4">
      <c r="A2059" t="s">
        <v>3055</v>
      </c>
      <c r="B2059" s="1219"/>
      <c r="C2059">
        <v>2.4618000000000002</v>
      </c>
      <c r="D2059" s="91">
        <v>44882</v>
      </c>
    </row>
    <row r="2060" spans="1:4">
      <c r="A2060" t="s">
        <v>3056</v>
      </c>
      <c r="B2060" s="1219"/>
      <c r="C2060">
        <v>2.6928000000000005</v>
      </c>
      <c r="D2060" s="91">
        <v>44882</v>
      </c>
    </row>
    <row r="2061" spans="1:4">
      <c r="A2061" t="s">
        <v>3057</v>
      </c>
      <c r="B2061" s="1219"/>
      <c r="C2061">
        <v>49.016000000000005</v>
      </c>
      <c r="D2061" s="91">
        <v>44882</v>
      </c>
    </row>
    <row r="2062" spans="1:4">
      <c r="A2062" t="s">
        <v>3058</v>
      </c>
      <c r="B2062" s="1219"/>
      <c r="C2062">
        <v>9.3390000000000004</v>
      </c>
      <c r="D2062" s="91">
        <v>44882</v>
      </c>
    </row>
    <row r="2063" spans="1:4">
      <c r="A2063" t="s">
        <v>3059</v>
      </c>
      <c r="B2063" s="1219"/>
      <c r="C2063">
        <v>25.113</v>
      </c>
      <c r="D2063" s="91">
        <v>44882</v>
      </c>
    </row>
    <row r="2064" spans="1:4">
      <c r="A2064" t="s">
        <v>3060</v>
      </c>
      <c r="B2064" s="1219"/>
      <c r="C2064">
        <v>25.113</v>
      </c>
      <c r="D2064" s="91">
        <v>44882</v>
      </c>
    </row>
    <row r="2065" spans="1:4">
      <c r="A2065" t="s">
        <v>3061</v>
      </c>
      <c r="B2065" s="1219"/>
      <c r="C2065">
        <v>5.9729999999999999</v>
      </c>
      <c r="D2065" s="91">
        <v>44882</v>
      </c>
    </row>
    <row r="2066" spans="1:4">
      <c r="A2066" t="s">
        <v>3062</v>
      </c>
      <c r="B2066" s="1219"/>
      <c r="C2066">
        <v>4.1712000000000007</v>
      </c>
      <c r="D2066" s="91">
        <v>44882</v>
      </c>
    </row>
    <row r="2067" spans="1:4">
      <c r="A2067" t="s">
        <v>3063</v>
      </c>
      <c r="B2067" s="1219"/>
      <c r="C2067">
        <v>3.6696</v>
      </c>
      <c r="D2067" s="91">
        <v>44882</v>
      </c>
    </row>
    <row r="2068" spans="1:4">
      <c r="A2068" t="s">
        <v>3064</v>
      </c>
      <c r="B2068" s="1219"/>
      <c r="C2068">
        <v>3.9138000000000002</v>
      </c>
      <c r="D2068" s="91">
        <v>44882</v>
      </c>
    </row>
    <row r="2069" spans="1:4">
      <c r="A2069" t="s">
        <v>3065</v>
      </c>
      <c r="B2069" s="1219"/>
      <c r="C2069">
        <v>8.1289999999999996</v>
      </c>
      <c r="D2069" s="91">
        <v>44882</v>
      </c>
    </row>
    <row r="2070" spans="1:4">
      <c r="A2070" t="s">
        <v>3066</v>
      </c>
      <c r="B2070" s="1219"/>
      <c r="C2070">
        <v>3.5573999999999999</v>
      </c>
      <c r="D2070" s="91">
        <v>44882</v>
      </c>
    </row>
    <row r="2071" spans="1:4">
      <c r="A2071" t="s">
        <v>3067</v>
      </c>
      <c r="B2071" s="1219"/>
      <c r="C2071">
        <v>6.1655000000000006</v>
      </c>
      <c r="D2071" s="91">
        <v>44882</v>
      </c>
    </row>
    <row r="2072" spans="1:4">
      <c r="A2072" t="s">
        <v>3068</v>
      </c>
      <c r="B2072" s="1219"/>
      <c r="C2072">
        <v>0.64900000000000002</v>
      </c>
      <c r="D2072" s="91">
        <v>44882</v>
      </c>
    </row>
    <row r="2073" spans="1:4">
      <c r="A2073" t="s">
        <v>3069</v>
      </c>
      <c r="B2073" s="1219"/>
      <c r="C2073">
        <v>1.0780000000000001</v>
      </c>
      <c r="D2073" s="91">
        <v>44882</v>
      </c>
    </row>
    <row r="2074" spans="1:4">
      <c r="A2074" t="s">
        <v>3070</v>
      </c>
      <c r="B2074" s="1219"/>
      <c r="C2074">
        <v>2.9260000000000006</v>
      </c>
      <c r="D2074" s="91">
        <v>44882</v>
      </c>
    </row>
    <row r="2075" spans="1:4">
      <c r="A2075" t="s">
        <v>3071</v>
      </c>
      <c r="B2075" s="1219"/>
      <c r="C2075">
        <v>1.7380000000000002</v>
      </c>
      <c r="D2075" s="91">
        <v>44882</v>
      </c>
    </row>
    <row r="2076" spans="1:4">
      <c r="A2076" t="s">
        <v>3072</v>
      </c>
      <c r="B2076" s="1219"/>
      <c r="C2076">
        <v>2.1546799999999999</v>
      </c>
      <c r="D2076" s="91">
        <v>44882</v>
      </c>
    </row>
    <row r="2077" spans="1:4">
      <c r="A2077" t="s">
        <v>3073</v>
      </c>
      <c r="B2077" s="1219"/>
      <c r="C2077">
        <v>0.92400000000000004</v>
      </c>
      <c r="D2077" s="91">
        <v>44882</v>
      </c>
    </row>
    <row r="2078" spans="1:4">
      <c r="A2078" t="s">
        <v>3074</v>
      </c>
      <c r="B2078" s="1219"/>
      <c r="C2078">
        <v>0.86900000000000011</v>
      </c>
      <c r="D2078" s="91">
        <v>44882</v>
      </c>
    </row>
    <row r="2079" spans="1:4">
      <c r="A2079" t="s">
        <v>3075</v>
      </c>
      <c r="B2079" s="1219"/>
      <c r="C2079">
        <v>1.8260000000000001</v>
      </c>
      <c r="D2079" s="91">
        <v>44882</v>
      </c>
    </row>
    <row r="2080" spans="1:4">
      <c r="A2080" t="s">
        <v>3076</v>
      </c>
      <c r="B2080" s="1219"/>
      <c r="C2080">
        <v>1.6060000000000001</v>
      </c>
      <c r="D2080" s="91">
        <v>44882</v>
      </c>
    </row>
    <row r="2081" spans="1:4">
      <c r="A2081" t="s">
        <v>3077</v>
      </c>
      <c r="B2081" s="1219"/>
      <c r="C2081">
        <v>6.8750000000000009</v>
      </c>
      <c r="D2081" s="91">
        <v>44882</v>
      </c>
    </row>
    <row r="2082" spans="1:4">
      <c r="A2082" t="s">
        <v>3078</v>
      </c>
      <c r="B2082" s="1219"/>
      <c r="C2082">
        <v>2.2770000000000001</v>
      </c>
      <c r="D2082" s="91">
        <v>44882</v>
      </c>
    </row>
    <row r="2083" spans="1:4">
      <c r="A2083" t="s">
        <v>3079</v>
      </c>
      <c r="B2083" s="1219"/>
      <c r="C2083">
        <v>2.2770000000000001</v>
      </c>
      <c r="D2083" s="91">
        <v>44882</v>
      </c>
    </row>
    <row r="2084" spans="1:4">
      <c r="A2084" t="s">
        <v>3080</v>
      </c>
      <c r="B2084" s="1219"/>
      <c r="C2084">
        <v>2.2109999999999999</v>
      </c>
      <c r="D2084" s="91">
        <v>44882</v>
      </c>
    </row>
    <row r="2085" spans="1:4">
      <c r="A2085" t="s">
        <v>3081</v>
      </c>
      <c r="B2085" s="1219"/>
      <c r="C2085">
        <v>2.3210000000000002</v>
      </c>
      <c r="D2085" s="91">
        <v>44882</v>
      </c>
    </row>
    <row r="2086" spans="1:4">
      <c r="A2086" t="s">
        <v>3082</v>
      </c>
      <c r="B2086" s="1219"/>
      <c r="C2086">
        <v>2.5299999999999998</v>
      </c>
      <c r="D2086" s="91">
        <v>44882</v>
      </c>
    </row>
    <row r="2087" spans="1:4">
      <c r="A2087" t="s">
        <v>3083</v>
      </c>
      <c r="B2087" s="1219"/>
      <c r="C2087">
        <v>2.8820000000000006</v>
      </c>
      <c r="D2087" s="91">
        <v>44882</v>
      </c>
    </row>
    <row r="2088" spans="1:4">
      <c r="A2088" t="s">
        <v>3084</v>
      </c>
      <c r="B2088" s="1219"/>
      <c r="C2088">
        <v>3.8610000000000002</v>
      </c>
      <c r="D2088" s="91">
        <v>44882</v>
      </c>
    </row>
    <row r="2089" spans="1:4">
      <c r="A2089" t="s">
        <v>3085</v>
      </c>
      <c r="B2089" s="1219"/>
      <c r="C2089">
        <v>2.3540000000000005</v>
      </c>
      <c r="D2089" s="91">
        <v>44882</v>
      </c>
    </row>
    <row r="2090" spans="1:4">
      <c r="A2090" t="s">
        <v>3086</v>
      </c>
      <c r="B2090" s="1219"/>
      <c r="C2090">
        <v>2.3650000000000002</v>
      </c>
      <c r="D2090" s="91">
        <v>44882</v>
      </c>
    </row>
    <row r="2091" spans="1:4">
      <c r="A2091" t="s">
        <v>3087</v>
      </c>
      <c r="B2091" s="1219"/>
      <c r="C2091">
        <v>2.4970000000000003</v>
      </c>
      <c r="D2091" s="91">
        <v>44882</v>
      </c>
    </row>
    <row r="2092" spans="1:4">
      <c r="A2092" t="s">
        <v>3088</v>
      </c>
      <c r="B2092" s="1219"/>
      <c r="C2092">
        <v>2.9040000000000004</v>
      </c>
      <c r="D2092" s="91">
        <v>44882</v>
      </c>
    </row>
    <row r="2093" spans="1:4">
      <c r="A2093" t="s">
        <v>3089</v>
      </c>
      <c r="B2093" s="1219"/>
      <c r="C2093">
        <v>4.1140000000000008</v>
      </c>
      <c r="D2093" s="91">
        <v>44882</v>
      </c>
    </row>
    <row r="2094" spans="1:4">
      <c r="A2094" t="s">
        <v>3090</v>
      </c>
      <c r="B2094" s="1219"/>
      <c r="C2094">
        <v>3.4947000000000004</v>
      </c>
      <c r="D2094" s="91">
        <v>44882</v>
      </c>
    </row>
    <row r="2095" spans="1:4">
      <c r="A2095" t="s">
        <v>3091</v>
      </c>
      <c r="B2095" s="1219"/>
      <c r="C2095">
        <v>3.6509</v>
      </c>
      <c r="D2095" s="91">
        <v>44882</v>
      </c>
    </row>
    <row r="2096" spans="1:4">
      <c r="A2096" t="s">
        <v>3092</v>
      </c>
      <c r="B2096" s="1219"/>
      <c r="C2096">
        <v>4.2922000000000002</v>
      </c>
      <c r="D2096" s="91">
        <v>44882</v>
      </c>
    </row>
    <row r="2097" spans="1:4">
      <c r="A2097" t="s">
        <v>3093</v>
      </c>
      <c r="B2097" s="1219"/>
      <c r="C2097">
        <v>3.9776000000000002</v>
      </c>
      <c r="D2097" s="91">
        <v>44882</v>
      </c>
    </row>
    <row r="2098" spans="1:4">
      <c r="A2098" t="s">
        <v>3094</v>
      </c>
      <c r="B2098" s="1219"/>
      <c r="C2098">
        <v>4.3758000000000008</v>
      </c>
      <c r="D2098" s="91">
        <v>44882</v>
      </c>
    </row>
    <row r="2099" spans="1:4">
      <c r="A2099" t="s">
        <v>3095</v>
      </c>
      <c r="B2099" s="1219"/>
      <c r="C2099">
        <v>5.8817000000000013</v>
      </c>
      <c r="D2099" s="91">
        <v>44882</v>
      </c>
    </row>
    <row r="2100" spans="1:4">
      <c r="A2100" t="s">
        <v>3096</v>
      </c>
      <c r="B2100" s="1219"/>
      <c r="C2100">
        <v>6.0830000000000011</v>
      </c>
      <c r="D2100" s="91">
        <v>44882</v>
      </c>
    </row>
    <row r="2101" spans="1:4">
      <c r="A2101" t="s">
        <v>3097</v>
      </c>
      <c r="B2101" s="1219"/>
      <c r="C2101">
        <v>6.3646000000000003</v>
      </c>
      <c r="D2101" s="91">
        <v>44882</v>
      </c>
    </row>
    <row r="2102" spans="1:4">
      <c r="A2102" t="s">
        <v>3098</v>
      </c>
      <c r="B2102" s="1219"/>
      <c r="C2102">
        <v>7.5152000000000001</v>
      </c>
      <c r="D2102" s="91">
        <v>44882</v>
      </c>
    </row>
    <row r="2103" spans="1:4">
      <c r="A2103" t="s">
        <v>3099</v>
      </c>
      <c r="B2103" s="1219"/>
      <c r="C2103">
        <v>8.6515000000000004</v>
      </c>
      <c r="D2103" s="91">
        <v>44882</v>
      </c>
    </row>
    <row r="2104" spans="1:4">
      <c r="A2104" t="s">
        <v>3100</v>
      </c>
      <c r="B2104" s="1219"/>
      <c r="C2104">
        <v>2.1593000000000004</v>
      </c>
      <c r="D2104" s="91">
        <v>44882</v>
      </c>
    </row>
    <row r="2105" spans="1:4">
      <c r="A2105" t="s">
        <v>3101</v>
      </c>
      <c r="B2105" s="1219"/>
      <c r="C2105">
        <v>2.1593000000000004</v>
      </c>
      <c r="D2105" s="91">
        <v>44882</v>
      </c>
    </row>
    <row r="2106" spans="1:4">
      <c r="A2106" t="s">
        <v>3102</v>
      </c>
      <c r="B2106" s="1219"/>
      <c r="C2106">
        <v>2.4431000000000003</v>
      </c>
      <c r="D2106" s="91">
        <v>44882</v>
      </c>
    </row>
    <row r="2107" spans="1:4">
      <c r="A2107" t="s">
        <v>3103</v>
      </c>
      <c r="B2107" s="1219"/>
      <c r="C2107">
        <v>2.1021000000000001</v>
      </c>
      <c r="D2107" s="91">
        <v>44882</v>
      </c>
    </row>
    <row r="2108" spans="1:4">
      <c r="A2108" t="s">
        <v>3104</v>
      </c>
      <c r="B2108" s="1219"/>
      <c r="C2108">
        <v>2.3584000000000005</v>
      </c>
      <c r="D2108" s="91">
        <v>44882</v>
      </c>
    </row>
    <row r="2109" spans="1:4">
      <c r="A2109" t="s">
        <v>3105</v>
      </c>
      <c r="B2109" s="1219"/>
      <c r="C2109">
        <v>2.4859999999999998</v>
      </c>
      <c r="D2109" s="91">
        <v>44882</v>
      </c>
    </row>
    <row r="2110" spans="1:4">
      <c r="A2110" t="s">
        <v>3106</v>
      </c>
      <c r="B2110" s="1219"/>
      <c r="C2110">
        <v>3.2956000000000003</v>
      </c>
      <c r="D2110" s="91">
        <v>44882</v>
      </c>
    </row>
    <row r="2111" spans="1:4">
      <c r="A2111" t="s">
        <v>3107</v>
      </c>
      <c r="B2111" s="1219"/>
      <c r="C2111">
        <v>5.6232000000000006</v>
      </c>
      <c r="D2111" s="91">
        <v>44882</v>
      </c>
    </row>
    <row r="2112" spans="1:4">
      <c r="A2112" t="s">
        <v>3108</v>
      </c>
      <c r="B2112" s="1219"/>
      <c r="C2112">
        <v>3.1394000000000002</v>
      </c>
      <c r="D2112" s="91">
        <v>44882</v>
      </c>
    </row>
    <row r="2113" spans="1:4">
      <c r="A2113" t="s">
        <v>3109</v>
      </c>
      <c r="B2113" s="1219"/>
      <c r="C2113">
        <v>3.4804000000000004</v>
      </c>
      <c r="D2113" s="91">
        <v>44882</v>
      </c>
    </row>
    <row r="2114" spans="1:4">
      <c r="A2114" t="s">
        <v>3110</v>
      </c>
      <c r="B2114" s="1219"/>
      <c r="C2114">
        <v>4.6596000000000002</v>
      </c>
      <c r="D2114" s="91">
        <v>44882</v>
      </c>
    </row>
    <row r="2115" spans="1:4">
      <c r="A2115" t="s">
        <v>3111</v>
      </c>
      <c r="B2115" s="1219"/>
      <c r="C2115">
        <v>7.0180000000000007</v>
      </c>
      <c r="D2115" s="91">
        <v>44882</v>
      </c>
    </row>
    <row r="2116" spans="1:4">
      <c r="A2116" t="s">
        <v>3112</v>
      </c>
      <c r="B2116" s="1219"/>
      <c r="C2116">
        <v>5.0720999999999998</v>
      </c>
      <c r="D2116" s="91">
        <v>44882</v>
      </c>
    </row>
    <row r="2117" spans="1:4">
      <c r="A2117" t="s">
        <v>3113</v>
      </c>
      <c r="B2117" s="1219"/>
      <c r="C2117">
        <v>5.3130000000000006</v>
      </c>
      <c r="D2117" s="91">
        <v>44882</v>
      </c>
    </row>
    <row r="2118" spans="1:4">
      <c r="A2118" t="s">
        <v>3114</v>
      </c>
      <c r="B2118" s="1219"/>
      <c r="C2118">
        <v>7.6142000000000003</v>
      </c>
      <c r="D2118" s="91">
        <v>44882</v>
      </c>
    </row>
    <row r="2119" spans="1:4">
      <c r="A2119" t="s">
        <v>3115</v>
      </c>
      <c r="B2119" s="1219"/>
      <c r="C2119">
        <v>4.1481000000000003</v>
      </c>
      <c r="D2119" s="91">
        <v>44882</v>
      </c>
    </row>
    <row r="2120" spans="1:4">
      <c r="A2120" t="s">
        <v>3116</v>
      </c>
      <c r="B2120" s="1219"/>
      <c r="C2120">
        <v>3.6795000000000004</v>
      </c>
      <c r="D2120" s="91">
        <v>44882</v>
      </c>
    </row>
    <row r="2121" spans="1:4">
      <c r="A2121" t="s">
        <v>3117</v>
      </c>
      <c r="B2121" s="1219"/>
      <c r="C2121">
        <v>4.2053000000000003</v>
      </c>
      <c r="D2121" s="91">
        <v>44882</v>
      </c>
    </row>
    <row r="2122" spans="1:4">
      <c r="A2122" t="s">
        <v>3118</v>
      </c>
      <c r="B2122" s="1219"/>
      <c r="C2122">
        <v>4.2614000000000001</v>
      </c>
      <c r="D2122" s="91">
        <v>44882</v>
      </c>
    </row>
    <row r="2123" spans="1:4">
      <c r="A2123" t="s">
        <v>3119</v>
      </c>
      <c r="B2123" s="1219"/>
      <c r="C2123">
        <v>4.3340000000000005</v>
      </c>
      <c r="D2123" s="91">
        <v>44882</v>
      </c>
    </row>
    <row r="2124" spans="1:4">
      <c r="A2124" t="s">
        <v>3120</v>
      </c>
      <c r="B2124" s="1219"/>
      <c r="C2124">
        <v>5.995000000000001</v>
      </c>
      <c r="D2124" s="91">
        <v>44882</v>
      </c>
    </row>
    <row r="2125" spans="1:4">
      <c r="A2125" t="s">
        <v>3121</v>
      </c>
      <c r="B2125" s="1219"/>
      <c r="C2125">
        <v>6.5670000000000002</v>
      </c>
      <c r="D2125" s="91">
        <v>44882</v>
      </c>
    </row>
    <row r="2126" spans="1:4">
      <c r="A2126" t="s">
        <v>3122</v>
      </c>
      <c r="B2126" s="1219"/>
      <c r="C2126">
        <v>8.173</v>
      </c>
      <c r="D2126" s="91">
        <v>44882</v>
      </c>
    </row>
    <row r="2127" spans="1:4">
      <c r="A2127" t="s">
        <v>3123</v>
      </c>
      <c r="B2127" s="1219"/>
      <c r="C2127">
        <v>13.128500000000001</v>
      </c>
      <c r="D2127" s="91">
        <v>44882</v>
      </c>
    </row>
    <row r="2128" spans="1:4">
      <c r="A2128" t="s">
        <v>3124</v>
      </c>
      <c r="B2128" s="1219"/>
      <c r="C2128">
        <v>6.0940000000000003</v>
      </c>
      <c r="D2128" s="91">
        <v>44882</v>
      </c>
    </row>
    <row r="2129" spans="1:4">
      <c r="A2129" t="s">
        <v>3125</v>
      </c>
      <c r="B2129" s="1219"/>
      <c r="C2129">
        <v>6.5065000000000008</v>
      </c>
      <c r="D2129" s="91">
        <v>44882</v>
      </c>
    </row>
    <row r="2130" spans="1:4">
      <c r="A2130" t="s">
        <v>3126</v>
      </c>
      <c r="B2130" s="1219"/>
      <c r="C2130">
        <v>7.3733000000000013</v>
      </c>
      <c r="D2130" s="91">
        <v>44882</v>
      </c>
    </row>
    <row r="2131" spans="1:4">
      <c r="A2131" t="s">
        <v>3127</v>
      </c>
      <c r="B2131" s="1219"/>
      <c r="C2131">
        <v>7.3447000000000005</v>
      </c>
      <c r="D2131" s="91">
        <v>44882</v>
      </c>
    </row>
    <row r="2132" spans="1:4">
      <c r="A2132" t="s">
        <v>3128</v>
      </c>
      <c r="B2132" s="1219"/>
      <c r="C2132">
        <v>7.3876000000000008</v>
      </c>
      <c r="D2132" s="91">
        <v>44882</v>
      </c>
    </row>
    <row r="2133" spans="1:4">
      <c r="A2133" t="s">
        <v>3129</v>
      </c>
      <c r="B2133" s="1219"/>
      <c r="C2133">
        <v>10.299300000000001</v>
      </c>
      <c r="D2133" s="91">
        <v>44882</v>
      </c>
    </row>
    <row r="2134" spans="1:4">
      <c r="A2134" t="s">
        <v>3130</v>
      </c>
      <c r="B2134" s="1219"/>
      <c r="C2134">
        <v>8.7230000000000008</v>
      </c>
      <c r="D2134" s="91">
        <v>44882</v>
      </c>
    </row>
    <row r="2135" spans="1:4">
      <c r="A2135" t="s">
        <v>3131</v>
      </c>
      <c r="B2135" s="1219"/>
      <c r="C2135">
        <v>10.541300000000001</v>
      </c>
      <c r="D2135" s="91">
        <v>44882</v>
      </c>
    </row>
    <row r="2136" spans="1:4">
      <c r="A2136" t="s">
        <v>3132</v>
      </c>
      <c r="B2136" s="1219"/>
      <c r="C2136">
        <v>12.530100000000001</v>
      </c>
      <c r="D2136" s="91">
        <v>44882</v>
      </c>
    </row>
    <row r="2137" spans="1:4">
      <c r="A2137" t="s">
        <v>3133</v>
      </c>
      <c r="B2137" s="1219"/>
      <c r="C2137">
        <v>4.9719999999999995</v>
      </c>
      <c r="D2137" s="91">
        <v>44882</v>
      </c>
    </row>
    <row r="2138" spans="1:4">
      <c r="A2138" t="s">
        <v>3134</v>
      </c>
      <c r="B2138" s="1219"/>
      <c r="C2138">
        <v>5.6111000000000004</v>
      </c>
      <c r="D2138" s="91">
        <v>44882</v>
      </c>
    </row>
    <row r="2139" spans="1:4">
      <c r="A2139" t="s">
        <v>3135</v>
      </c>
      <c r="B2139" s="1219"/>
      <c r="C2139">
        <v>6.2645000000000008</v>
      </c>
      <c r="D2139" s="91">
        <v>44882</v>
      </c>
    </row>
    <row r="2140" spans="1:4">
      <c r="A2140" t="s">
        <v>3136</v>
      </c>
      <c r="B2140" s="1219"/>
      <c r="C2140">
        <v>7.6142000000000003</v>
      </c>
      <c r="D2140" s="91">
        <v>44882</v>
      </c>
    </row>
    <row r="2141" spans="1:4">
      <c r="A2141" t="s">
        <v>3137</v>
      </c>
      <c r="B2141" s="1219"/>
      <c r="C2141">
        <v>10.058400000000001</v>
      </c>
      <c r="D2141" s="91">
        <v>44882</v>
      </c>
    </row>
    <row r="2142" spans="1:4">
      <c r="A2142" t="s">
        <v>3138</v>
      </c>
      <c r="B2142" s="1219"/>
      <c r="C2142">
        <v>3.2956000000000003</v>
      </c>
      <c r="D2142" s="91">
        <v>44882</v>
      </c>
    </row>
    <row r="2143" spans="1:4">
      <c r="A2143" t="s">
        <v>3139</v>
      </c>
      <c r="B2143" s="1219"/>
      <c r="C2143">
        <v>3.6366000000000005</v>
      </c>
      <c r="D2143" s="91">
        <v>44882</v>
      </c>
    </row>
    <row r="2144" spans="1:4">
      <c r="A2144" t="s">
        <v>3140</v>
      </c>
      <c r="B2144" s="1219"/>
      <c r="C2144">
        <v>4.0634000000000006</v>
      </c>
      <c r="D2144" s="91">
        <v>44882</v>
      </c>
    </row>
    <row r="2145" spans="1:4">
      <c r="A2145" t="s">
        <v>3141</v>
      </c>
      <c r="B2145" s="1219"/>
      <c r="C2145">
        <v>4.8158000000000003</v>
      </c>
      <c r="D2145" s="91">
        <v>44882</v>
      </c>
    </row>
    <row r="2146" spans="1:4">
      <c r="A2146" t="s">
        <v>3142</v>
      </c>
      <c r="B2146" s="1219"/>
      <c r="C2146">
        <v>7.5152000000000001</v>
      </c>
      <c r="D2146" s="91">
        <v>44882</v>
      </c>
    </row>
    <row r="2147" spans="1:4">
      <c r="A2147" t="s">
        <v>3143</v>
      </c>
      <c r="B2147" s="1219"/>
      <c r="C2147">
        <v>8.9980000000000011</v>
      </c>
      <c r="D2147" s="91">
        <v>44882</v>
      </c>
    </row>
    <row r="2148" spans="1:4">
      <c r="A2148" t="s">
        <v>3144</v>
      </c>
      <c r="B2148" s="1219"/>
      <c r="C2148">
        <v>32.175000000000004</v>
      </c>
      <c r="D2148" s="91">
        <v>44882</v>
      </c>
    </row>
    <row r="2149" spans="1:4">
      <c r="A2149" t="s">
        <v>3145</v>
      </c>
      <c r="B2149" s="1219"/>
      <c r="C2149">
        <v>35.823149999999998</v>
      </c>
      <c r="D2149" s="91">
        <v>44882</v>
      </c>
    </row>
    <row r="2150" spans="1:4">
      <c r="A2150" t="s">
        <v>3146</v>
      </c>
      <c r="B2150" s="1219"/>
      <c r="C2150">
        <v>62.345250000000014</v>
      </c>
      <c r="D2150" s="91">
        <v>44882</v>
      </c>
    </row>
    <row r="2151" spans="1:4">
      <c r="A2151" t="s">
        <v>3147</v>
      </c>
      <c r="B2151" s="1219"/>
      <c r="C2151">
        <v>17.336000000000002</v>
      </c>
      <c r="D2151" s="91">
        <v>44882</v>
      </c>
    </row>
    <row r="2152" spans="1:4">
      <c r="A2152" t="s">
        <v>3148</v>
      </c>
      <c r="B2152" s="1219"/>
      <c r="C2152">
        <v>0.55000000000000004</v>
      </c>
      <c r="D2152" s="91">
        <v>44882</v>
      </c>
    </row>
    <row r="2153" spans="1:4">
      <c r="A2153" t="s">
        <v>3149</v>
      </c>
      <c r="B2153" s="1219"/>
      <c r="C2153">
        <v>6.5670000000000002</v>
      </c>
      <c r="D2153" s="91">
        <v>44882</v>
      </c>
    </row>
    <row r="2154" spans="1:4">
      <c r="A2154" t="s">
        <v>3150</v>
      </c>
      <c r="B2154" s="1219"/>
      <c r="C2154">
        <v>6.7320000000000011</v>
      </c>
      <c r="D2154" s="91">
        <v>44882</v>
      </c>
    </row>
    <row r="2155" spans="1:4">
      <c r="A2155" t="s">
        <v>3151</v>
      </c>
      <c r="B2155" s="1219"/>
      <c r="C2155">
        <v>9.2070000000000007</v>
      </c>
      <c r="D2155" s="91">
        <v>44882</v>
      </c>
    </row>
    <row r="2156" spans="1:4">
      <c r="A2156" t="s">
        <v>3152</v>
      </c>
      <c r="B2156" s="1219"/>
      <c r="C2156">
        <v>12.793000000000001</v>
      </c>
      <c r="D2156" s="91">
        <v>44882</v>
      </c>
    </row>
    <row r="2157" spans="1:4">
      <c r="A2157" t="s">
        <v>3153</v>
      </c>
      <c r="B2157" s="1219"/>
      <c r="C2157">
        <v>20.361000000000004</v>
      </c>
      <c r="D2157" s="91">
        <v>44882</v>
      </c>
    </row>
    <row r="2158" spans="1:4">
      <c r="A2158" t="s">
        <v>3154</v>
      </c>
      <c r="B2158" s="1219"/>
      <c r="C2158">
        <v>27.423000000000002</v>
      </c>
      <c r="D2158" s="91">
        <v>44882</v>
      </c>
    </row>
    <row r="2159" spans="1:4">
      <c r="A2159" t="s">
        <v>3155</v>
      </c>
      <c r="B2159" s="1219"/>
      <c r="C2159">
        <v>42.525999999999996</v>
      </c>
      <c r="D2159" s="91">
        <v>44882</v>
      </c>
    </row>
    <row r="2160" spans="1:4">
      <c r="A2160" t="s">
        <v>3156</v>
      </c>
      <c r="B2160" s="1219"/>
      <c r="C2160">
        <v>63.975999999999999</v>
      </c>
      <c r="D2160" s="91">
        <v>44882</v>
      </c>
    </row>
    <row r="2161" spans="1:4">
      <c r="A2161" t="s">
        <v>3157</v>
      </c>
      <c r="B2161" s="1219"/>
      <c r="C2161">
        <v>204.07200000000003</v>
      </c>
      <c r="D2161" s="91">
        <v>44882</v>
      </c>
    </row>
    <row r="2162" spans="1:4">
      <c r="A2162" t="s">
        <v>3158</v>
      </c>
      <c r="B2162" s="1219"/>
      <c r="C2162">
        <v>268.36700000000002</v>
      </c>
      <c r="D2162" s="91">
        <v>44882</v>
      </c>
    </row>
    <row r="2163" spans="1:4">
      <c r="A2163" t="s">
        <v>3159</v>
      </c>
      <c r="B2163" s="1219"/>
      <c r="C2163">
        <v>41.316000000000003</v>
      </c>
      <c r="D2163" s="91">
        <v>44882</v>
      </c>
    </row>
    <row r="2164" spans="1:4">
      <c r="A2164" t="s">
        <v>3160</v>
      </c>
      <c r="B2164" s="1219"/>
      <c r="C2164">
        <v>42.416000000000004</v>
      </c>
      <c r="D2164" s="91">
        <v>44882</v>
      </c>
    </row>
    <row r="2165" spans="1:4">
      <c r="A2165" t="s">
        <v>3161</v>
      </c>
      <c r="B2165" s="1219"/>
      <c r="C2165">
        <v>10.725000000000001</v>
      </c>
      <c r="D2165" s="91">
        <v>44882</v>
      </c>
    </row>
    <row r="2166" spans="1:4">
      <c r="A2166" t="s">
        <v>3162</v>
      </c>
      <c r="B2166" s="1219"/>
      <c r="C2166">
        <v>7.4250000000000007</v>
      </c>
      <c r="D2166" s="91">
        <v>44882</v>
      </c>
    </row>
    <row r="2167" spans="1:4">
      <c r="A2167" t="s">
        <v>3163</v>
      </c>
      <c r="B2167" s="1219"/>
      <c r="C2167">
        <v>14.8687</v>
      </c>
      <c r="D2167" s="91">
        <v>44882</v>
      </c>
    </row>
    <row r="2168" spans="1:4">
      <c r="A2168" t="s">
        <v>3164</v>
      </c>
      <c r="B2168" s="1219"/>
      <c r="C2168">
        <v>16.431799999999999</v>
      </c>
      <c r="D2168" s="91">
        <v>44882</v>
      </c>
    </row>
    <row r="2169" spans="1:4">
      <c r="A2169" t="s">
        <v>3165</v>
      </c>
      <c r="B2169" s="1219"/>
      <c r="C2169">
        <v>34.21</v>
      </c>
      <c r="D2169" s="91">
        <v>44882</v>
      </c>
    </row>
    <row r="2170" spans="1:4">
      <c r="A2170" t="s">
        <v>3166</v>
      </c>
      <c r="B2170" s="1219"/>
      <c r="C2170">
        <v>47.509</v>
      </c>
      <c r="D2170" s="91">
        <v>44882</v>
      </c>
    </row>
    <row r="2171" spans="1:4">
      <c r="A2171" t="s">
        <v>3167</v>
      </c>
      <c r="B2171" s="1219"/>
      <c r="C2171">
        <v>10.508850000000001</v>
      </c>
      <c r="D2171" s="91">
        <v>44882</v>
      </c>
    </row>
    <row r="2172" spans="1:4">
      <c r="A2172" t="s">
        <v>3168</v>
      </c>
      <c r="B2172" s="1219"/>
      <c r="C2172">
        <v>9.4594500000000004</v>
      </c>
      <c r="D2172" s="91">
        <v>44882</v>
      </c>
    </row>
    <row r="2173" spans="1:4">
      <c r="A2173" t="s">
        <v>3169</v>
      </c>
      <c r="B2173" s="1219"/>
      <c r="C2173">
        <v>12.652200000000001</v>
      </c>
      <c r="D2173" s="91">
        <v>44882</v>
      </c>
    </row>
    <row r="2174" spans="1:4">
      <c r="A2174" t="s">
        <v>3170</v>
      </c>
      <c r="B2174" s="1219"/>
      <c r="C2174">
        <v>13.879799999999999</v>
      </c>
      <c r="D2174" s="91">
        <v>44882</v>
      </c>
    </row>
    <row r="2175" spans="1:4">
      <c r="A2175" t="s">
        <v>3171</v>
      </c>
      <c r="B2175" s="1219"/>
      <c r="C2175">
        <v>15.53805</v>
      </c>
      <c r="D2175" s="91">
        <v>44882</v>
      </c>
    </row>
    <row r="2176" spans="1:4">
      <c r="A2176" t="s">
        <v>3172</v>
      </c>
      <c r="B2176" s="1219"/>
      <c r="C2176">
        <v>12.826000000000001</v>
      </c>
      <c r="D2176" s="91">
        <v>44882</v>
      </c>
    </row>
    <row r="2177" spans="1:4">
      <c r="A2177" t="s">
        <v>3173</v>
      </c>
      <c r="B2177" s="1219"/>
      <c r="C2177">
        <v>58.718000000000011</v>
      </c>
      <c r="D2177" s="91">
        <v>44882</v>
      </c>
    </row>
    <row r="2178" spans="1:4">
      <c r="A2178" t="s">
        <v>3174</v>
      </c>
      <c r="B2178" s="1219"/>
      <c r="C2178">
        <v>29.722000000000001</v>
      </c>
      <c r="D2178" s="91">
        <v>44882</v>
      </c>
    </row>
    <row r="2179" spans="1:4">
      <c r="A2179" t="s">
        <v>3175</v>
      </c>
      <c r="B2179" s="1219"/>
      <c r="C2179">
        <v>52.899000000000008</v>
      </c>
      <c r="D2179" s="91">
        <v>44882</v>
      </c>
    </row>
    <row r="2180" spans="1:4">
      <c r="A2180" t="s">
        <v>3176</v>
      </c>
      <c r="B2180" s="1219"/>
      <c r="C2180">
        <v>53.581000000000003</v>
      </c>
      <c r="D2180" s="91">
        <v>44882</v>
      </c>
    </row>
    <row r="2181" spans="1:4">
      <c r="A2181" t="s">
        <v>3177</v>
      </c>
      <c r="B2181" s="1219"/>
      <c r="C2181">
        <v>61.699000000000012</v>
      </c>
      <c r="D2181" s="91">
        <v>44882</v>
      </c>
    </row>
    <row r="2182" spans="1:4">
      <c r="A2182" t="s">
        <v>3178</v>
      </c>
      <c r="B2182" s="1219"/>
      <c r="C2182">
        <v>102.08</v>
      </c>
      <c r="D2182" s="91">
        <v>44882</v>
      </c>
    </row>
    <row r="2183" spans="1:4">
      <c r="A2183" t="s">
        <v>3179</v>
      </c>
      <c r="B2183" s="1219"/>
      <c r="C2183">
        <v>163.72400000000002</v>
      </c>
      <c r="D2183" s="91">
        <v>44882</v>
      </c>
    </row>
    <row r="2184" spans="1:4">
      <c r="A2184" t="s">
        <v>3180</v>
      </c>
      <c r="B2184" s="1219"/>
      <c r="C2184">
        <v>1110.5600000000002</v>
      </c>
      <c r="D2184" s="91">
        <v>44882</v>
      </c>
    </row>
    <row r="2185" spans="1:4">
      <c r="A2185" t="s">
        <v>3181</v>
      </c>
      <c r="B2185" s="1219"/>
      <c r="C2185">
        <v>2.3045000000000004</v>
      </c>
      <c r="D2185" s="91">
        <v>44882</v>
      </c>
    </row>
    <row r="2186" spans="1:4">
      <c r="A2186" t="s">
        <v>3182</v>
      </c>
      <c r="B2186" s="1219"/>
      <c r="C2186">
        <v>355.19</v>
      </c>
      <c r="D2186" s="91">
        <v>44882</v>
      </c>
    </row>
    <row r="2187" spans="1:4">
      <c r="A2187" t="s">
        <v>3183</v>
      </c>
      <c r="B2187" s="1219"/>
      <c r="C2187">
        <v>372.29500000000002</v>
      </c>
      <c r="D2187" s="91">
        <v>44882</v>
      </c>
    </row>
    <row r="2188" spans="1:4">
      <c r="A2188" t="s">
        <v>3184</v>
      </c>
      <c r="B2188" s="1219"/>
      <c r="C2188">
        <v>362.69200000000006</v>
      </c>
      <c r="D2188" s="91">
        <v>44882</v>
      </c>
    </row>
    <row r="2189" spans="1:4">
      <c r="A2189" t="s">
        <v>3185</v>
      </c>
      <c r="B2189" s="1219"/>
      <c r="C2189">
        <v>341.19800000000004</v>
      </c>
      <c r="D2189" s="91">
        <v>44882</v>
      </c>
    </row>
    <row r="2190" spans="1:4">
      <c r="A2190" t="s">
        <v>3186</v>
      </c>
      <c r="B2190" s="1219"/>
      <c r="C2190">
        <v>1073.6000000000001</v>
      </c>
      <c r="D2190" s="91">
        <v>44882</v>
      </c>
    </row>
    <row r="2191" spans="1:4">
      <c r="A2191" t="s">
        <v>3187</v>
      </c>
      <c r="B2191" s="1219"/>
      <c r="C2191">
        <v>355.19</v>
      </c>
      <c r="D2191" s="91">
        <v>44882</v>
      </c>
    </row>
    <row r="2192" spans="1:4">
      <c r="A2192" t="s">
        <v>3188</v>
      </c>
      <c r="B2192" s="1219"/>
      <c r="C2192">
        <v>372.29500000000002</v>
      </c>
      <c r="D2192" s="91">
        <v>44882</v>
      </c>
    </row>
    <row r="2193" spans="1:4">
      <c r="A2193" t="s">
        <v>3189</v>
      </c>
      <c r="B2193" s="1219"/>
      <c r="C2193">
        <v>362.69200000000006</v>
      </c>
      <c r="D2193" s="91">
        <v>44882</v>
      </c>
    </row>
    <row r="2194" spans="1:4">
      <c r="A2194" t="s">
        <v>3190</v>
      </c>
      <c r="B2194" s="1219"/>
      <c r="C2194">
        <v>341.19800000000004</v>
      </c>
      <c r="D2194" s="91">
        <v>44882</v>
      </c>
    </row>
    <row r="2195" spans="1:4">
      <c r="A2195" t="s">
        <v>3191</v>
      </c>
      <c r="B2195" s="1219"/>
      <c r="C2195">
        <v>1073.6000000000001</v>
      </c>
      <c r="D2195" s="91">
        <v>44882</v>
      </c>
    </row>
    <row r="2196" spans="1:4">
      <c r="A2196" t="s">
        <v>3192</v>
      </c>
      <c r="B2196" s="1219"/>
      <c r="C2196">
        <v>14.619</v>
      </c>
      <c r="D2196" s="91">
        <v>44882</v>
      </c>
    </row>
    <row r="2197" spans="1:4">
      <c r="A2197" t="s">
        <v>3193</v>
      </c>
      <c r="B2197" s="1219"/>
      <c r="C2197">
        <v>4.4660000000000002</v>
      </c>
      <c r="D2197" s="91">
        <v>44882</v>
      </c>
    </row>
    <row r="2198" spans="1:4">
      <c r="A2198" t="s">
        <v>3194</v>
      </c>
      <c r="B2198" s="1219"/>
      <c r="C2198">
        <v>4.51</v>
      </c>
      <c r="D2198" s="91">
        <v>44882</v>
      </c>
    </row>
    <row r="2199" spans="1:4">
      <c r="A2199" t="s">
        <v>3195</v>
      </c>
      <c r="B2199" s="1219"/>
      <c r="C2199">
        <v>5.1260000000000003</v>
      </c>
      <c r="D2199" s="91">
        <v>44882</v>
      </c>
    </row>
    <row r="2200" spans="1:4">
      <c r="A2200" t="s">
        <v>3196</v>
      </c>
      <c r="B2200" s="1219"/>
      <c r="C2200">
        <v>4.8400000000000007</v>
      </c>
      <c r="D2200" s="91">
        <v>44882</v>
      </c>
    </row>
    <row r="2201" spans="1:4">
      <c r="A2201" t="s">
        <v>3197</v>
      </c>
      <c r="B2201" s="1219"/>
      <c r="C2201">
        <v>5.9290000000000003</v>
      </c>
      <c r="D2201" s="91">
        <v>44882</v>
      </c>
    </row>
    <row r="2202" spans="1:4">
      <c r="A2202" t="s">
        <v>3198</v>
      </c>
      <c r="B2202" s="1219"/>
      <c r="C2202">
        <v>5.7200000000000006</v>
      </c>
      <c r="D2202" s="91">
        <v>44882</v>
      </c>
    </row>
    <row r="2203" spans="1:4">
      <c r="A2203" t="s">
        <v>3199</v>
      </c>
      <c r="B2203" s="1219"/>
      <c r="C2203">
        <v>6.9300000000000006</v>
      </c>
      <c r="D2203" s="91">
        <v>44882</v>
      </c>
    </row>
    <row r="2204" spans="1:4">
      <c r="A2204" t="s">
        <v>3200</v>
      </c>
      <c r="B2204" s="1219"/>
      <c r="C2204">
        <v>7.15</v>
      </c>
      <c r="D2204" s="91">
        <v>44882</v>
      </c>
    </row>
    <row r="2205" spans="1:4">
      <c r="A2205" t="s">
        <v>3201</v>
      </c>
      <c r="B2205" s="1219"/>
      <c r="C2205">
        <v>7.9310000000000009</v>
      </c>
      <c r="D2205" s="91">
        <v>44882</v>
      </c>
    </row>
    <row r="2206" spans="1:4">
      <c r="A2206" t="s">
        <v>3202</v>
      </c>
      <c r="B2206" s="1219"/>
      <c r="C2206">
        <v>8.8880000000000017</v>
      </c>
      <c r="D2206" s="91">
        <v>44882</v>
      </c>
    </row>
    <row r="2207" spans="1:4">
      <c r="A2207" t="s">
        <v>3203</v>
      </c>
      <c r="B2207" s="1219"/>
      <c r="C2207">
        <v>9.1630000000000003</v>
      </c>
      <c r="D2207" s="91">
        <v>44882</v>
      </c>
    </row>
    <row r="2208" spans="1:4">
      <c r="A2208" t="s">
        <v>3204</v>
      </c>
      <c r="B2208" s="1219"/>
      <c r="C2208">
        <v>18.172000000000001</v>
      </c>
      <c r="D2208" s="91">
        <v>44882</v>
      </c>
    </row>
    <row r="2209" spans="1:4">
      <c r="A2209" t="s">
        <v>3205</v>
      </c>
      <c r="B2209" s="1219"/>
      <c r="C2209">
        <v>3.9124800000000008</v>
      </c>
      <c r="D2209" s="91">
        <v>44882</v>
      </c>
    </row>
    <row r="2210" spans="1:4">
      <c r="A2210" t="s">
        <v>3206</v>
      </c>
      <c r="B2210" s="1219"/>
      <c r="C2210">
        <v>10.318000000000001</v>
      </c>
      <c r="D2210" s="91">
        <v>44882</v>
      </c>
    </row>
    <row r="2211" spans="1:4">
      <c r="A2211" t="s">
        <v>3207</v>
      </c>
      <c r="B2211" s="1219"/>
      <c r="C2211">
        <v>11.935</v>
      </c>
      <c r="D2211" s="91">
        <v>44882</v>
      </c>
    </row>
    <row r="2212" spans="1:4">
      <c r="A2212" t="s">
        <v>3208</v>
      </c>
      <c r="B2212" s="1219"/>
      <c r="C2212">
        <v>11.374000000000001</v>
      </c>
      <c r="D2212" s="91">
        <v>44882</v>
      </c>
    </row>
    <row r="2213" spans="1:4">
      <c r="A2213" t="s">
        <v>3209</v>
      </c>
      <c r="B2213" s="1219"/>
      <c r="C2213">
        <v>18.832000000000004</v>
      </c>
      <c r="D2213" s="91">
        <v>44882</v>
      </c>
    </row>
    <row r="2214" spans="1:4">
      <c r="A2214" t="s">
        <v>3210</v>
      </c>
      <c r="B2214" s="1219"/>
      <c r="C2214">
        <v>5.8849999999999998</v>
      </c>
      <c r="D2214" s="91">
        <v>44882</v>
      </c>
    </row>
    <row r="2215" spans="1:4">
      <c r="A2215" t="s">
        <v>3211</v>
      </c>
      <c r="B2215" s="1219"/>
      <c r="C2215">
        <v>2.4530000000000003</v>
      </c>
      <c r="D2215" s="91">
        <v>44882</v>
      </c>
    </row>
    <row r="2216" spans="1:4">
      <c r="A2216" t="s">
        <v>3212</v>
      </c>
      <c r="B2216" s="1219"/>
      <c r="C2216">
        <v>2.4530000000000003</v>
      </c>
      <c r="D2216" s="91">
        <v>44882</v>
      </c>
    </row>
    <row r="2217" spans="1:4">
      <c r="A2217" t="s">
        <v>3213</v>
      </c>
      <c r="B2217" s="1219"/>
      <c r="C2217">
        <v>10.450000000000001</v>
      </c>
      <c r="D2217" s="91">
        <v>44882</v>
      </c>
    </row>
    <row r="2218" spans="1:4">
      <c r="A2218" t="s">
        <v>3214</v>
      </c>
      <c r="B2218" s="1219"/>
      <c r="C2218">
        <v>10.450000000000001</v>
      </c>
      <c r="D2218" s="91">
        <v>44882</v>
      </c>
    </row>
    <row r="2219" spans="1:4">
      <c r="A2219" t="s">
        <v>3215</v>
      </c>
      <c r="B2219" s="1219"/>
      <c r="C2219">
        <v>10.450000000000001</v>
      </c>
      <c r="D2219" s="91">
        <v>44882</v>
      </c>
    </row>
    <row r="2220" spans="1:4">
      <c r="A2220" t="s">
        <v>3216</v>
      </c>
      <c r="B2220" s="1219"/>
      <c r="C2220">
        <v>9.6800000000000015</v>
      </c>
      <c r="D2220" s="91">
        <v>44882</v>
      </c>
    </row>
    <row r="2221" spans="1:4">
      <c r="A2221" t="s">
        <v>3217</v>
      </c>
      <c r="B2221" s="1219"/>
      <c r="C2221">
        <v>9.6800000000000015</v>
      </c>
      <c r="D2221" s="91">
        <v>44882</v>
      </c>
    </row>
    <row r="2222" spans="1:4">
      <c r="A2222" t="s">
        <v>3218</v>
      </c>
      <c r="B2222" s="1219"/>
      <c r="C2222">
        <v>9.6800000000000015</v>
      </c>
      <c r="D2222" s="91">
        <v>44882</v>
      </c>
    </row>
    <row r="2223" spans="1:4">
      <c r="A2223" t="s">
        <v>3219</v>
      </c>
      <c r="B2223" s="1219"/>
      <c r="C2223">
        <v>9.6800000000000015</v>
      </c>
      <c r="D2223" s="91">
        <v>44882</v>
      </c>
    </row>
    <row r="2224" spans="1:4">
      <c r="A2224" t="s">
        <v>3220</v>
      </c>
      <c r="B2224" s="1219"/>
      <c r="C2224">
        <v>9.6800000000000015</v>
      </c>
      <c r="D2224" s="91">
        <v>44882</v>
      </c>
    </row>
    <row r="2225" spans="1:4">
      <c r="A2225" t="s">
        <v>3221</v>
      </c>
      <c r="B2225" s="1219"/>
      <c r="C2225">
        <v>9.6800000000000015</v>
      </c>
      <c r="D2225" s="91">
        <v>44882</v>
      </c>
    </row>
    <row r="2226" spans="1:4">
      <c r="A2226" t="s">
        <v>3222</v>
      </c>
      <c r="B2226" s="1219"/>
      <c r="C2226">
        <v>29.436000000000003</v>
      </c>
      <c r="D2226" s="91">
        <v>44882</v>
      </c>
    </row>
    <row r="2227" spans="1:4">
      <c r="A2227" t="s">
        <v>3223</v>
      </c>
      <c r="B2227" s="1219"/>
      <c r="C2227">
        <v>3.2120000000000002</v>
      </c>
      <c r="D2227" s="91">
        <v>44882</v>
      </c>
    </row>
    <row r="2228" spans="1:4">
      <c r="A2228" t="s">
        <v>3224</v>
      </c>
      <c r="B2228" s="1219"/>
      <c r="C2228">
        <v>6.0500000000000007</v>
      </c>
      <c r="D2228" s="91">
        <v>44882</v>
      </c>
    </row>
    <row r="2229" spans="1:4">
      <c r="A2229" t="s">
        <v>3225</v>
      </c>
      <c r="B2229" s="1219"/>
      <c r="C2229">
        <v>9.5920000000000023</v>
      </c>
      <c r="D2229" s="91">
        <v>44882</v>
      </c>
    </row>
    <row r="2230" spans="1:4">
      <c r="A2230" t="s">
        <v>3226</v>
      </c>
      <c r="B2230" s="1219"/>
      <c r="C2230">
        <v>9.5920000000000023</v>
      </c>
      <c r="D2230" s="91">
        <v>44882</v>
      </c>
    </row>
    <row r="2231" spans="1:4">
      <c r="A2231" t="s">
        <v>3227</v>
      </c>
      <c r="B2231" s="1219"/>
      <c r="C2231">
        <v>9.5920000000000023</v>
      </c>
      <c r="D2231" s="91">
        <v>44882</v>
      </c>
    </row>
    <row r="2232" spans="1:4">
      <c r="A2232" t="s">
        <v>3228</v>
      </c>
      <c r="B2232" s="1219"/>
      <c r="C2232">
        <v>9.5920000000000023</v>
      </c>
      <c r="D2232" s="91">
        <v>44882</v>
      </c>
    </row>
    <row r="2233" spans="1:4">
      <c r="A2233" t="s">
        <v>3229</v>
      </c>
      <c r="B2233" s="1219"/>
      <c r="C2233">
        <v>9.5920000000000023</v>
      </c>
      <c r="D2233" s="91">
        <v>44882</v>
      </c>
    </row>
    <row r="2234" spans="1:4">
      <c r="A2234" t="s">
        <v>3230</v>
      </c>
      <c r="B2234" s="1219"/>
      <c r="C2234">
        <v>10.131000000000002</v>
      </c>
      <c r="D2234" s="91">
        <v>44882</v>
      </c>
    </row>
    <row r="2235" spans="1:4">
      <c r="A2235" t="s">
        <v>3231</v>
      </c>
      <c r="B2235" s="1219"/>
      <c r="C2235">
        <v>4.9060000000000006</v>
      </c>
      <c r="D2235" s="91">
        <v>44882</v>
      </c>
    </row>
    <row r="2236" spans="1:4">
      <c r="A2236" t="s">
        <v>3232</v>
      </c>
      <c r="B2236" s="1219"/>
      <c r="C2236">
        <v>16.533000000000001</v>
      </c>
      <c r="D2236" s="91">
        <v>44882</v>
      </c>
    </row>
    <row r="2237" spans="1:4">
      <c r="A2237" t="s">
        <v>3233</v>
      </c>
      <c r="B2237" s="1219"/>
      <c r="C2237">
        <v>18.183000000000003</v>
      </c>
      <c r="D2237" s="91">
        <v>44882</v>
      </c>
    </row>
    <row r="2238" spans="1:4">
      <c r="A2238" t="s">
        <v>3234</v>
      </c>
      <c r="B2238" s="1219"/>
      <c r="C2238">
        <v>18.183000000000003</v>
      </c>
      <c r="D2238" s="91">
        <v>44882</v>
      </c>
    </row>
    <row r="2239" spans="1:4">
      <c r="A2239" t="s">
        <v>3235</v>
      </c>
      <c r="B2239" s="1219"/>
      <c r="C2239">
        <v>18.183000000000003</v>
      </c>
      <c r="D2239" s="91">
        <v>44882</v>
      </c>
    </row>
    <row r="2240" spans="1:4">
      <c r="A2240" t="s">
        <v>3236</v>
      </c>
      <c r="B2240" s="1219"/>
      <c r="C2240">
        <v>18.183000000000003</v>
      </c>
      <c r="D2240" s="91">
        <v>44882</v>
      </c>
    </row>
    <row r="2241" spans="1:4">
      <c r="A2241" t="s">
        <v>3237</v>
      </c>
      <c r="B2241" s="1219"/>
      <c r="C2241">
        <v>18.183000000000003</v>
      </c>
      <c r="D2241" s="91">
        <v>44882</v>
      </c>
    </row>
    <row r="2242" spans="1:4">
      <c r="A2242" t="s">
        <v>3238</v>
      </c>
      <c r="B2242" s="1219"/>
      <c r="C2242">
        <v>7.0950000000000006</v>
      </c>
      <c r="D2242" s="91">
        <v>44882</v>
      </c>
    </row>
    <row r="2243" spans="1:4">
      <c r="A2243" t="s">
        <v>3239</v>
      </c>
      <c r="B2243" s="1219"/>
      <c r="C2243">
        <v>10.395</v>
      </c>
      <c r="D2243" s="91">
        <v>44882</v>
      </c>
    </row>
    <row r="2244" spans="1:4">
      <c r="A2244" t="s">
        <v>3240</v>
      </c>
      <c r="B2244" s="1219"/>
      <c r="C2244">
        <v>10.395</v>
      </c>
      <c r="D2244" s="91">
        <v>44882</v>
      </c>
    </row>
    <row r="2245" spans="1:4">
      <c r="A2245" t="s">
        <v>3241</v>
      </c>
      <c r="B2245" s="1219"/>
      <c r="C2245">
        <v>5.2030000000000012</v>
      </c>
      <c r="D2245" s="91">
        <v>44882</v>
      </c>
    </row>
    <row r="2246" spans="1:4">
      <c r="A2246" t="s">
        <v>3242</v>
      </c>
      <c r="B2246" s="1219"/>
      <c r="C2246">
        <v>6.1380000000000008</v>
      </c>
      <c r="D2246" s="91">
        <v>44882</v>
      </c>
    </row>
    <row r="2247" spans="1:4">
      <c r="A2247" t="s">
        <v>3243</v>
      </c>
      <c r="B2247" s="1219"/>
      <c r="C2247">
        <v>5.5</v>
      </c>
      <c r="D2247" s="91">
        <v>44882</v>
      </c>
    </row>
    <row r="2248" spans="1:4">
      <c r="A2248" t="s">
        <v>3244</v>
      </c>
      <c r="B2248" s="1219"/>
      <c r="C2248">
        <v>5.8740000000000006</v>
      </c>
      <c r="D2248" s="91">
        <v>44882</v>
      </c>
    </row>
    <row r="2249" spans="1:4">
      <c r="A2249" t="s">
        <v>3245</v>
      </c>
      <c r="B2249" s="1219"/>
      <c r="C2249">
        <v>5.8905000000000012</v>
      </c>
      <c r="D2249" s="91">
        <v>44882</v>
      </c>
    </row>
    <row r="2250" spans="1:4">
      <c r="A2250" t="s">
        <v>3246</v>
      </c>
      <c r="B2250" s="1219"/>
      <c r="C2250">
        <v>27.225000000000001</v>
      </c>
      <c r="D2250" s="91">
        <v>44882</v>
      </c>
    </row>
    <row r="2251" spans="1:4">
      <c r="A2251" t="s">
        <v>3247</v>
      </c>
      <c r="B2251" s="1219"/>
      <c r="C2251">
        <v>27.225000000000001</v>
      </c>
      <c r="D2251" s="91">
        <v>44882</v>
      </c>
    </row>
    <row r="2252" spans="1:4">
      <c r="A2252" t="s">
        <v>3248</v>
      </c>
      <c r="B2252" s="1219"/>
      <c r="C2252">
        <v>54.45</v>
      </c>
      <c r="D2252" s="91">
        <v>44882</v>
      </c>
    </row>
    <row r="2253" spans="1:4">
      <c r="A2253" t="s">
        <v>3249</v>
      </c>
      <c r="B2253" s="1219"/>
      <c r="C2253">
        <v>11.088000000000001</v>
      </c>
      <c r="D2253" s="91">
        <v>44882</v>
      </c>
    </row>
    <row r="2254" spans="1:4">
      <c r="A2254" t="s">
        <v>3250</v>
      </c>
      <c r="B2254" s="1219"/>
      <c r="C2254">
        <v>9.9671000000000003</v>
      </c>
      <c r="D2254" s="91">
        <v>44882</v>
      </c>
    </row>
    <row r="2255" spans="1:4">
      <c r="A2255" t="s">
        <v>3251</v>
      </c>
      <c r="B2255" s="1219"/>
      <c r="C2255">
        <v>26.408799999999999</v>
      </c>
      <c r="D2255" s="91">
        <v>44882</v>
      </c>
    </row>
    <row r="2256" spans="1:4">
      <c r="A2256" t="s">
        <v>3252</v>
      </c>
      <c r="B2256" s="1219"/>
      <c r="C2256">
        <v>23.653300000000002</v>
      </c>
      <c r="D2256" s="91">
        <v>44882</v>
      </c>
    </row>
    <row r="2257" spans="1:4">
      <c r="A2257" t="s">
        <v>3253</v>
      </c>
      <c r="B2257" s="1219"/>
      <c r="C2257">
        <v>29.486600000000003</v>
      </c>
      <c r="D2257" s="91">
        <v>44882</v>
      </c>
    </row>
    <row r="2258" spans="1:4">
      <c r="A2258" t="s">
        <v>3254</v>
      </c>
      <c r="B2258" s="1219"/>
      <c r="C2258">
        <v>15.550700000000003</v>
      </c>
      <c r="D2258" s="91">
        <v>44882</v>
      </c>
    </row>
    <row r="2259" spans="1:4">
      <c r="A2259" t="s">
        <v>3255</v>
      </c>
      <c r="B2259" s="1219"/>
      <c r="C2259">
        <v>31.9693</v>
      </c>
      <c r="D2259" s="91">
        <v>44882</v>
      </c>
    </row>
    <row r="2260" spans="1:4">
      <c r="A2260" t="s">
        <v>3256</v>
      </c>
      <c r="B2260" s="1219"/>
      <c r="C2260">
        <v>15.550700000000003</v>
      </c>
      <c r="D2260" s="91">
        <v>44882</v>
      </c>
    </row>
    <row r="2261" spans="1:4">
      <c r="A2261" t="s">
        <v>3257</v>
      </c>
      <c r="B2261" s="1219"/>
      <c r="C2261">
        <v>7.2941000000000011</v>
      </c>
      <c r="D2261" s="91">
        <v>44882</v>
      </c>
    </row>
    <row r="2262" spans="1:4">
      <c r="A2262" t="s">
        <v>3258</v>
      </c>
      <c r="B2262" s="1219"/>
      <c r="C2262">
        <v>6.7595000000000001</v>
      </c>
      <c r="D2262" s="91">
        <v>44882</v>
      </c>
    </row>
    <row r="2263" spans="1:4">
      <c r="A2263" t="s">
        <v>3259</v>
      </c>
      <c r="B2263" s="1219"/>
      <c r="C2263">
        <v>17.748500000000003</v>
      </c>
      <c r="D2263" s="91">
        <v>44882</v>
      </c>
    </row>
    <row r="2264" spans="1:4">
      <c r="A2264" t="s">
        <v>3260</v>
      </c>
      <c r="B2264" s="1219"/>
      <c r="C2264">
        <v>6.2964000000000011</v>
      </c>
      <c r="D2264" s="91">
        <v>44882</v>
      </c>
    </row>
    <row r="2265" spans="1:4">
      <c r="A2265" t="s">
        <v>3261</v>
      </c>
      <c r="B2265" s="1219"/>
      <c r="C2265">
        <v>8.3875000000000011</v>
      </c>
      <c r="D2265" s="91">
        <v>44882</v>
      </c>
    </row>
    <row r="2266" spans="1:4">
      <c r="A2266" t="s">
        <v>3262</v>
      </c>
      <c r="B2266" s="1219"/>
      <c r="C2266">
        <v>25.339600000000004</v>
      </c>
      <c r="D2266" s="91">
        <v>44882</v>
      </c>
    </row>
    <row r="2267" spans="1:4">
      <c r="A2267" t="s">
        <v>3263</v>
      </c>
      <c r="B2267" s="1219"/>
      <c r="C2267">
        <v>25.779600000000002</v>
      </c>
      <c r="D2267" s="91">
        <v>44882</v>
      </c>
    </row>
    <row r="2268" spans="1:4">
      <c r="A2268" t="s">
        <v>3264</v>
      </c>
      <c r="B2268" s="1219"/>
      <c r="C2268">
        <v>36.8401</v>
      </c>
      <c r="D2268" s="91">
        <v>44882</v>
      </c>
    </row>
    <row r="2269" spans="1:4">
      <c r="A2269" t="s">
        <v>3265</v>
      </c>
      <c r="B2269" s="1219"/>
      <c r="C2269">
        <v>73.986000000000018</v>
      </c>
      <c r="D2269" s="91">
        <v>44882</v>
      </c>
    </row>
    <row r="2270" spans="1:4">
      <c r="A2270" t="s">
        <v>3266</v>
      </c>
      <c r="B2270" s="1219"/>
      <c r="C2270">
        <v>43.758000000000003</v>
      </c>
      <c r="D2270" s="91">
        <v>44882</v>
      </c>
    </row>
    <row r="2271" spans="1:4">
      <c r="A2271" t="s">
        <v>3267</v>
      </c>
      <c r="B2271" s="1219"/>
      <c r="C2271">
        <v>69.806000000000012</v>
      </c>
      <c r="D2271" s="91">
        <v>44882</v>
      </c>
    </row>
    <row r="2272" spans="1:4">
      <c r="A2272" t="s">
        <v>3268</v>
      </c>
      <c r="B2272" s="1219"/>
      <c r="C2272">
        <v>80.926999999999992</v>
      </c>
      <c r="D2272" s="91">
        <v>44882</v>
      </c>
    </row>
    <row r="2273" spans="1:4">
      <c r="A2273" t="s">
        <v>3269</v>
      </c>
      <c r="B2273" s="1219"/>
      <c r="C2273">
        <v>123.66200000000001</v>
      </c>
      <c r="D2273" s="91">
        <v>44882</v>
      </c>
    </row>
    <row r="2274" spans="1:4">
      <c r="A2274" t="s">
        <v>3270</v>
      </c>
      <c r="B2274" s="1219"/>
      <c r="C2274">
        <v>21.122200000000003</v>
      </c>
      <c r="D2274" s="91">
        <v>44882</v>
      </c>
    </row>
    <row r="2275" spans="1:4">
      <c r="A2275" t="s">
        <v>3271</v>
      </c>
      <c r="B2275" s="1219"/>
      <c r="C2275">
        <v>32.848199999999999</v>
      </c>
      <c r="D2275" s="91">
        <v>44882</v>
      </c>
    </row>
    <row r="2276" spans="1:4">
      <c r="A2276" t="s">
        <v>3272</v>
      </c>
      <c r="B2276" s="1219"/>
      <c r="C2276">
        <v>43.427999999999997</v>
      </c>
      <c r="D2276" s="91">
        <v>44882</v>
      </c>
    </row>
    <row r="2277" spans="1:4">
      <c r="A2277" t="s">
        <v>3273</v>
      </c>
      <c r="B2277" s="1219"/>
      <c r="C2277">
        <v>52.206000000000003</v>
      </c>
      <c r="D2277" s="91">
        <v>44882</v>
      </c>
    </row>
    <row r="2278" spans="1:4">
      <c r="A2278" t="s">
        <v>3274</v>
      </c>
      <c r="B2278" s="1219"/>
      <c r="C2278">
        <v>109.33560000000001</v>
      </c>
      <c r="D2278" s="91">
        <v>44882</v>
      </c>
    </row>
    <row r="2279" spans="1:4">
      <c r="A2279" t="s">
        <v>3275</v>
      </c>
      <c r="B2279" s="1219"/>
      <c r="C2279">
        <v>32.120000000000005</v>
      </c>
      <c r="D2279" s="91">
        <v>44882</v>
      </c>
    </row>
    <row r="2280" spans="1:4">
      <c r="A2280" t="s">
        <v>3276</v>
      </c>
      <c r="B2280" s="1219"/>
      <c r="C2280">
        <v>25.399000000000001</v>
      </c>
      <c r="D2280" s="91">
        <v>44882</v>
      </c>
    </row>
    <row r="2281" spans="1:4">
      <c r="A2281" t="s">
        <v>3277</v>
      </c>
      <c r="B2281" s="1219"/>
      <c r="C2281">
        <v>13.717000000000002</v>
      </c>
      <c r="D2281" s="91">
        <v>44882</v>
      </c>
    </row>
    <row r="2282" spans="1:4">
      <c r="A2282" t="s">
        <v>3278</v>
      </c>
      <c r="B2282" s="1219"/>
      <c r="C2282">
        <v>14.102000000000002</v>
      </c>
      <c r="D2282" s="91">
        <v>44882</v>
      </c>
    </row>
    <row r="2283" spans="1:4">
      <c r="A2283" t="s">
        <v>3279</v>
      </c>
      <c r="B2283" s="1219"/>
      <c r="C2283">
        <v>13.112</v>
      </c>
      <c r="D2283" s="91">
        <v>44882</v>
      </c>
    </row>
    <row r="2284" spans="1:4">
      <c r="A2284" t="s">
        <v>3280</v>
      </c>
      <c r="B2284" s="1219"/>
      <c r="C2284">
        <v>4.5979999999999999</v>
      </c>
      <c r="D2284" s="91">
        <v>44882</v>
      </c>
    </row>
    <row r="2285" spans="1:4">
      <c r="A2285" t="s">
        <v>3281</v>
      </c>
      <c r="B2285" s="1219"/>
      <c r="C2285">
        <v>52.019000000000005</v>
      </c>
      <c r="D2285" s="91">
        <v>44882</v>
      </c>
    </row>
    <row r="2286" spans="1:4">
      <c r="A2286" t="s">
        <v>3282</v>
      </c>
      <c r="B2286" s="1219"/>
      <c r="C2286">
        <v>13.717000000000002</v>
      </c>
      <c r="D2286" s="91">
        <v>44882</v>
      </c>
    </row>
    <row r="2287" spans="1:4">
      <c r="A2287" t="s">
        <v>3283</v>
      </c>
      <c r="B2287" s="1219"/>
      <c r="C2287">
        <v>26.334000000000003</v>
      </c>
      <c r="D2287" s="91">
        <v>44882</v>
      </c>
    </row>
    <row r="2288" spans="1:4">
      <c r="A2288" t="s">
        <v>3284</v>
      </c>
      <c r="B2288" s="1219"/>
      <c r="C2288">
        <v>38.466999999999999</v>
      </c>
      <c r="D2288" s="91">
        <v>44882</v>
      </c>
    </row>
    <row r="2289" spans="1:4">
      <c r="A2289" t="s">
        <v>3285</v>
      </c>
      <c r="B2289" s="1219"/>
      <c r="C2289">
        <v>60.753</v>
      </c>
      <c r="D2289" s="91">
        <v>44882</v>
      </c>
    </row>
    <row r="2290" spans="1:4">
      <c r="A2290" t="s">
        <v>3286</v>
      </c>
      <c r="B2290" s="1219"/>
      <c r="C2290">
        <v>48.807000000000002</v>
      </c>
      <c r="D2290" s="91">
        <v>44882</v>
      </c>
    </row>
    <row r="2291" spans="1:4">
      <c r="A2291" t="s">
        <v>3287</v>
      </c>
      <c r="B2291" s="1219"/>
      <c r="C2291">
        <v>51.376050000000006</v>
      </c>
      <c r="D2291" s="91">
        <v>44882</v>
      </c>
    </row>
    <row r="2292" spans="1:4">
      <c r="A2292" t="s">
        <v>3288</v>
      </c>
      <c r="B2292" s="1219"/>
      <c r="C2292">
        <v>56.741850000000007</v>
      </c>
      <c r="D2292" s="91">
        <v>44882</v>
      </c>
    </row>
    <row r="2293" spans="1:4">
      <c r="A2293" t="s">
        <v>3289</v>
      </c>
      <c r="B2293" s="1219"/>
      <c r="C2293">
        <v>64.122299999999996</v>
      </c>
      <c r="D2293" s="91">
        <v>44882</v>
      </c>
    </row>
    <row r="2294" spans="1:4">
      <c r="A2294" t="s">
        <v>3290</v>
      </c>
      <c r="B2294" s="1219"/>
      <c r="C2294">
        <v>88.629750000000016</v>
      </c>
      <c r="D2294" s="91">
        <v>44882</v>
      </c>
    </row>
    <row r="2295" spans="1:4">
      <c r="A2295" t="s">
        <v>3291</v>
      </c>
      <c r="B2295" s="1219"/>
      <c r="C2295">
        <v>215.93000000000004</v>
      </c>
      <c r="D2295" s="91">
        <v>44882</v>
      </c>
    </row>
    <row r="2296" spans="1:4">
      <c r="A2296" t="s">
        <v>3292</v>
      </c>
      <c r="B2296" s="1219"/>
      <c r="C2296">
        <v>264.55</v>
      </c>
      <c r="D2296" s="91">
        <v>44882</v>
      </c>
    </row>
    <row r="2297" spans="1:4">
      <c r="A2297" t="s">
        <v>3293</v>
      </c>
      <c r="B2297" s="1219"/>
      <c r="C2297">
        <v>238.81</v>
      </c>
      <c r="D2297" s="91">
        <v>44882</v>
      </c>
    </row>
    <row r="2298" spans="1:4">
      <c r="A2298" t="s">
        <v>3294</v>
      </c>
      <c r="B2298" s="1219"/>
      <c r="C2298">
        <v>255.25500000000002</v>
      </c>
      <c r="D2298" s="91">
        <v>44882</v>
      </c>
    </row>
    <row r="2299" spans="1:4">
      <c r="A2299" t="s">
        <v>3295</v>
      </c>
      <c r="B2299" s="1219"/>
      <c r="C2299">
        <v>40.524000000000008</v>
      </c>
      <c r="D2299" s="91">
        <v>44882</v>
      </c>
    </row>
    <row r="2300" spans="1:4">
      <c r="A2300" t="s">
        <v>3296</v>
      </c>
      <c r="B2300" s="1219"/>
      <c r="C2300">
        <v>35.343000000000004</v>
      </c>
      <c r="D2300" s="91">
        <v>44882</v>
      </c>
    </row>
    <row r="2301" spans="1:4">
      <c r="A2301" t="s">
        <v>3297</v>
      </c>
      <c r="B2301" s="1219"/>
      <c r="C2301">
        <v>97.064000000000007</v>
      </c>
      <c r="D2301" s="91">
        <v>44882</v>
      </c>
    </row>
    <row r="2302" spans="1:4">
      <c r="A2302" t="s">
        <v>3298</v>
      </c>
      <c r="B2302" s="1219"/>
      <c r="C2302">
        <v>173.94300000000001</v>
      </c>
      <c r="D2302" s="91">
        <v>44882</v>
      </c>
    </row>
    <row r="2303" spans="1:4">
      <c r="A2303" t="s">
        <v>3299</v>
      </c>
      <c r="B2303" s="1219"/>
      <c r="C2303">
        <v>160.58900000000003</v>
      </c>
      <c r="D2303" s="91">
        <v>44882</v>
      </c>
    </row>
    <row r="2304" spans="1:4">
      <c r="A2304" t="s">
        <v>3300</v>
      </c>
      <c r="B2304" s="1219"/>
      <c r="C2304">
        <v>461.94500000000005</v>
      </c>
      <c r="D2304" s="91">
        <v>44882</v>
      </c>
    </row>
    <row r="2305" spans="1:4">
      <c r="A2305" t="s">
        <v>3301</v>
      </c>
      <c r="B2305" s="1219"/>
      <c r="C2305">
        <v>377.41000000000008</v>
      </c>
      <c r="D2305" s="91">
        <v>44882</v>
      </c>
    </row>
    <row r="2306" spans="1:4">
      <c r="A2306" t="s">
        <v>3302</v>
      </c>
      <c r="B2306" s="1219"/>
      <c r="C2306">
        <v>74.965000000000018</v>
      </c>
      <c r="D2306" s="91">
        <v>44882</v>
      </c>
    </row>
    <row r="2307" spans="1:4">
      <c r="A2307" t="s">
        <v>3303</v>
      </c>
      <c r="B2307" s="1219"/>
      <c r="C2307">
        <v>21.681000000000001</v>
      </c>
      <c r="D2307" s="91">
        <v>44882</v>
      </c>
    </row>
    <row r="2308" spans="1:4">
      <c r="A2308" t="s">
        <v>3304</v>
      </c>
      <c r="B2308" s="1219"/>
      <c r="C2308">
        <v>7731.9000000000005</v>
      </c>
      <c r="D2308" s="91">
        <v>44882</v>
      </c>
    </row>
    <row r="2309" spans="1:4">
      <c r="A2309" t="s">
        <v>3305</v>
      </c>
      <c r="B2309" s="1219"/>
      <c r="C2309">
        <v>4852.1000000000004</v>
      </c>
      <c r="D2309" s="91">
        <v>44882</v>
      </c>
    </row>
    <row r="2310" spans="1:4">
      <c r="A2310" t="s">
        <v>3306</v>
      </c>
      <c r="B2310" s="1219"/>
      <c r="C2310">
        <v>302.59899999999999</v>
      </c>
      <c r="D2310" s="91">
        <v>44882</v>
      </c>
    </row>
    <row r="2311" spans="1:4">
      <c r="A2311" t="s">
        <v>3307</v>
      </c>
      <c r="B2311" s="1219"/>
      <c r="C2311">
        <v>126.50000000000001</v>
      </c>
      <c r="D2311" s="91">
        <v>44882</v>
      </c>
    </row>
    <row r="2312" spans="1:4">
      <c r="A2312" t="s">
        <v>3308</v>
      </c>
      <c r="B2312" s="1219"/>
      <c r="C2312">
        <v>185.87800000000001</v>
      </c>
      <c r="D2312" s="91">
        <v>44882</v>
      </c>
    </row>
    <row r="2313" spans="1:4">
      <c r="A2313" t="s">
        <v>3309</v>
      </c>
      <c r="B2313" s="1219"/>
      <c r="C2313">
        <v>140.80000000000001</v>
      </c>
      <c r="D2313" s="91">
        <v>44882</v>
      </c>
    </row>
    <row r="2314" spans="1:4">
      <c r="A2314" t="s">
        <v>3310</v>
      </c>
      <c r="B2314" s="1219"/>
      <c r="C2314">
        <v>378.40000000000003</v>
      </c>
      <c r="D2314" s="91">
        <v>44882</v>
      </c>
    </row>
    <row r="2315" spans="1:4">
      <c r="A2315" t="s">
        <v>3311</v>
      </c>
      <c r="B2315" s="1219"/>
      <c r="C2315">
        <v>123.20000000000002</v>
      </c>
      <c r="D2315" s="91">
        <v>44882</v>
      </c>
    </row>
    <row r="2316" spans="1:4">
      <c r="A2316" t="s">
        <v>3312</v>
      </c>
      <c r="B2316" s="1219"/>
      <c r="C2316">
        <v>108.9</v>
      </c>
      <c r="D2316" s="91">
        <v>44882</v>
      </c>
    </row>
    <row r="2317" spans="1:4">
      <c r="A2317" t="s">
        <v>3313</v>
      </c>
      <c r="B2317" s="1219"/>
      <c r="C2317">
        <v>555.5</v>
      </c>
      <c r="D2317" s="91">
        <v>44882</v>
      </c>
    </row>
    <row r="2318" spans="1:4">
      <c r="A2318" t="s">
        <v>3314</v>
      </c>
      <c r="B2318" s="1219"/>
      <c r="C2318">
        <v>154</v>
      </c>
      <c r="D2318" s="91">
        <v>44882</v>
      </c>
    </row>
    <row r="2319" spans="1:4">
      <c r="A2319" t="s">
        <v>3315</v>
      </c>
      <c r="B2319" s="1219"/>
      <c r="C2319">
        <v>72.831000000000003</v>
      </c>
      <c r="D2319" s="91">
        <v>44882</v>
      </c>
    </row>
    <row r="2320" spans="1:4">
      <c r="A2320" t="s">
        <v>3316</v>
      </c>
      <c r="B2320" s="1219"/>
      <c r="C2320">
        <v>79.244000000000014</v>
      </c>
      <c r="D2320" s="91">
        <v>44882</v>
      </c>
    </row>
    <row r="2321" spans="1:4">
      <c r="A2321" t="s">
        <v>3317</v>
      </c>
      <c r="B2321" s="1219"/>
      <c r="C2321">
        <v>4.8070000000000004</v>
      </c>
      <c r="D2321" s="91">
        <v>44882</v>
      </c>
    </row>
    <row r="2322" spans="1:4">
      <c r="A2322" t="s">
        <v>3318</v>
      </c>
      <c r="B2322" s="1219"/>
      <c r="C2322">
        <v>79.244000000000014</v>
      </c>
      <c r="D2322" s="91">
        <v>44882</v>
      </c>
    </row>
    <row r="2323" spans="1:4">
      <c r="A2323" t="s">
        <v>3319</v>
      </c>
      <c r="B2323" s="1219"/>
      <c r="C2323">
        <v>2535.5</v>
      </c>
      <c r="D2323" s="91">
        <v>44882</v>
      </c>
    </row>
    <row r="2324" spans="1:4">
      <c r="A2324" t="s">
        <v>3320</v>
      </c>
      <c r="B2324" s="1219"/>
      <c r="C2324">
        <v>3025.0000000000005</v>
      </c>
      <c r="D2324" s="91">
        <v>44882</v>
      </c>
    </row>
    <row r="2325" spans="1:4">
      <c r="A2325" t="s">
        <v>3321</v>
      </c>
      <c r="B2325" s="1219"/>
      <c r="C2325">
        <v>2695</v>
      </c>
      <c r="D2325" s="91">
        <v>44882</v>
      </c>
    </row>
    <row r="2326" spans="1:4">
      <c r="A2326" t="s">
        <v>3322</v>
      </c>
      <c r="B2326" s="1219"/>
      <c r="C2326">
        <v>3080.0000000000005</v>
      </c>
      <c r="D2326" s="91">
        <v>44882</v>
      </c>
    </row>
    <row r="2327" spans="1:4">
      <c r="A2327" t="s">
        <v>3323</v>
      </c>
      <c r="B2327" s="1219"/>
      <c r="C2327">
        <v>2926.0000000000005</v>
      </c>
      <c r="D2327" s="91">
        <v>44882</v>
      </c>
    </row>
    <row r="2328" spans="1:4">
      <c r="A2328" t="s">
        <v>3324</v>
      </c>
      <c r="B2328" s="1219"/>
      <c r="C2328">
        <v>3300.0000000000005</v>
      </c>
      <c r="D2328" s="91">
        <v>44882</v>
      </c>
    </row>
    <row r="2329" spans="1:4">
      <c r="A2329" t="s">
        <v>3325</v>
      </c>
      <c r="B2329" s="1219"/>
      <c r="C2329">
        <v>1166</v>
      </c>
      <c r="D2329" s="91">
        <v>44882</v>
      </c>
    </row>
    <row r="2330" spans="1:4">
      <c r="A2330" t="s">
        <v>3326</v>
      </c>
      <c r="B2330" s="1219"/>
      <c r="C2330">
        <v>1573.0000000000002</v>
      </c>
      <c r="D2330" s="91">
        <v>44882</v>
      </c>
    </row>
    <row r="2331" spans="1:4">
      <c r="A2331" t="s">
        <v>3327</v>
      </c>
      <c r="B2331" s="1219"/>
      <c r="C2331">
        <v>1314.5</v>
      </c>
      <c r="D2331" s="91">
        <v>44882</v>
      </c>
    </row>
    <row r="2332" spans="1:4">
      <c r="A2332" t="s">
        <v>3328</v>
      </c>
      <c r="B2332" s="1219"/>
      <c r="C2332">
        <v>1732.5000000000002</v>
      </c>
      <c r="D2332" s="91">
        <v>44882</v>
      </c>
    </row>
    <row r="2333" spans="1:4">
      <c r="A2333" t="s">
        <v>3329</v>
      </c>
      <c r="B2333" s="1219"/>
      <c r="C2333">
        <v>1562.0000000000002</v>
      </c>
      <c r="D2333" s="91">
        <v>44882</v>
      </c>
    </row>
    <row r="2334" spans="1:4">
      <c r="A2334" t="s">
        <v>3330</v>
      </c>
      <c r="B2334" s="1219"/>
      <c r="C2334">
        <v>1974.5000000000002</v>
      </c>
      <c r="D2334" s="91">
        <v>44882</v>
      </c>
    </row>
    <row r="2335" spans="1:4">
      <c r="A2335" t="s">
        <v>3331</v>
      </c>
      <c r="B2335" s="1219"/>
      <c r="C2335">
        <v>100.10000000000001</v>
      </c>
      <c r="D2335" s="91">
        <v>44882</v>
      </c>
    </row>
    <row r="2336" spans="1:4">
      <c r="A2336" t="s">
        <v>3332</v>
      </c>
      <c r="B2336" s="1219"/>
      <c r="C2336">
        <v>90.2</v>
      </c>
      <c r="D2336" s="91">
        <v>44882</v>
      </c>
    </row>
    <row r="2337" spans="1:4">
      <c r="A2337" t="s">
        <v>3333</v>
      </c>
      <c r="B2337" s="1219"/>
      <c r="C2337">
        <v>90.2</v>
      </c>
      <c r="D2337" s="91">
        <v>44882</v>
      </c>
    </row>
    <row r="2338" spans="1:4">
      <c r="A2338" t="s">
        <v>3334</v>
      </c>
      <c r="B2338" s="1219"/>
      <c r="C2338">
        <v>2120.8000000000002</v>
      </c>
      <c r="D2338" s="91">
        <v>44882</v>
      </c>
    </row>
    <row r="2339" spans="1:4">
      <c r="A2339" t="s">
        <v>3335</v>
      </c>
      <c r="B2339" s="1219"/>
      <c r="C2339">
        <v>363.00000000000006</v>
      </c>
      <c r="D2339" s="91">
        <v>44882</v>
      </c>
    </row>
    <row r="2340" spans="1:4">
      <c r="A2340" t="s">
        <v>3336</v>
      </c>
      <c r="B2340" s="1219"/>
      <c r="C2340">
        <v>9.7900000000000009</v>
      </c>
      <c r="D2340" s="91">
        <v>44882</v>
      </c>
    </row>
    <row r="2341" spans="1:4">
      <c r="A2341" t="s">
        <v>3337</v>
      </c>
      <c r="B2341" s="1219"/>
      <c r="C2341">
        <v>21.042999999999999</v>
      </c>
      <c r="D2341" s="91">
        <v>44882</v>
      </c>
    </row>
    <row r="2342" spans="1:4">
      <c r="A2342" t="s">
        <v>3338</v>
      </c>
      <c r="B2342" s="1219"/>
      <c r="C2342">
        <v>973.50000000000011</v>
      </c>
      <c r="D2342" s="91">
        <v>44882</v>
      </c>
    </row>
    <row r="2343" spans="1:4">
      <c r="A2343" t="s">
        <v>3339</v>
      </c>
      <c r="B2343" s="1219"/>
      <c r="C2343">
        <v>974.6</v>
      </c>
      <c r="D2343" s="91">
        <v>44882</v>
      </c>
    </row>
    <row r="2344" spans="1:4">
      <c r="A2344" t="s">
        <v>3340</v>
      </c>
      <c r="B2344" s="1219"/>
      <c r="C2344">
        <v>1273.8000000000002</v>
      </c>
      <c r="D2344" s="91">
        <v>44882</v>
      </c>
    </row>
    <row r="2345" spans="1:4">
      <c r="A2345" t="s">
        <v>3341</v>
      </c>
      <c r="B2345" s="1219"/>
      <c r="C2345">
        <v>1241.9000000000001</v>
      </c>
      <c r="D2345" s="91">
        <v>44882</v>
      </c>
    </row>
    <row r="2346" spans="1:4">
      <c r="A2346" t="s">
        <v>3342</v>
      </c>
      <c r="B2346" s="1219"/>
      <c r="C2346">
        <v>709.50000000000011</v>
      </c>
      <c r="D2346" s="91">
        <v>44882</v>
      </c>
    </row>
    <row r="2347" spans="1:4">
      <c r="A2347" t="s">
        <v>3343</v>
      </c>
      <c r="B2347" s="1219"/>
      <c r="C2347">
        <v>608.30000000000007</v>
      </c>
      <c r="D2347" s="91">
        <v>44882</v>
      </c>
    </row>
    <row r="2348" spans="1:4">
      <c r="A2348" t="s">
        <v>3344</v>
      </c>
      <c r="B2348" s="1219"/>
      <c r="C2348">
        <v>1034</v>
      </c>
      <c r="D2348" s="91">
        <v>44882</v>
      </c>
    </row>
    <row r="2349" spans="1:4">
      <c r="A2349" t="s">
        <v>3345</v>
      </c>
      <c r="B2349" s="1219"/>
      <c r="C2349">
        <v>1274.9000000000001</v>
      </c>
      <c r="D2349" s="91">
        <v>44882</v>
      </c>
    </row>
    <row r="2350" spans="1:4">
      <c r="A2350" t="s">
        <v>3346</v>
      </c>
      <c r="B2350" s="1219"/>
      <c r="C2350">
        <v>1034</v>
      </c>
      <c r="D2350" s="91">
        <v>44882</v>
      </c>
    </row>
    <row r="2351" spans="1:4">
      <c r="A2351" t="s">
        <v>3347</v>
      </c>
      <c r="B2351" s="1219"/>
      <c r="C2351">
        <v>1523.5000000000002</v>
      </c>
      <c r="D2351" s="91">
        <v>44882</v>
      </c>
    </row>
    <row r="2352" spans="1:4">
      <c r="A2352" t="s">
        <v>3348</v>
      </c>
      <c r="B2352" s="1219"/>
      <c r="C2352">
        <v>1193.9950000000001</v>
      </c>
      <c r="D2352" s="91">
        <v>44882</v>
      </c>
    </row>
    <row r="2353" spans="1:4">
      <c r="A2353" t="s">
        <v>3349</v>
      </c>
      <c r="B2353" s="1219"/>
      <c r="C2353">
        <v>2197.8000000000002</v>
      </c>
      <c r="D2353" s="91">
        <v>44882</v>
      </c>
    </row>
    <row r="2354" spans="1:4">
      <c r="A2354" t="s">
        <v>3350</v>
      </c>
      <c r="B2354" s="1219"/>
      <c r="C2354">
        <v>2070.5520000000001</v>
      </c>
      <c r="D2354" s="91">
        <v>44882</v>
      </c>
    </row>
    <row r="2355" spans="1:4">
      <c r="A2355" t="s">
        <v>3351</v>
      </c>
      <c r="B2355" s="1219"/>
      <c r="C2355">
        <v>255.75000000000003</v>
      </c>
      <c r="D2355" s="91">
        <v>44882</v>
      </c>
    </row>
    <row r="2356" spans="1:4">
      <c r="A2356" t="s">
        <v>3352</v>
      </c>
      <c r="B2356" s="1219"/>
      <c r="C2356">
        <v>2530</v>
      </c>
      <c r="D2356" s="91">
        <v>44882</v>
      </c>
    </row>
    <row r="2357" spans="1:4">
      <c r="A2357" t="s">
        <v>3353</v>
      </c>
      <c r="B2357" s="1219"/>
      <c r="C2357">
        <v>2530</v>
      </c>
      <c r="D2357" s="91">
        <v>44882</v>
      </c>
    </row>
    <row r="2358" spans="1:4">
      <c r="A2358" t="s">
        <v>3354</v>
      </c>
      <c r="B2358" s="1219"/>
      <c r="C2358">
        <v>77</v>
      </c>
      <c r="D2358" s="91">
        <v>44882</v>
      </c>
    </row>
    <row r="2359" spans="1:4">
      <c r="A2359" t="s">
        <v>3355</v>
      </c>
      <c r="B2359" s="1219"/>
      <c r="C2359">
        <v>106.7</v>
      </c>
      <c r="D2359" s="91">
        <v>44882</v>
      </c>
    </row>
    <row r="2360" spans="1:4">
      <c r="A2360" t="s">
        <v>3356</v>
      </c>
      <c r="B2360" s="1219"/>
      <c r="C2360">
        <v>83.600000000000009</v>
      </c>
      <c r="D2360" s="91">
        <v>44882</v>
      </c>
    </row>
    <row r="2361" spans="1:4">
      <c r="A2361" t="s">
        <v>3357</v>
      </c>
      <c r="B2361" s="1219"/>
      <c r="C2361">
        <v>280.66500000000002</v>
      </c>
      <c r="D2361" s="91">
        <v>44882</v>
      </c>
    </row>
    <row r="2362" spans="1:4">
      <c r="A2362" t="s">
        <v>3358</v>
      </c>
      <c r="B2362" s="1219"/>
      <c r="C2362">
        <v>301.45500000000004</v>
      </c>
      <c r="D2362" s="91">
        <v>44882</v>
      </c>
    </row>
    <row r="2363" spans="1:4">
      <c r="A2363" t="s">
        <v>3359</v>
      </c>
      <c r="B2363" s="1219"/>
      <c r="C2363">
        <v>366.29669999999999</v>
      </c>
      <c r="D2363" s="91">
        <v>44882</v>
      </c>
    </row>
    <row r="2364" spans="1:4">
      <c r="A2364" t="s">
        <v>3360</v>
      </c>
      <c r="B2364" s="1219"/>
      <c r="C2364">
        <v>683.68299999999999</v>
      </c>
      <c r="D2364" s="91">
        <v>44882</v>
      </c>
    </row>
    <row r="2365" spans="1:4">
      <c r="A2365" t="s">
        <v>3361</v>
      </c>
      <c r="B2365" s="1219"/>
      <c r="C2365">
        <v>733.34799999999996</v>
      </c>
      <c r="D2365" s="91">
        <v>44882</v>
      </c>
    </row>
    <row r="2366" spans="1:4">
      <c r="A2366" t="s">
        <v>3362</v>
      </c>
      <c r="B2366" s="1219"/>
      <c r="C2366">
        <v>842.0390000000001</v>
      </c>
      <c r="D2366" s="91">
        <v>44882</v>
      </c>
    </row>
    <row r="2367" spans="1:4">
      <c r="A2367" t="s">
        <v>3363</v>
      </c>
      <c r="B2367" s="1219"/>
      <c r="C2367">
        <v>165</v>
      </c>
      <c r="D2367" s="91">
        <v>44882</v>
      </c>
    </row>
    <row r="2368" spans="1:4">
      <c r="A2368" t="s">
        <v>3364</v>
      </c>
      <c r="B2368" s="1219"/>
      <c r="C2368">
        <v>412.50000000000006</v>
      </c>
      <c r="D2368" s="91">
        <v>44882</v>
      </c>
    </row>
    <row r="2369" spans="1:4">
      <c r="A2369" t="s">
        <v>3365</v>
      </c>
      <c r="B2369" s="1219"/>
      <c r="C2369">
        <v>4.6084500000000004</v>
      </c>
      <c r="D2369" s="91">
        <v>44882</v>
      </c>
    </row>
    <row r="2370" spans="1:4">
      <c r="A2370" t="s">
        <v>3366</v>
      </c>
      <c r="B2370" s="1219"/>
      <c r="C2370">
        <v>1.5246000000000002</v>
      </c>
      <c r="D2370" s="91">
        <v>44882</v>
      </c>
    </row>
    <row r="2371" spans="1:4">
      <c r="A2371" t="s">
        <v>3367</v>
      </c>
      <c r="B2371" s="1219"/>
      <c r="C2371">
        <v>32.501700000000007</v>
      </c>
      <c r="D2371" s="91">
        <v>44882</v>
      </c>
    </row>
    <row r="2372" spans="1:4">
      <c r="A2372" t="s">
        <v>3368</v>
      </c>
      <c r="B2372" s="1219"/>
      <c r="C2372">
        <v>4.8278999999999996</v>
      </c>
      <c r="D2372" s="91">
        <v>44882</v>
      </c>
    </row>
    <row r="2373" spans="1:4">
      <c r="A2373" t="s">
        <v>3369</v>
      </c>
      <c r="B2373" s="1219"/>
      <c r="C2373">
        <v>15.246</v>
      </c>
      <c r="D2373" s="91">
        <v>44882</v>
      </c>
    </row>
    <row r="2374" spans="1:4">
      <c r="A2374" t="s">
        <v>3370</v>
      </c>
      <c r="B2374" s="1219"/>
      <c r="C2374">
        <v>1554.432</v>
      </c>
      <c r="D2374" s="91">
        <v>44882</v>
      </c>
    </row>
    <row r="2375" spans="1:4">
      <c r="A2375" t="s">
        <v>3371</v>
      </c>
      <c r="B2375" s="1219"/>
      <c r="C2375">
        <v>1.3860000000000001</v>
      </c>
      <c r="D2375" s="91">
        <v>44882</v>
      </c>
    </row>
    <row r="2376" spans="1:4">
      <c r="A2376" t="s">
        <v>3372</v>
      </c>
      <c r="B2376" s="1219"/>
      <c r="C2376">
        <v>438.90000000000003</v>
      </c>
      <c r="D2376" s="91">
        <v>44882</v>
      </c>
    </row>
    <row r="2377" spans="1:4">
      <c r="A2377" t="s">
        <v>3373</v>
      </c>
      <c r="B2377" s="1219"/>
      <c r="C2377">
        <v>4471.1040000000003</v>
      </c>
      <c r="D2377" s="91">
        <v>44882</v>
      </c>
    </row>
    <row r="2378" spans="1:4">
      <c r="A2378" t="s">
        <v>3374</v>
      </c>
      <c r="B2378" s="1219"/>
      <c r="C2378">
        <v>6121.9840000000013</v>
      </c>
      <c r="D2378" s="91">
        <v>44882</v>
      </c>
    </row>
    <row r="2379" spans="1:4">
      <c r="A2379" t="s">
        <v>3375</v>
      </c>
      <c r="B2379" s="1219"/>
      <c r="C2379">
        <v>9691.264000000001</v>
      </c>
      <c r="D2379" s="91">
        <v>44882</v>
      </c>
    </row>
    <row r="2380" spans="1:4">
      <c r="A2380" t="s">
        <v>3376</v>
      </c>
      <c r="B2380" s="1219"/>
      <c r="C2380">
        <v>39.500999999999998</v>
      </c>
      <c r="D2380" s="91">
        <v>44882</v>
      </c>
    </row>
    <row r="2381" spans="1:4">
      <c r="A2381" t="s">
        <v>3377</v>
      </c>
      <c r="B2381" s="1219"/>
      <c r="C2381">
        <v>249.70000000000002</v>
      </c>
      <c r="D2381" s="91">
        <v>44882</v>
      </c>
    </row>
    <row r="2382" spans="1:4">
      <c r="A2382" t="s">
        <v>3378</v>
      </c>
      <c r="B2382" s="1219"/>
      <c r="C2382">
        <v>338.8</v>
      </c>
      <c r="D2382" s="91">
        <v>44882</v>
      </c>
    </row>
    <row r="2383" spans="1:4">
      <c r="A2383" t="s">
        <v>3379</v>
      </c>
      <c r="B2383" s="1219"/>
      <c r="C2383">
        <v>724.90000000000009</v>
      </c>
      <c r="D2383" s="91">
        <v>44882</v>
      </c>
    </row>
    <row r="2384" spans="1:4">
      <c r="A2384" t="s">
        <v>3380</v>
      </c>
      <c r="B2384" s="1219"/>
      <c r="C2384">
        <v>544.5</v>
      </c>
      <c r="D2384" s="91">
        <v>44882</v>
      </c>
    </row>
    <row r="2385" spans="1:4">
      <c r="A2385" t="s">
        <v>3381</v>
      </c>
      <c r="B2385" s="1219"/>
      <c r="C2385">
        <v>573.1</v>
      </c>
      <c r="D2385" s="91">
        <v>44882</v>
      </c>
    </row>
    <row r="2386" spans="1:4">
      <c r="A2386" t="s">
        <v>3382</v>
      </c>
      <c r="B2386" s="1219"/>
      <c r="C2386">
        <v>935.00000000000011</v>
      </c>
      <c r="D2386" s="91">
        <v>44882</v>
      </c>
    </row>
    <row r="2387" spans="1:4">
      <c r="A2387" t="s">
        <v>3383</v>
      </c>
      <c r="B2387" s="1219"/>
      <c r="C2387">
        <v>1247.4000000000001</v>
      </c>
      <c r="D2387" s="91">
        <v>44882</v>
      </c>
    </row>
    <row r="2388" spans="1:4">
      <c r="A2388" t="s">
        <v>3384</v>
      </c>
      <c r="B2388" s="1219"/>
      <c r="C2388">
        <v>807.40000000000009</v>
      </c>
      <c r="D2388" s="91">
        <v>44882</v>
      </c>
    </row>
    <row r="2389" spans="1:4">
      <c r="A2389" t="s">
        <v>3385</v>
      </c>
      <c r="B2389" s="1219"/>
      <c r="C2389">
        <v>306.31700000000006</v>
      </c>
      <c r="D2389" s="91">
        <v>44882</v>
      </c>
    </row>
    <row r="2390" spans="1:4">
      <c r="A2390" t="s">
        <v>3386</v>
      </c>
      <c r="B2390" s="1219"/>
      <c r="C2390">
        <v>490.6</v>
      </c>
      <c r="D2390" s="91">
        <v>44882</v>
      </c>
    </row>
    <row r="2391" spans="1:4">
      <c r="A2391" t="s">
        <v>3387</v>
      </c>
      <c r="B2391" s="1219"/>
      <c r="C2391">
        <v>344.57500000000005</v>
      </c>
      <c r="D2391" s="91">
        <v>44882</v>
      </c>
    </row>
    <row r="2392" spans="1:4">
      <c r="A2392" t="s">
        <v>3388</v>
      </c>
      <c r="B2392" s="1219"/>
      <c r="C2392">
        <v>539.51700000000005</v>
      </c>
      <c r="D2392" s="91">
        <v>44882</v>
      </c>
    </row>
    <row r="2393" spans="1:4">
      <c r="A2393" t="s">
        <v>3389</v>
      </c>
      <c r="B2393" s="1219"/>
      <c r="C2393">
        <v>3322.0000000000005</v>
      </c>
      <c r="D2393" s="91">
        <v>44882</v>
      </c>
    </row>
    <row r="2394" spans="1:4">
      <c r="A2394" t="s">
        <v>3390</v>
      </c>
      <c r="B2394" s="1219"/>
      <c r="C2394">
        <v>2202.2000000000003</v>
      </c>
      <c r="D2394" s="91">
        <v>44882</v>
      </c>
    </row>
    <row r="2395" spans="1:4">
      <c r="A2395" t="s">
        <v>3391</v>
      </c>
      <c r="B2395" s="1219"/>
      <c r="C2395">
        <v>1252.9000000000001</v>
      </c>
      <c r="D2395" s="91">
        <v>44882</v>
      </c>
    </row>
    <row r="2396" spans="1:4">
      <c r="A2396" t="s">
        <v>3392</v>
      </c>
      <c r="B2396" s="1219"/>
      <c r="C2396">
        <v>591.65700000000004</v>
      </c>
      <c r="D2396" s="91">
        <v>44882</v>
      </c>
    </row>
    <row r="2397" spans="1:4">
      <c r="A2397" t="s">
        <v>3393</v>
      </c>
      <c r="B2397" s="1219"/>
      <c r="C2397">
        <v>2615.8000000000002</v>
      </c>
      <c r="D2397" s="91">
        <v>44882</v>
      </c>
    </row>
    <row r="2398" spans="1:4">
      <c r="A2398" t="s">
        <v>3394</v>
      </c>
      <c r="B2398" s="1219"/>
      <c r="C2398">
        <v>121.00000000000001</v>
      </c>
      <c r="D2398" s="91">
        <v>44882</v>
      </c>
    </row>
    <row r="2399" spans="1:4">
      <c r="A2399" t="s">
        <v>3395</v>
      </c>
      <c r="B2399" s="1219"/>
      <c r="C2399">
        <v>291.5</v>
      </c>
      <c r="D2399" s="91">
        <v>44882</v>
      </c>
    </row>
    <row r="2400" spans="1:4">
      <c r="A2400" t="s">
        <v>3396</v>
      </c>
      <c r="B2400" s="1219"/>
      <c r="C2400">
        <v>27.742000000000001</v>
      </c>
      <c r="D2400" s="91">
        <v>44882</v>
      </c>
    </row>
    <row r="2401" spans="1:4">
      <c r="A2401" t="s">
        <v>3397</v>
      </c>
      <c r="B2401" s="1219"/>
      <c r="C2401">
        <v>38.720000000000006</v>
      </c>
      <c r="D2401" s="91">
        <v>44882</v>
      </c>
    </row>
    <row r="2402" spans="1:4">
      <c r="A2402" t="s">
        <v>3398</v>
      </c>
      <c r="B2402" s="1219"/>
      <c r="C2402">
        <v>589.875</v>
      </c>
      <c r="D2402" s="91">
        <v>44882</v>
      </c>
    </row>
    <row r="2403" spans="1:4">
      <c r="A2403" t="s">
        <v>3399</v>
      </c>
      <c r="B2403" s="1219"/>
      <c r="C2403">
        <v>5.4780000000000006</v>
      </c>
      <c r="D2403" s="91">
        <v>44882</v>
      </c>
    </row>
    <row r="2404" spans="1:4">
      <c r="A2404" t="s">
        <v>3400</v>
      </c>
      <c r="B2404" s="1219"/>
      <c r="C2404">
        <v>5.1370000000000005</v>
      </c>
      <c r="D2404" s="91">
        <v>44882</v>
      </c>
    </row>
    <row r="2405" spans="1:4">
      <c r="A2405" t="s">
        <v>3401</v>
      </c>
      <c r="B2405" s="1219"/>
      <c r="C2405">
        <v>10.472</v>
      </c>
      <c r="D2405" s="91">
        <v>44882</v>
      </c>
    </row>
    <row r="2406" spans="1:4">
      <c r="A2406" t="s">
        <v>3402</v>
      </c>
      <c r="B2406" s="1219"/>
      <c r="C2406">
        <v>217.679</v>
      </c>
      <c r="D2406" s="91">
        <v>44882</v>
      </c>
    </row>
    <row r="2407" spans="1:4">
      <c r="A2407" t="s">
        <v>3403</v>
      </c>
      <c r="B2407" s="1219"/>
      <c r="C2407">
        <v>291.75300000000004</v>
      </c>
      <c r="D2407" s="91">
        <v>44882</v>
      </c>
    </row>
    <row r="2408" spans="1:4">
      <c r="A2408" t="s">
        <v>3404</v>
      </c>
      <c r="B2408" s="1219"/>
      <c r="C2408">
        <v>70.427500000000009</v>
      </c>
      <c r="D2408" s="91">
        <v>44882</v>
      </c>
    </row>
    <row r="2409" spans="1:4">
      <c r="A2409" t="s">
        <v>3405</v>
      </c>
      <c r="B2409" s="1219"/>
      <c r="C2409">
        <v>119.62665</v>
      </c>
      <c r="D2409" s="91">
        <v>44882</v>
      </c>
    </row>
    <row r="2410" spans="1:4">
      <c r="A2410" t="s">
        <v>3406</v>
      </c>
      <c r="B2410" s="1219"/>
      <c r="C2410">
        <v>18.010850000000001</v>
      </c>
      <c r="D2410" s="91">
        <v>44882</v>
      </c>
    </row>
    <row r="2411" spans="1:4">
      <c r="A2411" t="s">
        <v>3407</v>
      </c>
      <c r="B2411" s="1219"/>
      <c r="C2411">
        <v>92.64970000000001</v>
      </c>
      <c r="D2411" s="91">
        <v>44882</v>
      </c>
    </row>
    <row r="2412" spans="1:4">
      <c r="A2412" t="s">
        <v>3408</v>
      </c>
      <c r="B2412" s="1219"/>
      <c r="C2412">
        <v>172.95135000000002</v>
      </c>
      <c r="D2412" s="91">
        <v>44882</v>
      </c>
    </row>
    <row r="2413" spans="1:4">
      <c r="A2413" t="s">
        <v>3409</v>
      </c>
      <c r="B2413" s="1219"/>
      <c r="C2413">
        <v>225.19640000000001</v>
      </c>
      <c r="D2413" s="91">
        <v>44882</v>
      </c>
    </row>
    <row r="2414" spans="1:4">
      <c r="A2414" t="s">
        <v>3410</v>
      </c>
      <c r="B2414" s="1219"/>
      <c r="C2414">
        <v>93.021500000000003</v>
      </c>
      <c r="D2414" s="91">
        <v>44882</v>
      </c>
    </row>
    <row r="2415" spans="1:4">
      <c r="A2415" t="s">
        <v>3411</v>
      </c>
      <c r="B2415" s="1219"/>
      <c r="C2415">
        <v>117.0312</v>
      </c>
      <c r="D2415" s="91">
        <v>44882</v>
      </c>
    </row>
    <row r="2416" spans="1:4">
      <c r="A2416" t="s">
        <v>3412</v>
      </c>
      <c r="B2416" s="1219"/>
      <c r="C2416">
        <v>68.754400000000004</v>
      </c>
      <c r="D2416" s="91">
        <v>44882</v>
      </c>
    </row>
    <row r="2417" spans="1:4">
      <c r="A2417" t="s">
        <v>3413</v>
      </c>
      <c r="B2417" s="1219"/>
      <c r="C2417">
        <v>127.06265000000002</v>
      </c>
      <c r="D2417" s="91">
        <v>44882</v>
      </c>
    </row>
    <row r="2418" spans="1:4">
      <c r="A2418" t="s">
        <v>3414</v>
      </c>
      <c r="B2418" s="1219"/>
      <c r="C2418">
        <v>239.7681</v>
      </c>
      <c r="D2418" s="91">
        <v>44882</v>
      </c>
    </row>
    <row r="2419" spans="1:4">
      <c r="A2419" t="s">
        <v>3415</v>
      </c>
      <c r="B2419" s="1219"/>
      <c r="C2419">
        <v>5.4196999999999997</v>
      </c>
      <c r="D2419" s="91">
        <v>44882</v>
      </c>
    </row>
    <row r="2420" spans="1:4">
      <c r="A2420" t="s">
        <v>3416</v>
      </c>
      <c r="B2420" s="1219"/>
      <c r="C2420">
        <v>47.554650000000002</v>
      </c>
      <c r="D2420" s="91">
        <v>44882</v>
      </c>
    </row>
    <row r="2421" spans="1:4">
      <c r="A2421" t="s">
        <v>3417</v>
      </c>
      <c r="B2421" s="1219"/>
      <c r="C2421">
        <v>54.640300000000003</v>
      </c>
      <c r="D2421" s="91">
        <v>44882</v>
      </c>
    </row>
    <row r="2422" spans="1:4">
      <c r="A2422" t="s">
        <v>3418</v>
      </c>
      <c r="B2422" s="1219"/>
      <c r="C2422">
        <v>159.8597</v>
      </c>
      <c r="D2422" s="91">
        <v>44882</v>
      </c>
    </row>
    <row r="2423" spans="1:4">
      <c r="A2423" t="s">
        <v>3419</v>
      </c>
      <c r="B2423" s="1219"/>
      <c r="C2423">
        <v>190.4331</v>
      </c>
      <c r="D2423" s="91">
        <v>44882</v>
      </c>
    </row>
    <row r="2424" spans="1:4">
      <c r="A2424" t="s">
        <v>3420</v>
      </c>
      <c r="B2424" s="1219"/>
      <c r="C2424">
        <v>148.77720000000002</v>
      </c>
      <c r="D2424" s="91">
        <v>44882</v>
      </c>
    </row>
    <row r="2425" spans="1:4">
      <c r="A2425" t="s">
        <v>3421</v>
      </c>
      <c r="B2425" s="1219"/>
      <c r="C2425">
        <v>141.23394999999999</v>
      </c>
      <c r="D2425" s="91">
        <v>44882</v>
      </c>
    </row>
    <row r="2426" spans="1:4">
      <c r="A2426" t="s">
        <v>3422</v>
      </c>
      <c r="B2426" s="1219"/>
      <c r="C2426">
        <v>159.66665</v>
      </c>
      <c r="D2426" s="91">
        <v>44882</v>
      </c>
    </row>
    <row r="2427" spans="1:4">
      <c r="A2427" t="s">
        <v>3423</v>
      </c>
      <c r="B2427" s="1219"/>
      <c r="C2427">
        <v>159.04460000000003</v>
      </c>
      <c r="D2427" s="91">
        <v>44882</v>
      </c>
    </row>
    <row r="2428" spans="1:4">
      <c r="A2428" t="s">
        <v>3424</v>
      </c>
      <c r="B2428" s="1219"/>
      <c r="C2428">
        <v>135.828</v>
      </c>
      <c r="D2428" s="91">
        <v>44882</v>
      </c>
    </row>
    <row r="2429" spans="1:4">
      <c r="A2429" t="s">
        <v>3425</v>
      </c>
      <c r="B2429" s="1219"/>
      <c r="C2429">
        <v>18.647199999999998</v>
      </c>
      <c r="D2429" s="91">
        <v>44882</v>
      </c>
    </row>
    <row r="2430" spans="1:4">
      <c r="A2430" t="s">
        <v>3426</v>
      </c>
      <c r="B2430" s="1219"/>
      <c r="C2430">
        <v>29.36505</v>
      </c>
      <c r="D2430" s="91">
        <v>44882</v>
      </c>
    </row>
    <row r="2431" spans="1:4">
      <c r="A2431" t="s">
        <v>3427</v>
      </c>
      <c r="B2431" s="1219"/>
      <c r="C2431">
        <v>20.7636</v>
      </c>
      <c r="D2431" s="91">
        <v>44882</v>
      </c>
    </row>
    <row r="2432" spans="1:4">
      <c r="A2432" t="s">
        <v>3428</v>
      </c>
      <c r="B2432" s="1219"/>
      <c r="C2432">
        <v>27.699100000000005</v>
      </c>
      <c r="D2432" s="91">
        <v>44882</v>
      </c>
    </row>
    <row r="2433" spans="1:4">
      <c r="A2433" t="s">
        <v>3429</v>
      </c>
      <c r="B2433" s="1219"/>
      <c r="C2433">
        <v>81.23115</v>
      </c>
      <c r="D2433" s="91">
        <v>44882</v>
      </c>
    </row>
    <row r="2434" spans="1:4">
      <c r="A2434" t="s">
        <v>3430</v>
      </c>
      <c r="B2434" s="1219"/>
      <c r="C2434">
        <v>108.96600000000001</v>
      </c>
      <c r="D2434" s="91">
        <v>44882</v>
      </c>
    </row>
    <row r="2435" spans="1:4">
      <c r="A2435" t="s">
        <v>3431</v>
      </c>
      <c r="B2435" s="1219"/>
      <c r="C2435">
        <v>104.02535</v>
      </c>
      <c r="D2435" s="91">
        <v>44882</v>
      </c>
    </row>
    <row r="2436" spans="1:4">
      <c r="A2436" t="s">
        <v>3432</v>
      </c>
      <c r="B2436" s="1219"/>
      <c r="C2436">
        <v>128.80009999999999</v>
      </c>
      <c r="D2436" s="91">
        <v>44882</v>
      </c>
    </row>
    <row r="2437" spans="1:4">
      <c r="A2437" t="s">
        <v>3433</v>
      </c>
      <c r="B2437" s="1219"/>
      <c r="C2437">
        <v>46.954050000000002</v>
      </c>
      <c r="D2437" s="91">
        <v>44882</v>
      </c>
    </row>
    <row r="2438" spans="1:4">
      <c r="A2438" t="s">
        <v>3434</v>
      </c>
      <c r="B2438" s="1219"/>
      <c r="C2438">
        <v>51.4514</v>
      </c>
      <c r="D2438" s="91">
        <v>44882</v>
      </c>
    </row>
    <row r="2439" spans="1:4">
      <c r="A2439" t="s">
        <v>3435</v>
      </c>
      <c r="B2439" s="1219"/>
      <c r="C2439">
        <v>66.7667</v>
      </c>
      <c r="D2439" s="91">
        <v>44882</v>
      </c>
    </row>
    <row r="2440" spans="1:4">
      <c r="A2440" t="s">
        <v>3436</v>
      </c>
      <c r="B2440" s="1219"/>
      <c r="C2440">
        <v>70.11290000000001</v>
      </c>
      <c r="D2440" s="91">
        <v>44882</v>
      </c>
    </row>
    <row r="2441" spans="1:4">
      <c r="A2441" t="s">
        <v>3437</v>
      </c>
      <c r="B2441" s="1219"/>
      <c r="C2441">
        <v>49.070450000000001</v>
      </c>
      <c r="D2441" s="91">
        <v>44882</v>
      </c>
    </row>
    <row r="2442" spans="1:4">
      <c r="A2442" t="s">
        <v>3438</v>
      </c>
      <c r="B2442" s="1219"/>
      <c r="C2442">
        <v>54.676050000000004</v>
      </c>
      <c r="D2442" s="91">
        <v>44882</v>
      </c>
    </row>
    <row r="2443" spans="1:4">
      <c r="A2443" t="s">
        <v>3439</v>
      </c>
      <c r="B2443" s="1219"/>
      <c r="C2443">
        <v>71.085299999999989</v>
      </c>
      <c r="D2443" s="91">
        <v>44882</v>
      </c>
    </row>
    <row r="2444" spans="1:4">
      <c r="A2444" t="s">
        <v>3440</v>
      </c>
      <c r="B2444" s="1219"/>
      <c r="C2444">
        <v>80.995200000000011</v>
      </c>
      <c r="D2444" s="91">
        <v>44882</v>
      </c>
    </row>
    <row r="2445" spans="1:4">
      <c r="A2445" t="s">
        <v>3441</v>
      </c>
      <c r="B2445" s="1219"/>
      <c r="C2445">
        <v>80.308800000000005</v>
      </c>
      <c r="D2445" s="91">
        <v>44882</v>
      </c>
    </row>
    <row r="2446" spans="1:4">
      <c r="A2446" t="s">
        <v>3442</v>
      </c>
      <c r="B2446" s="1219"/>
      <c r="C2446">
        <v>74.631700000000009</v>
      </c>
      <c r="D2446" s="91">
        <v>44882</v>
      </c>
    </row>
    <row r="2447" spans="1:4">
      <c r="A2447" t="s">
        <v>3443</v>
      </c>
      <c r="B2447" s="1219"/>
      <c r="C2447">
        <v>132.96855000000002</v>
      </c>
      <c r="D2447" s="91">
        <v>44882</v>
      </c>
    </row>
    <row r="2448" spans="1:4">
      <c r="A2448" t="s">
        <v>3444</v>
      </c>
      <c r="B2448" s="1219"/>
      <c r="C2448">
        <v>113.33300000000001</v>
      </c>
      <c r="D2448" s="91">
        <v>44882</v>
      </c>
    </row>
    <row r="2449" spans="1:4">
      <c r="A2449" t="s">
        <v>3445</v>
      </c>
      <c r="B2449" s="1219"/>
      <c r="C2449">
        <v>353.00265000000002</v>
      </c>
      <c r="D2449" s="91">
        <v>44882</v>
      </c>
    </row>
    <row r="2450" spans="1:4">
      <c r="A2450" t="s">
        <v>3446</v>
      </c>
      <c r="B2450" s="1219"/>
      <c r="C2450">
        <v>237.51585</v>
      </c>
      <c r="D2450" s="91">
        <v>44882</v>
      </c>
    </row>
    <row r="2451" spans="1:4">
      <c r="A2451" t="s">
        <v>3447</v>
      </c>
      <c r="B2451" s="1219"/>
      <c r="C2451">
        <v>108.73004999999999</v>
      </c>
      <c r="D2451" s="91">
        <v>44882</v>
      </c>
    </row>
    <row r="2452" spans="1:4">
      <c r="A2452" t="s">
        <v>3448</v>
      </c>
      <c r="B2452" s="1219"/>
      <c r="C2452">
        <v>121.79310000000001</v>
      </c>
      <c r="D2452" s="91">
        <v>44882</v>
      </c>
    </row>
    <row r="2453" spans="1:4">
      <c r="A2453" t="s">
        <v>3449</v>
      </c>
      <c r="B2453" s="1219"/>
      <c r="C2453">
        <v>134.82040000000001</v>
      </c>
      <c r="D2453" s="91">
        <v>44882</v>
      </c>
    </row>
    <row r="2454" spans="1:4">
      <c r="A2454" t="s">
        <v>3450</v>
      </c>
      <c r="B2454" s="1219"/>
      <c r="C2454">
        <v>157.62890000000002</v>
      </c>
      <c r="D2454" s="91">
        <v>44882</v>
      </c>
    </row>
    <row r="2455" spans="1:4">
      <c r="A2455" t="s">
        <v>3451</v>
      </c>
      <c r="B2455" s="1219"/>
      <c r="C2455">
        <v>322.65089999999998</v>
      </c>
      <c r="D2455" s="91">
        <v>44882</v>
      </c>
    </row>
    <row r="2456" spans="1:4">
      <c r="A2456" t="s">
        <v>3452</v>
      </c>
      <c r="B2456" s="1219"/>
      <c r="C2456">
        <v>117.07982000000001</v>
      </c>
      <c r="D2456" s="91">
        <v>44882</v>
      </c>
    </row>
    <row r="2457" spans="1:4">
      <c r="A2457" t="s">
        <v>3453</v>
      </c>
      <c r="B2457" s="1219"/>
      <c r="C2457">
        <v>20.35605</v>
      </c>
      <c r="D2457" s="91">
        <v>44882</v>
      </c>
    </row>
    <row r="2458" spans="1:4">
      <c r="A2458" t="s">
        <v>3454</v>
      </c>
      <c r="B2458" s="1219"/>
      <c r="C2458">
        <v>30.530500000000004</v>
      </c>
      <c r="D2458" s="91">
        <v>44882</v>
      </c>
    </row>
    <row r="2459" spans="1:4">
      <c r="A2459" t="s">
        <v>3455</v>
      </c>
      <c r="B2459" s="1219"/>
      <c r="C2459">
        <v>43.582000000000001</v>
      </c>
      <c r="D2459" s="91">
        <v>44882</v>
      </c>
    </row>
    <row r="2460" spans="1:4">
      <c r="A2460" t="s">
        <v>3456</v>
      </c>
      <c r="B2460" s="1219"/>
      <c r="C2460">
        <v>56.67090000000001</v>
      </c>
      <c r="D2460" s="91">
        <v>44882</v>
      </c>
    </row>
    <row r="2461" spans="1:4">
      <c r="A2461" t="s">
        <v>3457</v>
      </c>
      <c r="B2461" s="1219"/>
      <c r="C2461">
        <v>42.456700000000005</v>
      </c>
      <c r="D2461" s="91">
        <v>44882</v>
      </c>
    </row>
    <row r="2462" spans="1:4">
      <c r="A2462" t="s">
        <v>3458</v>
      </c>
      <c r="B2462" s="1219"/>
      <c r="C2462">
        <v>91.820299999999989</v>
      </c>
      <c r="D2462" s="91">
        <v>44882</v>
      </c>
    </row>
    <row r="2463" spans="1:4">
      <c r="A2463" t="s">
        <v>3459</v>
      </c>
      <c r="B2463" s="1219"/>
      <c r="C2463">
        <v>73.666449999999998</v>
      </c>
      <c r="D2463" s="91">
        <v>44882</v>
      </c>
    </row>
    <row r="2464" spans="1:4">
      <c r="A2464" t="s">
        <v>3460</v>
      </c>
      <c r="B2464" s="1219"/>
      <c r="C2464">
        <v>172.65819999999999</v>
      </c>
      <c r="D2464" s="91">
        <v>44882</v>
      </c>
    </row>
    <row r="2465" spans="1:4">
      <c r="A2465" t="s">
        <v>3461</v>
      </c>
      <c r="B2465" s="1219"/>
      <c r="C2465">
        <v>201.60140000000001</v>
      </c>
      <c r="D2465" s="91">
        <v>44882</v>
      </c>
    </row>
    <row r="2466" spans="1:4">
      <c r="A2466" t="s">
        <v>3462</v>
      </c>
      <c r="B2466" s="1219"/>
      <c r="C2466">
        <v>149.52080000000001</v>
      </c>
      <c r="D2466" s="91">
        <v>44882</v>
      </c>
    </row>
    <row r="2467" spans="1:4">
      <c r="A2467" t="s">
        <v>3463</v>
      </c>
      <c r="B2467" s="1219"/>
      <c r="C2467">
        <v>299.02015</v>
      </c>
      <c r="D2467" s="91">
        <v>44882</v>
      </c>
    </row>
    <row r="2468" spans="1:4">
      <c r="A2468" t="s">
        <v>3464</v>
      </c>
      <c r="B2468" s="1219"/>
      <c r="C2468">
        <v>742.91360000000009</v>
      </c>
      <c r="D2468" s="91">
        <v>44882</v>
      </c>
    </row>
    <row r="2469" spans="1:4">
      <c r="A2469" t="s">
        <v>3465</v>
      </c>
      <c r="B2469" s="1219"/>
      <c r="C2469">
        <v>28.328300000000002</v>
      </c>
      <c r="D2469" s="91">
        <v>44882</v>
      </c>
    </row>
    <row r="2470" spans="1:4">
      <c r="A2470" t="s">
        <v>3466</v>
      </c>
      <c r="B2470" s="1219"/>
      <c r="C2470">
        <v>66.409199999999998</v>
      </c>
      <c r="D2470" s="91">
        <v>44882</v>
      </c>
    </row>
    <row r="2471" spans="1:4">
      <c r="A2471" t="s">
        <v>3467</v>
      </c>
      <c r="B2471" s="1219"/>
      <c r="C2471">
        <v>99.492250000000013</v>
      </c>
      <c r="D2471" s="91">
        <v>44882</v>
      </c>
    </row>
    <row r="2472" spans="1:4">
      <c r="A2472" t="s">
        <v>3468</v>
      </c>
      <c r="B2472" s="1219"/>
      <c r="C2472">
        <v>111.44705000000002</v>
      </c>
      <c r="D2472" s="91">
        <v>44882</v>
      </c>
    </row>
    <row r="2473" spans="1:4">
      <c r="A2473" t="s">
        <v>3469</v>
      </c>
      <c r="B2473" s="1219"/>
      <c r="C2473">
        <v>147.34004999999999</v>
      </c>
      <c r="D2473" s="91">
        <v>44882</v>
      </c>
    </row>
    <row r="2474" spans="1:4">
      <c r="A2474" t="s">
        <v>3470</v>
      </c>
      <c r="B2474" s="1219"/>
      <c r="C2474">
        <v>30.530500000000004</v>
      </c>
      <c r="D2474" s="91">
        <v>44882</v>
      </c>
    </row>
    <row r="2475" spans="1:4">
      <c r="A2475" t="s">
        <v>3471</v>
      </c>
      <c r="B2475" s="1219"/>
      <c r="C2475">
        <v>61.289800000000007</v>
      </c>
      <c r="D2475" s="91">
        <v>44882</v>
      </c>
    </row>
    <row r="2476" spans="1:4">
      <c r="A2476" t="s">
        <v>3472</v>
      </c>
      <c r="B2476" s="1219"/>
      <c r="C2476">
        <v>117.01690000000002</v>
      </c>
      <c r="D2476" s="91">
        <v>44882</v>
      </c>
    </row>
    <row r="2477" spans="1:4">
      <c r="A2477" t="s">
        <v>3473</v>
      </c>
      <c r="B2477" s="1219"/>
      <c r="C2477">
        <v>57.771999999999998</v>
      </c>
      <c r="D2477" s="91">
        <v>44882</v>
      </c>
    </row>
    <row r="2478" spans="1:4">
      <c r="A2478" t="s">
        <v>3474</v>
      </c>
      <c r="B2478" s="1219"/>
      <c r="C2478">
        <v>77.141350000000003</v>
      </c>
      <c r="D2478" s="91">
        <v>44882</v>
      </c>
    </row>
    <row r="2479" spans="1:4">
      <c r="A2479" t="s">
        <v>3475</v>
      </c>
      <c r="B2479" s="1219"/>
      <c r="C2479">
        <v>86.858200000000011</v>
      </c>
      <c r="D2479" s="91">
        <v>44882</v>
      </c>
    </row>
    <row r="2480" spans="1:4">
      <c r="A2480" t="s">
        <v>3476</v>
      </c>
      <c r="B2480" s="1219"/>
      <c r="C2480">
        <v>104.8476</v>
      </c>
      <c r="D2480" s="91">
        <v>44882</v>
      </c>
    </row>
    <row r="2481" spans="1:4">
      <c r="A2481" t="s">
        <v>3477</v>
      </c>
      <c r="B2481" s="1219"/>
      <c r="C2481">
        <v>125.36095000000003</v>
      </c>
      <c r="D2481" s="91">
        <v>44882</v>
      </c>
    </row>
    <row r="2482" spans="1:4">
      <c r="A2482" t="s">
        <v>3478</v>
      </c>
      <c r="B2482" s="1219"/>
      <c r="C2482">
        <v>174.09535000000002</v>
      </c>
      <c r="D2482" s="91">
        <v>44882</v>
      </c>
    </row>
    <row r="2483" spans="1:4">
      <c r="A2483" t="s">
        <v>3479</v>
      </c>
      <c r="B2483" s="1219"/>
      <c r="C2483">
        <v>228.7714</v>
      </c>
      <c r="D2483" s="91">
        <v>44882</v>
      </c>
    </row>
    <row r="2484" spans="1:4">
      <c r="A2484" t="s">
        <v>3480</v>
      </c>
      <c r="B2484" s="1219"/>
      <c r="C2484">
        <v>196.11019999999999</v>
      </c>
      <c r="D2484" s="91">
        <v>44882</v>
      </c>
    </row>
    <row r="2485" spans="1:4">
      <c r="A2485" t="s">
        <v>3481</v>
      </c>
      <c r="B2485" s="1219"/>
      <c r="C2485">
        <v>274.1739</v>
      </c>
      <c r="D2485" s="91">
        <v>44882</v>
      </c>
    </row>
    <row r="2486" spans="1:4">
      <c r="A2486" t="s">
        <v>3482</v>
      </c>
      <c r="B2486" s="1219"/>
      <c r="C2486">
        <v>291.38395000000003</v>
      </c>
      <c r="D2486" s="91">
        <v>44882</v>
      </c>
    </row>
    <row r="2487" spans="1:4">
      <c r="A2487" t="s">
        <v>3483</v>
      </c>
      <c r="B2487" s="1219"/>
      <c r="C2487">
        <v>7.9079000000000006</v>
      </c>
      <c r="D2487" s="91">
        <v>44882</v>
      </c>
    </row>
    <row r="2488" spans="1:4">
      <c r="A2488" t="s">
        <v>3484</v>
      </c>
      <c r="B2488" s="1219"/>
      <c r="C2488">
        <v>9.8455500000000011</v>
      </c>
      <c r="D2488" s="91">
        <v>44882</v>
      </c>
    </row>
    <row r="2489" spans="1:4">
      <c r="A2489" t="s">
        <v>3485</v>
      </c>
      <c r="B2489" s="1219"/>
      <c r="C2489">
        <v>14.207050000000002</v>
      </c>
      <c r="D2489" s="91">
        <v>44882</v>
      </c>
    </row>
    <row r="2490" spans="1:4">
      <c r="A2490" t="s">
        <v>3486</v>
      </c>
      <c r="B2490" s="1219"/>
      <c r="C2490">
        <v>31.724550000000001</v>
      </c>
      <c r="D2490" s="91">
        <v>44882</v>
      </c>
    </row>
    <row r="2491" spans="1:4">
      <c r="A2491" t="s">
        <v>3487</v>
      </c>
      <c r="B2491" s="1219"/>
      <c r="C2491">
        <v>71.203000000000017</v>
      </c>
      <c r="D2491" s="91">
        <v>44882</v>
      </c>
    </row>
    <row r="2492" spans="1:4">
      <c r="A2492" t="s">
        <v>3488</v>
      </c>
      <c r="B2492" s="1219"/>
      <c r="C2492">
        <v>76.966999999999999</v>
      </c>
      <c r="D2492" s="91">
        <v>44882</v>
      </c>
    </row>
    <row r="2493" spans="1:4">
      <c r="A2493" t="s">
        <v>3489</v>
      </c>
      <c r="B2493" s="1219"/>
      <c r="C2493">
        <v>9.323599999999999</v>
      </c>
      <c r="D2493" s="91">
        <v>44882</v>
      </c>
    </row>
    <row r="2494" spans="1:4">
      <c r="A2494" t="s">
        <v>3490</v>
      </c>
      <c r="B2494" s="1219"/>
      <c r="C2494">
        <v>6.7650000000000006</v>
      </c>
      <c r="D2494" s="91">
        <v>44882</v>
      </c>
    </row>
    <row r="2495" spans="1:4">
      <c r="A2495" t="s">
        <v>3491</v>
      </c>
      <c r="B2495" s="1219"/>
      <c r="C2495">
        <v>21.450000000000003</v>
      </c>
      <c r="D2495" s="91">
        <v>44882</v>
      </c>
    </row>
    <row r="2496" spans="1:4">
      <c r="A2496" t="s">
        <v>3492</v>
      </c>
      <c r="B2496" s="1219"/>
      <c r="C2496">
        <v>49.370749999999994</v>
      </c>
      <c r="D2496" s="91">
        <v>44882</v>
      </c>
    </row>
    <row r="2497" spans="1:4">
      <c r="A2497" t="s">
        <v>3493</v>
      </c>
      <c r="B2497" s="1219"/>
      <c r="C2497">
        <v>72.579650000000015</v>
      </c>
      <c r="D2497" s="91">
        <v>44882</v>
      </c>
    </row>
    <row r="2498" spans="1:4">
      <c r="A2498" t="s">
        <v>3494</v>
      </c>
      <c r="B2498" s="1219"/>
      <c r="C2498">
        <v>5.8987500000000006</v>
      </c>
      <c r="D2498" s="91">
        <v>44882</v>
      </c>
    </row>
    <row r="2499" spans="1:4">
      <c r="A2499" t="s">
        <v>3495</v>
      </c>
      <c r="B2499" s="1219"/>
      <c r="C2499">
        <v>109.08040000000001</v>
      </c>
      <c r="D2499" s="91">
        <v>44882</v>
      </c>
    </row>
    <row r="2500" spans="1:4">
      <c r="A2500" t="s">
        <v>3496</v>
      </c>
      <c r="B2500" s="1219"/>
      <c r="C2500">
        <v>205.876</v>
      </c>
      <c r="D2500" s="91">
        <v>44882</v>
      </c>
    </row>
    <row r="2501" spans="1:4">
      <c r="A2501" t="s">
        <v>3497</v>
      </c>
      <c r="B2501" s="1219"/>
      <c r="C2501">
        <v>236.72934999999998</v>
      </c>
      <c r="D2501" s="91">
        <v>44882</v>
      </c>
    </row>
    <row r="2502" spans="1:4">
      <c r="A2502" t="s">
        <v>3498</v>
      </c>
      <c r="B2502" s="1219"/>
      <c r="C2502">
        <v>9.4380000000000006</v>
      </c>
      <c r="D2502" s="91">
        <v>44882</v>
      </c>
    </row>
    <row r="2503" spans="1:4">
      <c r="A2503" t="s">
        <v>3499</v>
      </c>
      <c r="B2503" s="1219"/>
      <c r="C2503">
        <v>13.035</v>
      </c>
      <c r="D2503" s="91">
        <v>44882</v>
      </c>
    </row>
    <row r="2504" spans="1:4">
      <c r="A2504" t="s">
        <v>3500</v>
      </c>
      <c r="B2504" s="1219"/>
      <c r="C2504">
        <v>19.855000000000004</v>
      </c>
      <c r="D2504" s="91">
        <v>44882</v>
      </c>
    </row>
    <row r="2505" spans="1:4">
      <c r="A2505" t="s">
        <v>3501</v>
      </c>
      <c r="B2505" s="1219"/>
      <c r="C2505">
        <v>17.358000000000001</v>
      </c>
      <c r="D2505" s="91">
        <v>44882</v>
      </c>
    </row>
    <row r="2506" spans="1:4">
      <c r="A2506" t="s">
        <v>3502</v>
      </c>
      <c r="B2506" s="1219"/>
      <c r="C2506">
        <v>25.838999999999999</v>
      </c>
      <c r="D2506" s="91">
        <v>44882</v>
      </c>
    </row>
    <row r="2507" spans="1:4">
      <c r="A2507" t="s">
        <v>3503</v>
      </c>
      <c r="B2507" s="1219"/>
      <c r="C2507">
        <v>38.775000000000006</v>
      </c>
      <c r="D2507" s="91">
        <v>44882</v>
      </c>
    </row>
    <row r="2508" spans="1:4">
      <c r="A2508" t="s">
        <v>3504</v>
      </c>
      <c r="B2508" s="1219"/>
      <c r="C2508">
        <v>42.900000000000006</v>
      </c>
      <c r="D2508" s="91">
        <v>44882</v>
      </c>
    </row>
    <row r="2509" spans="1:4">
      <c r="A2509" t="s">
        <v>3505</v>
      </c>
      <c r="B2509" s="1219"/>
      <c r="C2509">
        <v>61.303000000000004</v>
      </c>
      <c r="D2509" s="91">
        <v>44882</v>
      </c>
    </row>
    <row r="2510" spans="1:4">
      <c r="A2510" t="s">
        <v>3506</v>
      </c>
      <c r="B2510" s="1219"/>
      <c r="C2510">
        <v>133.65</v>
      </c>
      <c r="D2510" s="91">
        <v>44882</v>
      </c>
    </row>
    <row r="2511" spans="1:4">
      <c r="A2511" t="s">
        <v>3507</v>
      </c>
      <c r="B2511" s="1219"/>
      <c r="C2511">
        <v>191.4</v>
      </c>
      <c r="D2511" s="91">
        <v>44882</v>
      </c>
    </row>
    <row r="2512" spans="1:4">
      <c r="A2512" t="s">
        <v>3508</v>
      </c>
      <c r="B2512" s="1219"/>
      <c r="C2512">
        <v>20.031000000000002</v>
      </c>
      <c r="D2512" s="91">
        <v>44882</v>
      </c>
    </row>
    <row r="2513" spans="1:4">
      <c r="A2513" t="s">
        <v>3509</v>
      </c>
      <c r="B2513" s="1219"/>
      <c r="C2513">
        <v>27.819000000000003</v>
      </c>
      <c r="D2513" s="91">
        <v>44882</v>
      </c>
    </row>
    <row r="2514" spans="1:4">
      <c r="A2514" t="s">
        <v>3510</v>
      </c>
      <c r="B2514" s="1219"/>
      <c r="C2514">
        <v>37.202000000000005</v>
      </c>
      <c r="D2514" s="91">
        <v>44882</v>
      </c>
    </row>
    <row r="2515" spans="1:4">
      <c r="A2515" t="s">
        <v>3511</v>
      </c>
      <c r="B2515" s="1219"/>
      <c r="C2515">
        <v>49.764000000000003</v>
      </c>
      <c r="D2515" s="91">
        <v>44882</v>
      </c>
    </row>
    <row r="2516" spans="1:4">
      <c r="A2516" t="s">
        <v>3512</v>
      </c>
      <c r="B2516" s="1219"/>
      <c r="C2516">
        <v>115.87400000000001</v>
      </c>
      <c r="D2516" s="91">
        <v>44882</v>
      </c>
    </row>
    <row r="2517" spans="1:4">
      <c r="A2517" t="s">
        <v>3513</v>
      </c>
      <c r="B2517" s="1219"/>
      <c r="C2517">
        <v>2.8600000000000003</v>
      </c>
      <c r="D2517" s="91">
        <v>44882</v>
      </c>
    </row>
    <row r="2518" spans="1:4">
      <c r="A2518" t="s">
        <v>3514</v>
      </c>
      <c r="B2518" s="1219"/>
      <c r="C2518">
        <v>2.5190000000000001</v>
      </c>
      <c r="D2518" s="91">
        <v>44882</v>
      </c>
    </row>
    <row r="2519" spans="1:4">
      <c r="A2519" t="s">
        <v>3515</v>
      </c>
      <c r="B2519" s="1219"/>
      <c r="C2519">
        <v>2.3540000000000005</v>
      </c>
      <c r="D2519" s="91">
        <v>44882</v>
      </c>
    </row>
    <row r="2520" spans="1:4">
      <c r="A2520" t="s">
        <v>3516</v>
      </c>
      <c r="B2520" s="1219"/>
      <c r="C2520">
        <v>16.434000000000001</v>
      </c>
      <c r="D2520" s="91">
        <v>44882</v>
      </c>
    </row>
    <row r="2521" spans="1:4">
      <c r="A2521" t="s">
        <v>3517</v>
      </c>
      <c r="B2521" s="1219"/>
      <c r="C2521">
        <v>4.7190000000000003</v>
      </c>
      <c r="D2521" s="91">
        <v>44882</v>
      </c>
    </row>
    <row r="2522" spans="1:4">
      <c r="A2522" t="s">
        <v>3518</v>
      </c>
      <c r="B2522" s="1219"/>
      <c r="C2522">
        <v>6.3580000000000005</v>
      </c>
      <c r="D2522" s="91">
        <v>44882</v>
      </c>
    </row>
    <row r="2523" spans="1:4">
      <c r="A2523" t="s">
        <v>3519</v>
      </c>
      <c r="B2523" s="1219"/>
      <c r="C2523">
        <v>4.7409999999999997</v>
      </c>
      <c r="D2523" s="91">
        <v>44882</v>
      </c>
    </row>
    <row r="2524" spans="1:4">
      <c r="A2524" t="s">
        <v>975</v>
      </c>
      <c r="B2524" s="1219"/>
      <c r="C2524">
        <v>2.387</v>
      </c>
      <c r="D2524" s="91">
        <v>44882</v>
      </c>
    </row>
    <row r="2525" spans="1:4">
      <c r="A2525" t="s">
        <v>976</v>
      </c>
      <c r="B2525" s="1219"/>
      <c r="C2525">
        <v>3.1570000000000005</v>
      </c>
      <c r="D2525" s="91">
        <v>44882</v>
      </c>
    </row>
    <row r="2526" spans="1:4">
      <c r="A2526" t="s">
        <v>977</v>
      </c>
      <c r="B2526" s="1219"/>
      <c r="C2526">
        <v>4.8070000000000004</v>
      </c>
      <c r="D2526" s="91">
        <v>44882</v>
      </c>
    </row>
    <row r="2527" spans="1:4">
      <c r="A2527" t="s">
        <v>979</v>
      </c>
      <c r="B2527" s="1219"/>
      <c r="C2527">
        <v>11.803000000000001</v>
      </c>
      <c r="D2527" s="91">
        <v>44882</v>
      </c>
    </row>
    <row r="2528" spans="1:4">
      <c r="A2528" t="s">
        <v>980</v>
      </c>
      <c r="B2528" s="1219"/>
      <c r="C2528">
        <v>16.39</v>
      </c>
      <c r="D2528" s="91">
        <v>44882</v>
      </c>
    </row>
    <row r="2529" spans="1:4">
      <c r="A2529" t="s">
        <v>981</v>
      </c>
      <c r="B2529" s="1219"/>
      <c r="C2529">
        <v>32.567700000000002</v>
      </c>
      <c r="D2529" s="91">
        <v>44882</v>
      </c>
    </row>
    <row r="2530" spans="1:4">
      <c r="A2530" t="s">
        <v>982</v>
      </c>
      <c r="B2530" s="1219"/>
      <c r="C2530">
        <v>59.213000000000001</v>
      </c>
      <c r="D2530" s="91">
        <v>44882</v>
      </c>
    </row>
    <row r="2531" spans="1:4">
      <c r="A2531" t="s">
        <v>983</v>
      </c>
      <c r="B2531" s="1219"/>
      <c r="C2531">
        <v>75.658000000000001</v>
      </c>
      <c r="D2531" s="91">
        <v>44882</v>
      </c>
    </row>
    <row r="2532" spans="1:4">
      <c r="A2532" t="s">
        <v>3520</v>
      </c>
      <c r="B2532" s="1219"/>
      <c r="C2532">
        <v>3.5090000000000003</v>
      </c>
      <c r="D2532" s="91">
        <v>44882</v>
      </c>
    </row>
    <row r="2533" spans="1:4">
      <c r="A2533" t="s">
        <v>3521</v>
      </c>
      <c r="B2533" s="1219"/>
      <c r="C2533">
        <v>5.3020000000000005</v>
      </c>
      <c r="D2533" s="91">
        <v>44882</v>
      </c>
    </row>
    <row r="2534" spans="1:4">
      <c r="A2534" t="s">
        <v>3522</v>
      </c>
      <c r="B2534" s="1219"/>
      <c r="C2534">
        <v>2.6730000000000005</v>
      </c>
      <c r="D2534" s="91">
        <v>44882</v>
      </c>
    </row>
    <row r="2535" spans="1:4">
      <c r="A2535" t="s">
        <v>3523</v>
      </c>
      <c r="B2535" s="1219"/>
      <c r="C2535">
        <v>9.3170000000000019</v>
      </c>
      <c r="D2535" s="91">
        <v>44882</v>
      </c>
    </row>
    <row r="2536" spans="1:4">
      <c r="A2536" t="s">
        <v>985</v>
      </c>
      <c r="B2536" s="1219"/>
      <c r="C2536">
        <v>2.6730000000000005</v>
      </c>
      <c r="D2536" s="91">
        <v>44882</v>
      </c>
    </row>
    <row r="2537" spans="1:4">
      <c r="A2537" t="s">
        <v>987</v>
      </c>
      <c r="B2537" s="1219"/>
      <c r="C2537">
        <v>4.7960000000000012</v>
      </c>
      <c r="D2537" s="91">
        <v>44882</v>
      </c>
    </row>
    <row r="2538" spans="1:4">
      <c r="A2538" t="s">
        <v>988</v>
      </c>
      <c r="B2538" s="1219"/>
      <c r="C2538">
        <v>7.3040000000000003</v>
      </c>
      <c r="D2538" s="91">
        <v>44882</v>
      </c>
    </row>
    <row r="2539" spans="1:4">
      <c r="A2539" t="s">
        <v>989</v>
      </c>
      <c r="B2539" s="1219"/>
      <c r="C2539">
        <v>12.584</v>
      </c>
      <c r="D2539" s="91">
        <v>44882</v>
      </c>
    </row>
    <row r="2540" spans="1:4">
      <c r="A2540" t="s">
        <v>990</v>
      </c>
      <c r="B2540" s="1219"/>
      <c r="C2540">
        <v>17.787000000000003</v>
      </c>
      <c r="D2540" s="91">
        <v>44882</v>
      </c>
    </row>
    <row r="2541" spans="1:4">
      <c r="A2541" t="s">
        <v>991</v>
      </c>
      <c r="B2541" s="1219"/>
      <c r="C2541">
        <v>26.906000000000002</v>
      </c>
      <c r="D2541" s="91">
        <v>44882</v>
      </c>
    </row>
    <row r="2542" spans="1:4">
      <c r="A2542" t="s">
        <v>3524</v>
      </c>
      <c r="B2542" s="1219"/>
      <c r="C2542">
        <v>2.6730000000000005</v>
      </c>
      <c r="D2542" s="91">
        <v>44882</v>
      </c>
    </row>
    <row r="2543" spans="1:4">
      <c r="A2543" t="s">
        <v>3525</v>
      </c>
      <c r="B2543" s="1219"/>
      <c r="C2543">
        <v>3.5420000000000007</v>
      </c>
      <c r="D2543" s="91">
        <v>44882</v>
      </c>
    </row>
    <row r="2544" spans="1:4">
      <c r="A2544" t="s">
        <v>3526</v>
      </c>
      <c r="B2544" s="1219"/>
      <c r="C2544">
        <v>13.046000000000001</v>
      </c>
      <c r="D2544" s="91">
        <v>44882</v>
      </c>
    </row>
    <row r="2545" spans="1:4">
      <c r="A2545" t="s">
        <v>3527</v>
      </c>
      <c r="B2545" s="1219"/>
      <c r="C2545">
        <v>20.317</v>
      </c>
      <c r="D2545" s="91">
        <v>44882</v>
      </c>
    </row>
    <row r="2546" spans="1:4">
      <c r="A2546" t="s">
        <v>3528</v>
      </c>
      <c r="B2546" s="1219"/>
      <c r="C2546">
        <v>26.587000000000003</v>
      </c>
      <c r="D2546" s="91">
        <v>44882</v>
      </c>
    </row>
    <row r="2547" spans="1:4">
      <c r="A2547" t="s">
        <v>3529</v>
      </c>
      <c r="B2547" s="1219"/>
      <c r="C2547">
        <v>36.168000000000006</v>
      </c>
      <c r="D2547" s="91">
        <v>44882</v>
      </c>
    </row>
    <row r="2548" spans="1:4">
      <c r="A2548" t="s">
        <v>3530</v>
      </c>
      <c r="B2548" s="1219"/>
      <c r="C2548">
        <v>31.867000000000001</v>
      </c>
      <c r="D2548" s="91">
        <v>44882</v>
      </c>
    </row>
    <row r="2549" spans="1:4">
      <c r="A2549" t="s">
        <v>3531</v>
      </c>
      <c r="B2549" s="1219"/>
      <c r="C2549">
        <v>57.750000000000007</v>
      </c>
      <c r="D2549" s="91">
        <v>44882</v>
      </c>
    </row>
    <row r="2550" spans="1:4">
      <c r="A2550" t="s">
        <v>3532</v>
      </c>
      <c r="B2550" s="1219"/>
      <c r="C2550">
        <v>77.77000000000001</v>
      </c>
      <c r="D2550" s="91">
        <v>44882</v>
      </c>
    </row>
    <row r="2551" spans="1:4">
      <c r="A2551" t="s">
        <v>3533</v>
      </c>
      <c r="B2551" s="1219"/>
      <c r="C2551">
        <v>89.320000000000007</v>
      </c>
      <c r="D2551" s="91">
        <v>44882</v>
      </c>
    </row>
    <row r="2552" spans="1:4">
      <c r="A2552" t="s">
        <v>3534</v>
      </c>
      <c r="B2552" s="1219"/>
      <c r="C2552">
        <v>110.88000000000001</v>
      </c>
      <c r="D2552" s="91">
        <v>44882</v>
      </c>
    </row>
    <row r="2553" spans="1:4">
      <c r="A2553" t="s">
        <v>3535</v>
      </c>
      <c r="B2553" s="1219"/>
      <c r="C2553">
        <v>110.88000000000001</v>
      </c>
      <c r="D2553" s="91">
        <v>44882</v>
      </c>
    </row>
    <row r="2554" spans="1:4">
      <c r="A2554" t="s">
        <v>3536</v>
      </c>
      <c r="B2554" s="1219"/>
      <c r="C2554">
        <v>140.14000000000001</v>
      </c>
      <c r="D2554" s="91">
        <v>44882</v>
      </c>
    </row>
    <row r="2555" spans="1:4">
      <c r="A2555" t="s">
        <v>3537</v>
      </c>
      <c r="B2555" s="1219"/>
      <c r="C2555">
        <v>54.230000000000004</v>
      </c>
      <c r="D2555" s="91">
        <v>44882</v>
      </c>
    </row>
    <row r="2556" spans="1:4">
      <c r="A2556" t="s">
        <v>3538</v>
      </c>
      <c r="B2556" s="1219"/>
      <c r="C2556">
        <v>461.45880000000005</v>
      </c>
      <c r="D2556" s="91">
        <v>44882</v>
      </c>
    </row>
    <row r="2557" spans="1:4">
      <c r="A2557" t="s">
        <v>3539</v>
      </c>
      <c r="B2557" s="1219"/>
      <c r="C2557">
        <v>590.91120000000001</v>
      </c>
      <c r="D2557" s="91">
        <v>44882</v>
      </c>
    </row>
    <row r="2558" spans="1:4">
      <c r="A2558" t="s">
        <v>3540</v>
      </c>
      <c r="B2558" s="1219"/>
      <c r="C2558">
        <v>708.44400000000007</v>
      </c>
      <c r="D2558" s="91">
        <v>44882</v>
      </c>
    </row>
    <row r="2559" spans="1:4">
      <c r="A2559" t="s">
        <v>1015</v>
      </c>
      <c r="B2559" s="1219"/>
      <c r="C2559">
        <v>73.315000000000012</v>
      </c>
      <c r="D2559" s="91">
        <v>44882</v>
      </c>
    </row>
    <row r="2560" spans="1:4">
      <c r="A2560" t="s">
        <v>1017</v>
      </c>
      <c r="B2560" s="1219"/>
      <c r="C2560">
        <v>82.390000000000015</v>
      </c>
      <c r="D2560" s="91">
        <v>44882</v>
      </c>
    </row>
    <row r="2561" spans="1:4">
      <c r="A2561" t="s">
        <v>1018</v>
      </c>
      <c r="B2561" s="1219"/>
      <c r="C2561">
        <v>105.54500000000002</v>
      </c>
      <c r="D2561" s="91">
        <v>44882</v>
      </c>
    </row>
    <row r="2562" spans="1:4">
      <c r="A2562" t="s">
        <v>3541</v>
      </c>
      <c r="B2562" s="1219"/>
      <c r="C2562">
        <v>80.300000000000011</v>
      </c>
      <c r="D2562" s="91">
        <v>44882</v>
      </c>
    </row>
    <row r="2563" spans="1:4">
      <c r="A2563" t="s">
        <v>3542</v>
      </c>
      <c r="B2563" s="1219"/>
      <c r="C2563">
        <v>153.703</v>
      </c>
      <c r="D2563" s="91">
        <v>44882</v>
      </c>
    </row>
    <row r="2564" spans="1:4">
      <c r="A2564" t="s">
        <v>3543</v>
      </c>
      <c r="B2564" s="1219"/>
      <c r="C2564">
        <v>288.91500000000002</v>
      </c>
      <c r="D2564" s="91">
        <v>44882</v>
      </c>
    </row>
    <row r="2565" spans="1:4">
      <c r="A2565" t="s">
        <v>3544</v>
      </c>
      <c r="B2565" s="1219"/>
      <c r="C2565">
        <v>433.84000000000003</v>
      </c>
      <c r="D2565" s="91">
        <v>44882</v>
      </c>
    </row>
    <row r="2566" spans="1:4">
      <c r="A2566" t="s">
        <v>3545</v>
      </c>
      <c r="B2566" s="1219"/>
      <c r="C2566">
        <v>51.282000000000011</v>
      </c>
      <c r="D2566" s="91">
        <v>44882</v>
      </c>
    </row>
    <row r="2567" spans="1:4">
      <c r="A2567" t="s">
        <v>3546</v>
      </c>
      <c r="B2567" s="1219"/>
      <c r="C2567">
        <v>50.358000000000004</v>
      </c>
      <c r="D2567" s="91">
        <v>44882</v>
      </c>
    </row>
    <row r="2568" spans="1:4">
      <c r="A2568" t="s">
        <v>3547</v>
      </c>
      <c r="B2568" s="1219"/>
      <c r="C2568">
        <v>42.042000000000002</v>
      </c>
      <c r="D2568" s="91">
        <v>44882</v>
      </c>
    </row>
    <row r="2569" spans="1:4">
      <c r="A2569" t="s">
        <v>3548</v>
      </c>
      <c r="B2569" s="1219"/>
      <c r="C2569">
        <v>51.722000000000008</v>
      </c>
      <c r="D2569" s="91">
        <v>44882</v>
      </c>
    </row>
    <row r="2570" spans="1:4">
      <c r="A2570" t="s">
        <v>3549</v>
      </c>
      <c r="B2570" s="1219"/>
      <c r="C2570">
        <v>57.222000000000008</v>
      </c>
      <c r="D2570" s="91">
        <v>44882</v>
      </c>
    </row>
    <row r="2571" spans="1:4">
      <c r="A2571" t="s">
        <v>3550</v>
      </c>
      <c r="B2571" s="1219"/>
      <c r="C2571">
        <v>70.290000000000006</v>
      </c>
      <c r="D2571" s="91">
        <v>44882</v>
      </c>
    </row>
    <row r="2572" spans="1:4">
      <c r="A2572" t="s">
        <v>3551</v>
      </c>
      <c r="B2572" s="1219"/>
      <c r="C2572">
        <v>155.87</v>
      </c>
      <c r="D2572" s="91">
        <v>44882</v>
      </c>
    </row>
    <row r="2573" spans="1:4">
      <c r="A2573" t="s">
        <v>3552</v>
      </c>
      <c r="B2573" s="1219"/>
      <c r="C2573">
        <v>79.584999999999994</v>
      </c>
      <c r="D2573" s="91">
        <v>44882</v>
      </c>
    </row>
    <row r="2574" spans="1:4">
      <c r="A2574" t="s">
        <v>3553</v>
      </c>
      <c r="B2574" s="1219"/>
      <c r="C2574">
        <v>79.584999999999994</v>
      </c>
      <c r="D2574" s="91">
        <v>44882</v>
      </c>
    </row>
    <row r="2575" spans="1:4">
      <c r="A2575" t="s">
        <v>3554</v>
      </c>
      <c r="B2575" s="1219"/>
      <c r="C2575">
        <v>100.99100000000001</v>
      </c>
      <c r="D2575" s="91">
        <v>44882</v>
      </c>
    </row>
    <row r="2576" spans="1:4">
      <c r="A2576" t="s">
        <v>3555</v>
      </c>
      <c r="B2576" s="1219"/>
      <c r="C2576">
        <v>25.993000000000002</v>
      </c>
      <c r="D2576" s="91">
        <v>44882</v>
      </c>
    </row>
    <row r="2577" spans="1:4">
      <c r="A2577" t="s">
        <v>3556</v>
      </c>
      <c r="B2577" s="1219"/>
      <c r="C2577">
        <v>151.80000000000001</v>
      </c>
      <c r="D2577" s="91">
        <v>44882</v>
      </c>
    </row>
    <row r="2578" spans="1:4">
      <c r="A2578" t="s">
        <v>3557</v>
      </c>
      <c r="B2578" s="1219"/>
      <c r="C2578">
        <v>45.342000000000006</v>
      </c>
      <c r="D2578" s="91">
        <v>44882</v>
      </c>
    </row>
    <row r="2579" spans="1:4">
      <c r="A2579" t="s">
        <v>3558</v>
      </c>
      <c r="B2579" s="1219"/>
      <c r="C2579">
        <v>49.808000000000007</v>
      </c>
      <c r="D2579" s="91">
        <v>44882</v>
      </c>
    </row>
    <row r="2580" spans="1:4">
      <c r="A2580" t="s">
        <v>3559</v>
      </c>
      <c r="B2580" s="1219"/>
      <c r="C2580">
        <v>659.17500000000007</v>
      </c>
      <c r="D2580" s="91">
        <v>44882</v>
      </c>
    </row>
    <row r="2581" spans="1:4">
      <c r="A2581" t="s">
        <v>3560</v>
      </c>
      <c r="B2581" s="1219" t="s">
        <v>3561</v>
      </c>
      <c r="C2581">
        <v>453.64</v>
      </c>
      <c r="D2581" s="91">
        <v>44911</v>
      </c>
    </row>
    <row r="2582" spans="1:4">
      <c r="A2582" t="s">
        <v>3562</v>
      </c>
      <c r="B2582" s="1219" t="s">
        <v>3563</v>
      </c>
      <c r="C2582">
        <v>757.35</v>
      </c>
      <c r="D2582" s="91">
        <v>44911</v>
      </c>
    </row>
    <row r="2583" spans="1:4">
      <c r="A2583" t="s">
        <v>3564</v>
      </c>
      <c r="B2583" s="1219" t="s">
        <v>3565</v>
      </c>
      <c r="C2583">
        <v>802.12000000000012</v>
      </c>
      <c r="D2583" s="91">
        <v>44911</v>
      </c>
    </row>
    <row r="2584" spans="1:4">
      <c r="A2584" t="s">
        <v>3566</v>
      </c>
      <c r="B2584" s="1219"/>
      <c r="C2584">
        <v>0.42900000000000005</v>
      </c>
      <c r="D2584" s="91">
        <v>44939</v>
      </c>
    </row>
    <row r="2585" spans="1:4">
      <c r="A2585" t="s">
        <v>3567</v>
      </c>
      <c r="B2585" s="1219"/>
      <c r="C2585">
        <v>79.409000000000006</v>
      </c>
      <c r="D2585" s="91">
        <v>44942</v>
      </c>
    </row>
    <row r="2586" spans="1:4">
      <c r="A2586" t="s">
        <v>3568</v>
      </c>
      <c r="B2586" s="1219"/>
      <c r="C2586">
        <v>6.38</v>
      </c>
      <c r="D2586" s="91">
        <v>44942</v>
      </c>
    </row>
    <row r="2587" spans="1:4">
      <c r="A2587" t="s">
        <v>3569</v>
      </c>
      <c r="B2587" s="1219"/>
      <c r="C2587">
        <v>2.3760000000000003</v>
      </c>
      <c r="D2587" s="91">
        <v>44942</v>
      </c>
    </row>
    <row r="2588" spans="1:4">
      <c r="A2588" t="s">
        <v>3570</v>
      </c>
      <c r="B2588" s="1219"/>
      <c r="C2588">
        <v>85.426000000000002</v>
      </c>
      <c r="D2588" s="91">
        <v>44942</v>
      </c>
    </row>
    <row r="2589" spans="1:4">
      <c r="A2589" t="s">
        <v>3571</v>
      </c>
      <c r="B2589" s="1219"/>
      <c r="C2589">
        <v>0.79200000000000004</v>
      </c>
      <c r="D2589" s="91">
        <v>44942</v>
      </c>
    </row>
    <row r="2590" spans="1:4">
      <c r="A2590" t="s">
        <v>3572</v>
      </c>
      <c r="B2590" s="1219"/>
      <c r="C2590">
        <v>0.60500000000000009</v>
      </c>
      <c r="D2590" s="91">
        <v>44942</v>
      </c>
    </row>
    <row r="2591" spans="1:4">
      <c r="A2591" t="s">
        <v>3573</v>
      </c>
      <c r="B2591" s="1219"/>
      <c r="C2591">
        <v>21.659000000000002</v>
      </c>
      <c r="D2591" s="91">
        <v>44942</v>
      </c>
    </row>
    <row r="2592" spans="1:4">
      <c r="A2592" t="s">
        <v>3574</v>
      </c>
      <c r="B2592" s="1219"/>
      <c r="C2592">
        <v>247.929</v>
      </c>
      <c r="D2592" s="91">
        <v>44942</v>
      </c>
    </row>
    <row r="2593" spans="1:4">
      <c r="A2593" t="s">
        <v>3575</v>
      </c>
      <c r="B2593" s="1219"/>
      <c r="C2593">
        <v>9.8800000000000008</v>
      </c>
      <c r="D2593" s="91">
        <v>44946</v>
      </c>
    </row>
    <row r="2594" spans="1:4">
      <c r="A2594" t="s">
        <v>1048</v>
      </c>
      <c r="B2594" s="1219"/>
      <c r="C2594">
        <v>7.12</v>
      </c>
      <c r="D2594" s="91">
        <v>44946</v>
      </c>
    </row>
    <row r="2595" spans="1:4">
      <c r="A2595" t="s">
        <v>1020</v>
      </c>
      <c r="B2595" s="1219"/>
      <c r="C2595">
        <v>44.18</v>
      </c>
      <c r="D2595" s="91">
        <v>44946</v>
      </c>
    </row>
    <row r="2596" spans="1:4">
      <c r="A2596" t="s">
        <v>930</v>
      </c>
      <c r="B2596" s="1219"/>
      <c r="C2596">
        <v>14.69</v>
      </c>
      <c r="D2596" s="91">
        <v>44946</v>
      </c>
    </row>
    <row r="2597" spans="1:4">
      <c r="A2597" t="s">
        <v>909</v>
      </c>
      <c r="B2597" s="1219"/>
      <c r="C2597">
        <v>21.06</v>
      </c>
      <c r="D2597" s="91">
        <v>44946</v>
      </c>
    </row>
    <row r="2598" spans="1:4">
      <c r="A2598" t="s">
        <v>919</v>
      </c>
      <c r="B2598" s="1219"/>
      <c r="C2598">
        <v>21.18</v>
      </c>
      <c r="D2598" s="91">
        <v>44946</v>
      </c>
    </row>
    <row r="2599" spans="1:4">
      <c r="A2599" t="s">
        <v>3576</v>
      </c>
      <c r="B2599" s="1219"/>
      <c r="C2599">
        <v>14.12</v>
      </c>
      <c r="D2599" s="91">
        <v>44946</v>
      </c>
    </row>
    <row r="2600" spans="1:4">
      <c r="A2600" t="s">
        <v>3577</v>
      </c>
      <c r="B2600" s="1219"/>
      <c r="C2600">
        <v>21.41</v>
      </c>
      <c r="D2600" s="91">
        <v>44946</v>
      </c>
    </row>
    <row r="2601" spans="1:4">
      <c r="A2601" t="s">
        <v>1003</v>
      </c>
      <c r="B2601" s="1219"/>
      <c r="C2601">
        <v>22.04</v>
      </c>
      <c r="D2601" s="91">
        <v>44946</v>
      </c>
    </row>
    <row r="2602" spans="1:4">
      <c r="A2602" t="s">
        <v>940</v>
      </c>
      <c r="B2602" s="1219"/>
      <c r="C2602">
        <v>27.38</v>
      </c>
      <c r="D2602" s="91">
        <v>44946</v>
      </c>
    </row>
    <row r="2603" spans="1:4">
      <c r="A2603" t="s">
        <v>676</v>
      </c>
      <c r="B2603" s="1219"/>
      <c r="C2603">
        <v>16.510000000000002</v>
      </c>
      <c r="D2603" s="91">
        <v>44946</v>
      </c>
    </row>
    <row r="2604" spans="1:4">
      <c r="A2604" t="s">
        <v>960</v>
      </c>
      <c r="B2604" s="1219"/>
      <c r="C2604">
        <v>12.66</v>
      </c>
      <c r="D2604" s="91">
        <v>44946</v>
      </c>
    </row>
    <row r="2605" spans="1:4">
      <c r="A2605" t="s">
        <v>961</v>
      </c>
      <c r="B2605" s="1219"/>
      <c r="C2605">
        <v>82.27</v>
      </c>
      <c r="D2605" s="91">
        <v>44946</v>
      </c>
    </row>
    <row r="2606" spans="1:4">
      <c r="A2606" t="s">
        <v>3578</v>
      </c>
      <c r="B2606" s="1219"/>
      <c r="C2606">
        <v>3.5</v>
      </c>
      <c r="D2606" s="91">
        <v>44946</v>
      </c>
    </row>
    <row r="2607" spans="1:4">
      <c r="A2607" t="s">
        <v>3579</v>
      </c>
      <c r="B2607" s="1219"/>
      <c r="C2607">
        <v>0.81</v>
      </c>
      <c r="D2607" s="91">
        <v>44946</v>
      </c>
    </row>
    <row r="2608" spans="1:4">
      <c r="A2608" t="s">
        <v>3580</v>
      </c>
      <c r="B2608" s="1219"/>
      <c r="C2608">
        <v>10.36</v>
      </c>
      <c r="D2608" s="91">
        <v>44946</v>
      </c>
    </row>
    <row r="2609" spans="1:4">
      <c r="A2609" t="s">
        <v>3581</v>
      </c>
      <c r="B2609" s="1219"/>
      <c r="C2609">
        <v>10.88</v>
      </c>
      <c r="D2609" s="91">
        <v>44946</v>
      </c>
    </row>
    <row r="2610" spans="1:4">
      <c r="A2610" t="s">
        <v>3582</v>
      </c>
      <c r="B2610" s="1219"/>
      <c r="C2610">
        <v>12.52</v>
      </c>
      <c r="D2610" s="91">
        <v>44946</v>
      </c>
    </row>
    <row r="2611" spans="1:4">
      <c r="A2611" t="s">
        <v>3583</v>
      </c>
      <c r="B2611" s="1219"/>
      <c r="C2611">
        <v>19.47</v>
      </c>
      <c r="D2611" s="91">
        <v>44946</v>
      </c>
    </row>
    <row r="2612" spans="1:4">
      <c r="A2612" t="s">
        <v>3584</v>
      </c>
      <c r="B2612" s="1219"/>
      <c r="C2612">
        <v>9.3000000000000007</v>
      </c>
      <c r="D2612" s="91">
        <v>44946</v>
      </c>
    </row>
    <row r="2613" spans="1:4">
      <c r="A2613" t="s">
        <v>3585</v>
      </c>
      <c r="B2613" s="1219"/>
      <c r="C2613">
        <v>5.94</v>
      </c>
      <c r="D2613" s="91">
        <v>44946</v>
      </c>
    </row>
    <row r="2614" spans="1:4">
      <c r="A2614" t="s">
        <v>3586</v>
      </c>
      <c r="B2614" s="1219"/>
      <c r="C2614">
        <v>12.63</v>
      </c>
      <c r="D2614" s="91">
        <v>44946</v>
      </c>
    </row>
    <row r="2615" spans="1:4">
      <c r="A2615" t="s">
        <v>3587</v>
      </c>
      <c r="B2615" s="1219"/>
      <c r="C2615">
        <v>9.44</v>
      </c>
      <c r="D2615" s="91">
        <v>44946</v>
      </c>
    </row>
    <row r="2616" spans="1:4">
      <c r="A2616" t="s">
        <v>3588</v>
      </c>
      <c r="B2616" s="1219"/>
      <c r="C2616">
        <v>8.4600000000000009</v>
      </c>
      <c r="D2616" s="91">
        <v>44946</v>
      </c>
    </row>
    <row r="2617" spans="1:4">
      <c r="A2617" t="s">
        <v>3589</v>
      </c>
      <c r="B2617" s="1219"/>
      <c r="C2617">
        <v>1.77</v>
      </c>
      <c r="D2617" s="91">
        <v>44946</v>
      </c>
    </row>
    <row r="2618" spans="1:4">
      <c r="A2618" t="s">
        <v>3590</v>
      </c>
      <c r="B2618" s="1219"/>
      <c r="C2618">
        <v>38.97</v>
      </c>
      <c r="D2618" s="91">
        <v>44946</v>
      </c>
    </row>
    <row r="2619" spans="1:4">
      <c r="A2619" t="s">
        <v>3591</v>
      </c>
      <c r="B2619" s="1219"/>
      <c r="C2619">
        <v>1.46</v>
      </c>
      <c r="D2619" s="91">
        <v>44946</v>
      </c>
    </row>
    <row r="2620" spans="1:4">
      <c r="A2620" t="s">
        <v>3592</v>
      </c>
      <c r="B2620" s="1219"/>
      <c r="C2620">
        <v>39.1</v>
      </c>
      <c r="D2620" s="91">
        <v>44946</v>
      </c>
    </row>
    <row r="2621" spans="1:4">
      <c r="A2621" t="s">
        <v>3593</v>
      </c>
      <c r="B2621" s="1219"/>
      <c r="C2621">
        <v>74.510000000000005</v>
      </c>
      <c r="D2621" s="91">
        <v>44946</v>
      </c>
    </row>
    <row r="2622" spans="1:4">
      <c r="A2622" t="s">
        <v>3594</v>
      </c>
      <c r="B2622" s="1219"/>
      <c r="C2622">
        <v>108.52</v>
      </c>
      <c r="D2622" s="91">
        <v>44946</v>
      </c>
    </row>
    <row r="2623" spans="1:4">
      <c r="A2623" t="s">
        <v>986</v>
      </c>
      <c r="B2623" s="1219"/>
      <c r="C2623">
        <v>3.67</v>
      </c>
      <c r="D2623" s="91">
        <v>44946</v>
      </c>
    </row>
    <row r="2624" spans="1:4">
      <c r="A2624" t="s">
        <v>3595</v>
      </c>
      <c r="B2624" s="1219"/>
      <c r="C2624">
        <v>15.14</v>
      </c>
      <c r="D2624" s="91">
        <v>44946</v>
      </c>
    </row>
    <row r="2625" spans="1:4">
      <c r="A2625" t="s">
        <v>3596</v>
      </c>
      <c r="B2625" s="1219"/>
      <c r="C2625">
        <v>28.4</v>
      </c>
      <c r="D2625" s="91">
        <v>44946</v>
      </c>
    </row>
    <row r="2626" spans="1:4">
      <c r="A2626" t="s">
        <v>3597</v>
      </c>
      <c r="B2626" s="1219"/>
      <c r="C2626">
        <v>10.89</v>
      </c>
      <c r="D2626" s="91">
        <v>44946</v>
      </c>
    </row>
    <row r="2627" spans="1:4">
      <c r="A2627" t="s">
        <v>826</v>
      </c>
      <c r="B2627" s="1219"/>
      <c r="C2627">
        <v>30.54</v>
      </c>
      <c r="D2627" s="91">
        <v>44946</v>
      </c>
    </row>
    <row r="2628" spans="1:4">
      <c r="A2628" t="s">
        <v>839</v>
      </c>
      <c r="B2628" s="1219"/>
      <c r="C2628">
        <v>48.46</v>
      </c>
      <c r="D2628" s="91">
        <v>44946</v>
      </c>
    </row>
    <row r="2629" spans="1:4">
      <c r="A2629" t="s">
        <v>833</v>
      </c>
      <c r="B2629" s="1219"/>
      <c r="C2629">
        <v>1.73</v>
      </c>
      <c r="D2629" s="91">
        <v>44946</v>
      </c>
    </row>
    <row r="2630" spans="1:4">
      <c r="A2630" t="s">
        <v>3598</v>
      </c>
      <c r="B2630" s="1219"/>
      <c r="C2630">
        <v>91.333000000000013</v>
      </c>
      <c r="D2630" s="91">
        <v>44949</v>
      </c>
    </row>
    <row r="2631" spans="1:4">
      <c r="A2631" t="s">
        <v>3599</v>
      </c>
      <c r="B2631" s="1219"/>
      <c r="C2631">
        <v>91.333000000000013</v>
      </c>
      <c r="D2631" s="91">
        <v>44949</v>
      </c>
    </row>
    <row r="2632" spans="1:4">
      <c r="A2632" t="s">
        <v>3600</v>
      </c>
      <c r="B2632" s="1219"/>
      <c r="C2632">
        <v>365.33200000000005</v>
      </c>
      <c r="D2632" s="91">
        <v>44949</v>
      </c>
    </row>
    <row r="2633" spans="1:4">
      <c r="A2633">
        <v>32921</v>
      </c>
      <c r="B2633" s="1219"/>
      <c r="C2633">
        <v>0.36</v>
      </c>
      <c r="D2633" s="91">
        <v>44949</v>
      </c>
    </row>
    <row r="2634" spans="1:4">
      <c r="A2634">
        <v>29645</v>
      </c>
      <c r="B2634" s="1219"/>
      <c r="C2634">
        <v>0.28000000000000003</v>
      </c>
      <c r="D2634" s="91">
        <v>44949</v>
      </c>
    </row>
    <row r="2635" spans="1:4">
      <c r="A2635">
        <v>41092</v>
      </c>
      <c r="B2635" s="1219"/>
      <c r="C2635">
        <v>11.72</v>
      </c>
      <c r="D2635" s="91">
        <v>44949</v>
      </c>
    </row>
    <row r="2636" spans="1:4">
      <c r="A2636">
        <v>35351</v>
      </c>
      <c r="B2636" s="1219"/>
      <c r="C2636">
        <v>0.5</v>
      </c>
      <c r="D2636" s="91">
        <v>44949</v>
      </c>
    </row>
    <row r="2637" spans="1:4">
      <c r="A2637" t="s">
        <v>1038</v>
      </c>
      <c r="B2637" s="1219"/>
      <c r="C2637">
        <v>6.24</v>
      </c>
      <c r="D2637" s="91">
        <v>44949</v>
      </c>
    </row>
    <row r="2638" spans="1:4">
      <c r="A2638" t="s">
        <v>3601</v>
      </c>
      <c r="B2638" s="1219"/>
      <c r="C2638">
        <v>2.2599999999999998</v>
      </c>
      <c r="D2638" s="91">
        <v>44949</v>
      </c>
    </row>
    <row r="2639" spans="1:4">
      <c r="A2639" t="s">
        <v>1021</v>
      </c>
      <c r="B2639" s="1219"/>
      <c r="C2639">
        <v>57.24</v>
      </c>
      <c r="D2639" s="91">
        <v>44949</v>
      </c>
    </row>
    <row r="2640" spans="1:4">
      <c r="A2640" t="s">
        <v>931</v>
      </c>
      <c r="B2640" s="1219"/>
      <c r="C2640">
        <v>49.22</v>
      </c>
      <c r="D2640" s="91">
        <v>44949</v>
      </c>
    </row>
    <row r="2641" spans="1:4">
      <c r="A2641" t="s">
        <v>910</v>
      </c>
      <c r="B2641" s="1219"/>
      <c r="C2641">
        <v>50.08</v>
      </c>
      <c r="D2641" s="91">
        <v>44949</v>
      </c>
    </row>
    <row r="2642" spans="1:4">
      <c r="A2642" t="s">
        <v>920</v>
      </c>
      <c r="B2642" s="1219"/>
      <c r="C2642">
        <v>51.52</v>
      </c>
      <c r="D2642" s="91">
        <v>44949</v>
      </c>
    </row>
    <row r="2643" spans="1:4">
      <c r="A2643" t="s">
        <v>900</v>
      </c>
      <c r="B2643" s="1219"/>
      <c r="C2643">
        <v>31.69</v>
      </c>
      <c r="D2643" s="91">
        <v>44949</v>
      </c>
    </row>
    <row r="2644" spans="1:4">
      <c r="A2644" t="s">
        <v>1053</v>
      </c>
      <c r="B2644" s="1219"/>
      <c r="C2644">
        <v>1.18</v>
      </c>
      <c r="D2644" s="91">
        <v>44949</v>
      </c>
    </row>
    <row r="2645" spans="1:4">
      <c r="A2645" t="s">
        <v>674</v>
      </c>
      <c r="B2645" s="1219"/>
      <c r="C2645">
        <v>94</v>
      </c>
      <c r="D2645" s="91">
        <v>44949</v>
      </c>
    </row>
    <row r="2646" spans="1:4">
      <c r="A2646" t="s">
        <v>889</v>
      </c>
      <c r="B2646" s="1219"/>
      <c r="C2646">
        <v>34.520000000000003</v>
      </c>
      <c r="D2646" s="91">
        <v>44949</v>
      </c>
    </row>
    <row r="2647" spans="1:4">
      <c r="A2647" t="s">
        <v>1016</v>
      </c>
      <c r="B2647" s="1219"/>
      <c r="C2647">
        <v>79.86</v>
      </c>
      <c r="D2647" s="91">
        <v>44949</v>
      </c>
    </row>
    <row r="2648" spans="1:4">
      <c r="A2648" t="s">
        <v>830</v>
      </c>
      <c r="B2648" s="1219"/>
      <c r="C2648">
        <v>92.09</v>
      </c>
      <c r="D2648" s="91">
        <v>44949</v>
      </c>
    </row>
    <row r="2649" spans="1:4">
      <c r="A2649" t="s">
        <v>809</v>
      </c>
      <c r="B2649" s="1219"/>
      <c r="C2649">
        <v>5.78</v>
      </c>
      <c r="D2649" s="91">
        <v>44949</v>
      </c>
    </row>
    <row r="2650" spans="1:4">
      <c r="A2650" t="s">
        <v>1034</v>
      </c>
      <c r="B2650" s="1219"/>
      <c r="C2650">
        <v>2.44</v>
      </c>
      <c r="D2650" s="91">
        <v>44949</v>
      </c>
    </row>
    <row r="2651" spans="1:4">
      <c r="A2651" t="s">
        <v>927</v>
      </c>
      <c r="B2651" s="1219"/>
      <c r="C2651">
        <v>5.37</v>
      </c>
      <c r="D2651" s="91">
        <v>44949</v>
      </c>
    </row>
    <row r="2652" spans="1:4">
      <c r="A2652" t="s">
        <v>906</v>
      </c>
      <c r="B2652" s="1219"/>
      <c r="C2652">
        <v>5.42</v>
      </c>
      <c r="D2652" s="91">
        <v>44949</v>
      </c>
    </row>
    <row r="2653" spans="1:4">
      <c r="A2653" t="s">
        <v>916</v>
      </c>
      <c r="B2653" s="1219"/>
      <c r="C2653">
        <v>5.28</v>
      </c>
      <c r="D2653" s="91">
        <v>44949</v>
      </c>
    </row>
    <row r="2654" spans="1:4">
      <c r="A2654" t="s">
        <v>1000</v>
      </c>
      <c r="B2654" s="1219"/>
      <c r="C2654">
        <v>9.9700000000000006</v>
      </c>
      <c r="D2654" s="91">
        <v>44949</v>
      </c>
    </row>
    <row r="2655" spans="1:4">
      <c r="A2655" t="s">
        <v>3602</v>
      </c>
      <c r="B2655" s="1219"/>
      <c r="C2655">
        <v>79.48</v>
      </c>
      <c r="D2655" s="91">
        <v>44949</v>
      </c>
    </row>
    <row r="2656" spans="1:4">
      <c r="A2656" t="s">
        <v>3603</v>
      </c>
      <c r="B2656" s="1219"/>
      <c r="C2656">
        <v>83.79</v>
      </c>
      <c r="D2656" s="91">
        <v>44949</v>
      </c>
    </row>
    <row r="2657" spans="1:4">
      <c r="A2657" t="s">
        <v>885</v>
      </c>
      <c r="B2657" s="1219"/>
      <c r="C2657">
        <v>7.43</v>
      </c>
      <c r="D2657" s="91">
        <v>44949</v>
      </c>
    </row>
    <row r="2658" spans="1:4">
      <c r="A2658" t="s">
        <v>978</v>
      </c>
      <c r="B2658" s="1219"/>
      <c r="C2658">
        <v>8.49</v>
      </c>
      <c r="D2658" s="91">
        <v>44949</v>
      </c>
    </row>
    <row r="2659" spans="1:4">
      <c r="A2659" t="s">
        <v>3604</v>
      </c>
      <c r="B2659" s="1219"/>
      <c r="C2659">
        <v>15.486900000000002</v>
      </c>
      <c r="D2659" s="91">
        <v>44985</v>
      </c>
    </row>
    <row r="2660" spans="1:4">
      <c r="A2660" t="s">
        <v>3605</v>
      </c>
      <c r="B2660" s="1219"/>
      <c r="C2660">
        <v>0.46068000000000003</v>
      </c>
      <c r="D2660" s="91">
        <v>44985</v>
      </c>
    </row>
    <row r="2661" spans="1:4">
      <c r="A2661" t="s">
        <v>3606</v>
      </c>
      <c r="B2661" s="1219"/>
      <c r="C2661">
        <v>0.73116999999999999</v>
      </c>
      <c r="D2661" s="91">
        <v>44985</v>
      </c>
    </row>
    <row r="2662" spans="1:4">
      <c r="A2662" t="s">
        <v>3607</v>
      </c>
      <c r="B2662" s="1219"/>
      <c r="C2662">
        <v>0.31251000000000007</v>
      </c>
      <c r="D2662" s="91">
        <v>44985</v>
      </c>
    </row>
    <row r="2663" spans="1:4">
      <c r="A2663" t="s">
        <v>3608</v>
      </c>
      <c r="B2663" s="1219"/>
      <c r="C2663">
        <v>29.601000000000003</v>
      </c>
      <c r="D2663" s="91">
        <v>44985</v>
      </c>
    </row>
    <row r="2664" spans="1:4">
      <c r="A2664" t="s">
        <v>3609</v>
      </c>
      <c r="B2664" s="1219"/>
      <c r="C2664">
        <v>4.4000000000000004E-2</v>
      </c>
      <c r="D2664" s="91">
        <v>45007</v>
      </c>
    </row>
    <row r="2665" spans="1:4">
      <c r="A2665" t="s">
        <v>3610</v>
      </c>
      <c r="B2665" s="1219"/>
      <c r="C2665">
        <v>3.9050000000000002</v>
      </c>
      <c r="D2665" s="91">
        <v>45007</v>
      </c>
    </row>
    <row r="2666" spans="1:4">
      <c r="A2666" t="s">
        <v>3611</v>
      </c>
      <c r="B2666" s="1219"/>
      <c r="C2666">
        <v>0.16500000000000001</v>
      </c>
      <c r="D2666" s="91">
        <v>45007</v>
      </c>
    </row>
    <row r="2667" spans="1:4">
      <c r="A2667" t="s">
        <v>3612</v>
      </c>
      <c r="B2667" s="1219"/>
      <c r="C2667">
        <v>2.7720000000000002</v>
      </c>
      <c r="D2667" s="91">
        <v>45007</v>
      </c>
    </row>
    <row r="2668" spans="1:4">
      <c r="A2668" t="s">
        <v>3613</v>
      </c>
      <c r="B2668" s="1219"/>
      <c r="C2668">
        <v>474.40800000000002</v>
      </c>
      <c r="D2668" s="91">
        <v>45007</v>
      </c>
    </row>
    <row r="2669" spans="1:4">
      <c r="A2669" t="s">
        <v>3614</v>
      </c>
      <c r="B2669" s="1219"/>
      <c r="C2669">
        <v>97.317000000000007</v>
      </c>
      <c r="D2669" s="91">
        <v>45007</v>
      </c>
    </row>
    <row r="2670" spans="1:4">
      <c r="A2670" t="s">
        <v>3615</v>
      </c>
      <c r="B2670" s="1219"/>
      <c r="C2670">
        <v>65.362000000000009</v>
      </c>
      <c r="D2670" s="91">
        <v>45007</v>
      </c>
    </row>
    <row r="2671" spans="1:4">
      <c r="A2671" t="s">
        <v>3616</v>
      </c>
      <c r="B2671" s="1219"/>
      <c r="C2671">
        <v>52.679000000000002</v>
      </c>
      <c r="D2671" s="91">
        <v>45007</v>
      </c>
    </row>
  </sheetData>
  <sheetProtection algorithmName="SHA-512" hashValue="N25ykMhTp2jd2UAi7hiVGJ+VRn5lGGuvv2VnK29kNcjV61Sv6i91LmCowpvqVnAWf+xxlXDlwmj9z5R1PLoMLQ==" saltValue="ODn+zCIk8nBBbttgg16qnw==" spinCount="100000" sheet="1" objects="1" scenarios="1"/>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8ECD9-21E6-4EF9-B865-CF74AAE02449}">
  <sheetPr codeName="Feuil10">
    <tabColor rgb="FFFFC000"/>
    <pageSetUpPr fitToPage="1"/>
  </sheetPr>
  <dimension ref="A1:AM18"/>
  <sheetViews>
    <sheetView view="pageBreakPreview" zoomScaleNormal="100" zoomScaleSheetLayoutView="100" workbookViewId="0">
      <selection activeCell="AC15" sqref="AC15:AD15"/>
    </sheetView>
  </sheetViews>
  <sheetFormatPr baseColWidth="10" defaultColWidth="11.42578125" defaultRowHeight="15"/>
  <cols>
    <col min="1" max="34" width="3.28515625" customWidth="1"/>
  </cols>
  <sheetData>
    <row r="1" spans="1:35" ht="14.1" customHeight="1">
      <c r="P1" s="357" t="s">
        <v>447</v>
      </c>
      <c r="Q1" s="357"/>
      <c r="R1" s="357"/>
      <c r="S1" s="357"/>
      <c r="T1" s="357"/>
      <c r="U1" s="357"/>
      <c r="V1" s="357"/>
      <c r="W1" s="357"/>
      <c r="X1" s="357"/>
      <c r="Y1" s="357"/>
      <c r="Z1" s="357"/>
      <c r="AA1" s="357"/>
      <c r="AB1" s="357"/>
      <c r="AC1" s="357"/>
      <c r="AD1" s="357"/>
    </row>
    <row r="2" spans="1:35" ht="14.1" customHeight="1">
      <c r="P2" s="358"/>
      <c r="Q2" s="358"/>
      <c r="R2" s="358"/>
      <c r="S2" s="358"/>
      <c r="T2" s="358"/>
      <c r="U2" s="358"/>
      <c r="V2" s="358"/>
      <c r="W2" s="358"/>
      <c r="X2" s="358"/>
      <c r="Y2" s="358"/>
      <c r="Z2" s="358"/>
      <c r="AA2" s="358"/>
      <c r="AB2" s="358"/>
      <c r="AC2" s="358"/>
      <c r="AD2" s="358"/>
    </row>
    <row r="3" spans="1:35" ht="14.1" customHeight="1">
      <c r="P3" s="358"/>
      <c r="Q3" s="358"/>
      <c r="R3" s="358"/>
      <c r="S3" s="358"/>
      <c r="T3" s="358"/>
      <c r="U3" s="358"/>
      <c r="V3" s="358"/>
      <c r="W3" s="358"/>
      <c r="X3" s="358"/>
      <c r="Y3" s="358"/>
      <c r="Z3" s="358"/>
      <c r="AA3" s="358"/>
      <c r="AB3" s="358"/>
      <c r="AC3" s="358"/>
      <c r="AD3" s="358"/>
    </row>
    <row r="4" spans="1:35" ht="14.1" customHeight="1" thickBot="1">
      <c r="P4" s="359"/>
      <c r="Q4" s="359"/>
      <c r="R4" s="359"/>
      <c r="S4" s="359"/>
      <c r="T4" s="359"/>
      <c r="U4" s="359"/>
      <c r="V4" s="359"/>
      <c r="W4" s="359"/>
      <c r="X4" s="359"/>
      <c r="Y4" s="359"/>
      <c r="Z4" s="359"/>
      <c r="AA4" s="359"/>
      <c r="AB4" s="359"/>
      <c r="AC4" s="359"/>
      <c r="AD4" s="359"/>
    </row>
    <row r="5" spans="1:35" ht="14.1" customHeight="1">
      <c r="A5" s="360" t="s">
        <v>1</v>
      </c>
      <c r="B5" s="361"/>
      <c r="C5" s="361"/>
      <c r="D5" s="361"/>
      <c r="E5" s="361"/>
      <c r="F5" s="361"/>
      <c r="G5" s="361"/>
      <c r="H5" s="361"/>
      <c r="I5" s="361"/>
      <c r="J5" s="361"/>
      <c r="K5" s="361"/>
      <c r="L5" s="361"/>
      <c r="M5" s="361"/>
      <c r="N5" s="361"/>
      <c r="O5" s="362"/>
      <c r="P5" s="1005" t="s">
        <v>2</v>
      </c>
      <c r="Q5" s="1006"/>
      <c r="R5" s="1006"/>
      <c r="S5" s="1006"/>
      <c r="T5" s="1007"/>
      <c r="U5" s="994">
        <f>Client</f>
        <v>0</v>
      </c>
      <c r="V5" s="994"/>
      <c r="W5" s="994"/>
      <c r="X5" s="994"/>
      <c r="Y5" s="994"/>
      <c r="Z5" s="994"/>
      <c r="AA5" s="994"/>
      <c r="AB5" s="994"/>
      <c r="AC5" s="994"/>
      <c r="AD5" s="1008"/>
    </row>
    <row r="6" spans="1:35" ht="14.1" customHeight="1" thickBot="1">
      <c r="A6" s="363"/>
      <c r="B6" s="364"/>
      <c r="C6" s="364"/>
      <c r="D6" s="364"/>
      <c r="E6" s="364"/>
      <c r="F6" s="364"/>
      <c r="G6" s="364"/>
      <c r="H6" s="364"/>
      <c r="I6" s="364"/>
      <c r="J6" s="364"/>
      <c r="K6" s="364"/>
      <c r="L6" s="364"/>
      <c r="M6" s="364"/>
      <c r="N6" s="364"/>
      <c r="O6" s="365"/>
      <c r="P6" s="771"/>
      <c r="Q6" s="772"/>
      <c r="R6" s="772"/>
      <c r="S6" s="772"/>
      <c r="T6" s="773"/>
      <c r="U6" s="511"/>
      <c r="V6" s="511"/>
      <c r="W6" s="511"/>
      <c r="X6" s="511"/>
      <c r="Y6" s="511"/>
      <c r="Z6" s="511"/>
      <c r="AA6" s="511"/>
      <c r="AB6" s="511"/>
      <c r="AC6" s="511"/>
      <c r="AD6" s="512"/>
    </row>
    <row r="7" spans="1:35" ht="27.95" customHeight="1">
      <c r="A7" s="372" t="s">
        <v>4</v>
      </c>
      <c r="B7" s="373"/>
      <c r="C7" s="373"/>
      <c r="D7" s="373"/>
      <c r="E7" s="373"/>
      <c r="F7" s="374"/>
      <c r="G7" s="509">
        <f>Commercial</f>
        <v>0</v>
      </c>
      <c r="H7" s="509"/>
      <c r="I7" s="509"/>
      <c r="J7" s="509"/>
      <c r="K7" s="509"/>
      <c r="L7" s="509"/>
      <c r="M7" s="509"/>
      <c r="N7" s="509"/>
      <c r="O7" s="510"/>
      <c r="P7" s="1009" t="s">
        <v>448</v>
      </c>
      <c r="Q7" s="1010"/>
      <c r="R7" s="1010"/>
      <c r="S7" s="1010"/>
      <c r="T7" s="1011"/>
      <c r="U7" s="348">
        <f>Code_Client_Divalto</f>
        <v>0</v>
      </c>
      <c r="V7" s="349"/>
      <c r="W7" s="349"/>
      <c r="X7" s="349"/>
      <c r="Y7" s="349"/>
      <c r="Z7" s="349"/>
      <c r="AA7" s="349"/>
      <c r="AB7" s="349"/>
      <c r="AC7" s="349"/>
      <c r="AD7" s="350"/>
    </row>
    <row r="8" spans="1:35" ht="27.95" customHeight="1">
      <c r="A8" s="771" t="s">
        <v>6</v>
      </c>
      <c r="B8" s="772"/>
      <c r="C8" s="772"/>
      <c r="D8" s="772"/>
      <c r="E8" s="772"/>
      <c r="F8" s="773"/>
      <c r="G8" s="348">
        <f>ICA</f>
        <v>0</v>
      </c>
      <c r="H8" s="349"/>
      <c r="I8" s="349"/>
      <c r="J8" s="349"/>
      <c r="K8" s="349"/>
      <c r="L8" s="349"/>
      <c r="M8" s="349"/>
      <c r="N8" s="349"/>
      <c r="O8" s="350"/>
      <c r="P8" s="367" t="s">
        <v>7</v>
      </c>
      <c r="Q8" s="368"/>
      <c r="R8" s="368"/>
      <c r="S8" s="368"/>
      <c r="T8" s="369"/>
      <c r="U8" s="511">
        <f>Affaire_Div</f>
        <v>0</v>
      </c>
      <c r="V8" s="511"/>
      <c r="W8" s="511"/>
      <c r="X8" s="511"/>
      <c r="Y8" s="511"/>
      <c r="Z8" s="511"/>
      <c r="AA8" s="511"/>
      <c r="AB8" s="511"/>
      <c r="AC8" s="511"/>
      <c r="AD8" s="512"/>
    </row>
    <row r="9" spans="1:35" ht="27.95" customHeight="1" thickBot="1">
      <c r="A9" s="351" t="s">
        <v>107</v>
      </c>
      <c r="B9" s="352"/>
      <c r="C9" s="352"/>
      <c r="D9" s="352"/>
      <c r="E9" s="352"/>
      <c r="F9" s="353"/>
      <c r="G9" s="513">
        <f>ChargéAF</f>
        <v>0</v>
      </c>
      <c r="H9" s="513"/>
      <c r="I9" s="513"/>
      <c r="J9" s="513"/>
      <c r="K9" s="513"/>
      <c r="L9" s="513"/>
      <c r="M9" s="513"/>
      <c r="N9" s="513"/>
      <c r="O9" s="514"/>
      <c r="P9" s="351" t="s">
        <v>9</v>
      </c>
      <c r="Q9" s="352"/>
      <c r="R9" s="352"/>
      <c r="S9" s="352"/>
      <c r="T9" s="353"/>
      <c r="U9" s="513">
        <f>Projet_SF</f>
        <v>0</v>
      </c>
      <c r="V9" s="513"/>
      <c r="W9" s="513"/>
      <c r="X9" s="513"/>
      <c r="Y9" s="513"/>
      <c r="Z9" s="513"/>
      <c r="AA9" s="513"/>
      <c r="AB9" s="513"/>
      <c r="AC9" s="513"/>
      <c r="AD9" s="514"/>
    </row>
    <row r="10" spans="1:35" ht="15" customHeight="1" thickBot="1"/>
    <row r="11" spans="1:35" ht="39.950000000000003" customHeight="1">
      <c r="A11" s="1012" t="s">
        <v>449</v>
      </c>
      <c r="B11" s="1013"/>
      <c r="C11" s="1013"/>
      <c r="D11" s="1013"/>
      <c r="E11" s="1013"/>
      <c r="F11" s="1013"/>
      <c r="G11" s="1013"/>
      <c r="H11" s="1013"/>
      <c r="I11" s="1013"/>
      <c r="J11" s="1013"/>
      <c r="K11" s="1013"/>
      <c r="L11" s="1013"/>
      <c r="M11" s="1013"/>
      <c r="N11" s="1013"/>
      <c r="O11" s="1013"/>
      <c r="P11" s="1013"/>
      <c r="Q11" s="1013"/>
      <c r="R11" s="1013"/>
      <c r="S11" s="1013"/>
      <c r="T11" s="1013"/>
      <c r="U11" s="1013"/>
      <c r="V11" s="1013"/>
      <c r="W11" s="1013"/>
      <c r="X11" s="1013"/>
      <c r="Y11" s="1013"/>
      <c r="Z11" s="1013"/>
      <c r="AA11" s="1013"/>
      <c r="AB11" s="1013"/>
      <c r="AC11" s="1013"/>
      <c r="AD11" s="1014"/>
    </row>
    <row r="12" spans="1:35" ht="35.1" customHeight="1" thickBot="1">
      <c r="A12" s="1015" t="s">
        <v>450</v>
      </c>
      <c r="B12" s="1016"/>
      <c r="C12" s="1016"/>
      <c r="D12" s="1016"/>
      <c r="E12" s="1016"/>
      <c r="F12" s="1016"/>
      <c r="G12" s="1016"/>
      <c r="H12" s="1016"/>
      <c r="I12" s="1016"/>
      <c r="J12" s="1016"/>
      <c r="K12" s="1016"/>
      <c r="L12" s="1016"/>
      <c r="M12" s="1016"/>
      <c r="N12" s="1016"/>
      <c r="O12" s="1016"/>
      <c r="P12" s="1016"/>
      <c r="Q12" s="1016"/>
      <c r="R12" s="1016"/>
      <c r="S12" s="1016"/>
      <c r="T12" s="1016"/>
      <c r="U12" s="1016"/>
      <c r="V12" s="1016"/>
      <c r="W12" s="1016"/>
      <c r="X12" s="1016"/>
      <c r="Y12" s="1016"/>
      <c r="Z12" s="1016"/>
      <c r="AA12" s="1016"/>
      <c r="AB12" s="1016"/>
      <c r="AC12" s="1016"/>
      <c r="AD12" s="1017"/>
    </row>
    <row r="13" spans="1:35" ht="20.100000000000001" customHeight="1" thickBot="1">
      <c r="A13" s="1018" t="s">
        <v>368</v>
      </c>
      <c r="B13" s="1019"/>
      <c r="C13" s="1020"/>
      <c r="D13" s="1021"/>
      <c r="E13" s="1022"/>
      <c r="F13" s="1022"/>
      <c r="G13" s="1022"/>
      <c r="H13" s="1023" t="s">
        <v>369</v>
      </c>
      <c r="I13" s="1019"/>
      <c r="J13" s="1019"/>
      <c r="K13" s="1019"/>
      <c r="L13" s="1019"/>
      <c r="M13" s="1020"/>
      <c r="N13" s="1024"/>
      <c r="O13" s="1025"/>
      <c r="P13" s="1025"/>
      <c r="Q13" s="1025"/>
      <c r="R13" s="1025"/>
      <c r="S13" s="1026"/>
      <c r="T13" s="1023" t="s">
        <v>370</v>
      </c>
      <c r="U13" s="1019"/>
      <c r="V13" s="1019"/>
      <c r="W13" s="1019"/>
      <c r="X13" s="1019"/>
      <c r="Y13" s="1019"/>
      <c r="Z13" s="1021">
        <f>'PV de Réception'!Z34</f>
        <v>0</v>
      </c>
      <c r="AA13" s="1022"/>
      <c r="AB13" s="1022"/>
      <c r="AC13" s="1022"/>
      <c r="AD13" s="1027"/>
    </row>
    <row r="14" spans="1:35" ht="21.95" customHeight="1">
      <c r="A14" s="986" t="s">
        <v>451</v>
      </c>
      <c r="B14" s="1035"/>
      <c r="C14" s="987"/>
      <c r="D14" s="1038" t="s">
        <v>452</v>
      </c>
      <c r="E14" s="1039"/>
      <c r="F14" s="1039"/>
      <c r="G14" s="1039"/>
      <c r="H14" s="1039"/>
      <c r="I14" s="1039"/>
      <c r="J14" s="1039"/>
      <c r="K14" s="1039"/>
      <c r="L14" s="1039"/>
      <c r="M14" s="1039"/>
      <c r="N14" s="1039"/>
      <c r="O14" s="1040"/>
      <c r="P14" s="345"/>
      <c r="Q14" s="1041"/>
      <c r="R14" s="1038" t="s">
        <v>453</v>
      </c>
      <c r="S14" s="1039"/>
      <c r="T14" s="1039"/>
      <c r="U14" s="1039"/>
      <c r="V14" s="1039"/>
      <c r="W14" s="1039"/>
      <c r="X14" s="1039"/>
      <c r="Y14" s="1039"/>
      <c r="Z14" s="1039"/>
      <c r="AA14" s="1039"/>
      <c r="AB14" s="1040"/>
      <c r="AC14" s="345"/>
      <c r="AD14" s="347"/>
      <c r="AI14" s="31"/>
    </row>
    <row r="15" spans="1:35" ht="21.95" customHeight="1">
      <c r="A15" s="988"/>
      <c r="B15" s="1036"/>
      <c r="C15" s="989"/>
      <c r="D15" s="1028" t="s">
        <v>454</v>
      </c>
      <c r="E15" s="1029"/>
      <c r="F15" s="1029"/>
      <c r="G15" s="1029"/>
      <c r="H15" s="1029"/>
      <c r="I15" s="1029"/>
      <c r="J15" s="1029"/>
      <c r="K15" s="1029"/>
      <c r="L15" s="1029"/>
      <c r="M15" s="1029"/>
      <c r="N15" s="1029"/>
      <c r="O15" s="1030"/>
      <c r="P15" s="348"/>
      <c r="Q15" s="1003"/>
      <c r="R15" s="1028" t="s">
        <v>455</v>
      </c>
      <c r="S15" s="1029"/>
      <c r="T15" s="1029"/>
      <c r="U15" s="1029"/>
      <c r="V15" s="1029"/>
      <c r="W15" s="1029"/>
      <c r="X15" s="1029"/>
      <c r="Y15" s="1029"/>
      <c r="Z15" s="1029"/>
      <c r="AA15" s="1029"/>
      <c r="AB15" s="1030"/>
      <c r="AC15" s="348"/>
      <c r="AD15" s="350"/>
      <c r="AI15" s="31"/>
    </row>
    <row r="16" spans="1:35" ht="21.95" customHeight="1">
      <c r="A16" s="988"/>
      <c r="B16" s="1036"/>
      <c r="C16" s="989"/>
      <c r="D16" s="1028" t="s">
        <v>456</v>
      </c>
      <c r="E16" s="1029"/>
      <c r="F16" s="1029"/>
      <c r="G16" s="1029"/>
      <c r="H16" s="1029"/>
      <c r="I16" s="1029"/>
      <c r="J16" s="1029"/>
      <c r="K16" s="1029"/>
      <c r="L16" s="1029"/>
      <c r="M16" s="1029"/>
      <c r="N16" s="1029"/>
      <c r="O16" s="1030"/>
      <c r="P16" s="348"/>
      <c r="Q16" s="1003"/>
      <c r="R16" s="1028" t="s">
        <v>457</v>
      </c>
      <c r="S16" s="1029"/>
      <c r="T16" s="1029"/>
      <c r="U16" s="1029"/>
      <c r="V16" s="1029"/>
      <c r="W16" s="1029"/>
      <c r="X16" s="1029"/>
      <c r="Y16" s="1029"/>
      <c r="Z16" s="1029"/>
      <c r="AA16" s="1029"/>
      <c r="AB16" s="1030"/>
      <c r="AC16" s="348"/>
      <c r="AD16" s="350"/>
      <c r="AI16" s="31"/>
    </row>
    <row r="17" spans="1:39" ht="21.95" customHeight="1" thickBot="1">
      <c r="A17" s="990"/>
      <c r="B17" s="1037"/>
      <c r="C17" s="991"/>
      <c r="D17" s="1031" t="s">
        <v>458</v>
      </c>
      <c r="E17" s="1032"/>
      <c r="F17" s="1032"/>
      <c r="G17" s="1032"/>
      <c r="H17" s="1032"/>
      <c r="I17" s="1032"/>
      <c r="J17" s="1032"/>
      <c r="K17" s="1032"/>
      <c r="L17" s="1032"/>
      <c r="M17" s="1032"/>
      <c r="N17" s="1032"/>
      <c r="O17" s="1033"/>
      <c r="P17" s="375"/>
      <c r="Q17" s="1034"/>
      <c r="R17" s="1031" t="s">
        <v>459</v>
      </c>
      <c r="S17" s="1032"/>
      <c r="T17" s="1032"/>
      <c r="U17" s="1032"/>
      <c r="V17" s="1032"/>
      <c r="W17" s="1032"/>
      <c r="X17" s="1032"/>
      <c r="Y17" s="1032"/>
      <c r="Z17" s="1032"/>
      <c r="AA17" s="1032"/>
      <c r="AB17" s="1033"/>
      <c r="AC17" s="375"/>
      <c r="AD17" s="377"/>
      <c r="AI17" s="30"/>
      <c r="AJ17" s="30"/>
      <c r="AK17" s="33"/>
      <c r="AL17" s="32"/>
      <c r="AM17" s="32"/>
    </row>
    <row r="18" spans="1:39" ht="20.100000000000001" customHeight="1">
      <c r="AI18" s="32"/>
      <c r="AJ18" s="32"/>
      <c r="AK18" s="30"/>
      <c r="AL18" s="32"/>
      <c r="AM18" s="29"/>
    </row>
  </sheetData>
  <sheetProtection algorithmName="SHA-512" hashValue="VV1jbBftUWwJxGrZEMmpDo4B3EBA3qo/3XOhHln42ZTqvDZMRO0hwo8stULU5zYy6uYSrJCPmy9uiE/ZhVVR4Q==" saltValue="7Y9XVIfNHHCZB2W1/HBkUQ==" spinCount="100000" sheet="1" objects="1" scenarios="1"/>
  <mergeCells count="41">
    <mergeCell ref="T13:Y13"/>
    <mergeCell ref="A5:O6"/>
    <mergeCell ref="P5:T6"/>
    <mergeCell ref="U5:AD6"/>
    <mergeCell ref="P1:AD4"/>
    <mergeCell ref="A8:F8"/>
    <mergeCell ref="G8:O8"/>
    <mergeCell ref="P8:T8"/>
    <mergeCell ref="U8:AD8"/>
    <mergeCell ref="AC16:AD16"/>
    <mergeCell ref="AC17:AD17"/>
    <mergeCell ref="A7:F7"/>
    <mergeCell ref="G7:O7"/>
    <mergeCell ref="P7:T7"/>
    <mergeCell ref="U7:AD7"/>
    <mergeCell ref="A9:F9"/>
    <mergeCell ref="G9:O9"/>
    <mergeCell ref="P9:T9"/>
    <mergeCell ref="U9:AD9"/>
    <mergeCell ref="A11:AD11"/>
    <mergeCell ref="A12:AD12"/>
    <mergeCell ref="A13:C13"/>
    <mergeCell ref="D13:G13"/>
    <mergeCell ref="H13:M13"/>
    <mergeCell ref="N13:S13"/>
    <mergeCell ref="R17:AB17"/>
    <mergeCell ref="Z13:AD13"/>
    <mergeCell ref="A14:C17"/>
    <mergeCell ref="D14:O14"/>
    <mergeCell ref="P14:Q14"/>
    <mergeCell ref="R14:AB14"/>
    <mergeCell ref="AC14:AD14"/>
    <mergeCell ref="D15:O15"/>
    <mergeCell ref="D17:O17"/>
    <mergeCell ref="P17:Q17"/>
    <mergeCell ref="P15:Q15"/>
    <mergeCell ref="R15:AB15"/>
    <mergeCell ref="AC15:AD15"/>
    <mergeCell ref="D16:O16"/>
    <mergeCell ref="P16:Q16"/>
    <mergeCell ref="R16:AB16"/>
  </mergeCells>
  <dataValidations count="2">
    <dataValidation type="list" allowBlank="1" sqref="P14:Q17 AC14:AD17" xr:uid="{CAE83ED6-49AB-468D-8AF1-1066E483B948}">
      <formula1>L_Oui_Non</formula1>
    </dataValidation>
    <dataValidation type="list" sqref="Z13:AD13" xr:uid="{B71E2DD9-8AAE-4695-B31A-DB82A8CD85AA}">
      <formula1>L_Type_Installation</formula1>
    </dataValidation>
  </dataValidations>
  <printOptions horizontalCentered="1" verticalCentered="1"/>
  <pageMargins left="0.23622047244094491" right="0.23622047244094491" top="0.23622047244094491" bottom="0.23622047244094491" header="0.31496062992125984" footer="0.31496062992125984"/>
  <pageSetup paperSize="9" orientation="portrait" r:id="rId1"/>
  <headerFooter>
    <oddHeader>&amp;R&amp;D</oddHeader>
    <oddFooter>&amp;L&amp;Z&amp;F&amp;RPage &amp;P/&amp;N</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57065-732D-4B30-A82F-15AC9C930A1A}">
  <sheetPr codeName="Feuil7">
    <tabColor rgb="FFFFC000"/>
    <pageSetUpPr fitToPage="1"/>
  </sheetPr>
  <dimension ref="A1:AM30"/>
  <sheetViews>
    <sheetView view="pageBreakPreview" zoomScale="85" zoomScaleNormal="100" zoomScaleSheetLayoutView="85" workbookViewId="0">
      <selection activeCell="A17" sqref="A17:AD25"/>
    </sheetView>
  </sheetViews>
  <sheetFormatPr baseColWidth="10" defaultColWidth="11.42578125" defaultRowHeight="15"/>
  <cols>
    <col min="1" max="34" width="3.28515625" customWidth="1"/>
  </cols>
  <sheetData>
    <row r="1" spans="1:39" ht="20.100000000000001" customHeight="1">
      <c r="A1" s="986" t="s">
        <v>460</v>
      </c>
      <c r="B1" s="987"/>
      <c r="C1" s="992" t="s">
        <v>259</v>
      </c>
      <c r="D1" s="992"/>
      <c r="E1" s="992"/>
      <c r="F1" s="993"/>
      <c r="G1" s="993"/>
      <c r="H1" s="993"/>
      <c r="I1" s="993"/>
      <c r="J1" s="993"/>
      <c r="K1" s="993"/>
      <c r="L1" s="993"/>
      <c r="M1" s="992" t="s">
        <v>342</v>
      </c>
      <c r="N1" s="992"/>
      <c r="O1" s="994"/>
      <c r="P1" s="994"/>
      <c r="Q1" s="994"/>
      <c r="R1" s="994"/>
      <c r="S1" s="994"/>
      <c r="T1" s="994"/>
      <c r="U1" s="994"/>
      <c r="V1" s="994"/>
      <c r="W1" s="994"/>
      <c r="X1" s="992" t="s">
        <v>461</v>
      </c>
      <c r="Y1" s="992"/>
      <c r="Z1" s="992"/>
      <c r="AA1" s="994" t="s">
        <v>609</v>
      </c>
      <c r="AB1" s="994"/>
      <c r="AC1" s="994"/>
      <c r="AD1" s="1008"/>
      <c r="AI1" s="30"/>
      <c r="AJ1" s="30"/>
      <c r="AK1" s="107"/>
      <c r="AL1" s="31"/>
      <c r="AM1" s="31"/>
    </row>
    <row r="2" spans="1:39" ht="20.100000000000001" customHeight="1">
      <c r="A2" s="988"/>
      <c r="B2" s="989"/>
      <c r="C2" s="170" t="s">
        <v>302</v>
      </c>
      <c r="D2" s="170"/>
      <c r="E2" s="170"/>
      <c r="F2" s="906"/>
      <c r="G2" s="893"/>
      <c r="H2" s="34" t="s">
        <v>303</v>
      </c>
      <c r="I2" s="1030" t="s">
        <v>462</v>
      </c>
      <c r="J2" s="366"/>
      <c r="K2" s="366"/>
      <c r="L2" s="366"/>
      <c r="M2" s="511" t="s">
        <v>560</v>
      </c>
      <c r="N2" s="511"/>
      <c r="O2" s="511"/>
      <c r="P2" s="366" t="s">
        <v>463</v>
      </c>
      <c r="Q2" s="366"/>
      <c r="R2" s="366"/>
      <c r="S2" s="366"/>
      <c r="T2" s="366"/>
      <c r="U2" s="511"/>
      <c r="V2" s="511"/>
      <c r="W2" s="511"/>
      <c r="X2" s="511"/>
      <c r="Y2" s="511"/>
      <c r="Z2" s="511"/>
      <c r="AA2" s="103" t="s">
        <v>263</v>
      </c>
      <c r="AB2" s="511"/>
      <c r="AC2" s="348"/>
      <c r="AD2" s="78" t="s">
        <v>262</v>
      </c>
      <c r="AF2" t="s">
        <v>464</v>
      </c>
      <c r="AI2" s="30"/>
      <c r="AJ2" s="30"/>
      <c r="AK2" s="30"/>
      <c r="AL2" s="30"/>
      <c r="AM2" s="29"/>
    </row>
    <row r="3" spans="1:39" ht="20.100000000000001" customHeight="1">
      <c r="A3" s="988"/>
      <c r="B3" s="989"/>
      <c r="C3" s="170" t="s">
        <v>620</v>
      </c>
      <c r="D3" s="170"/>
      <c r="E3" s="170"/>
      <c r="F3" s="170"/>
      <c r="G3" s="170"/>
      <c r="H3" s="170"/>
      <c r="I3" s="170"/>
      <c r="J3" s="170"/>
      <c r="K3" s="170"/>
      <c r="L3" s="170"/>
      <c r="M3" s="170"/>
      <c r="N3" s="170"/>
      <c r="O3" s="511"/>
      <c r="P3" s="511"/>
      <c r="Q3" s="997" t="s">
        <v>621</v>
      </c>
      <c r="R3" s="152"/>
      <c r="S3" s="152"/>
      <c r="T3" s="152"/>
      <c r="U3" s="152"/>
      <c r="V3" s="152"/>
      <c r="W3" s="153"/>
      <c r="X3" s="348"/>
      <c r="Y3" s="349"/>
      <c r="Z3" s="349"/>
      <c r="AA3" s="349"/>
      <c r="AB3" s="349"/>
      <c r="AC3" s="349"/>
      <c r="AD3" s="1003"/>
      <c r="AF3" t="s">
        <v>467</v>
      </c>
      <c r="AI3" s="30"/>
      <c r="AJ3" s="30"/>
      <c r="AK3" s="30"/>
      <c r="AL3" s="30"/>
      <c r="AM3" s="29"/>
    </row>
    <row r="4" spans="1:39" ht="20.100000000000001" customHeight="1">
      <c r="A4" s="988"/>
      <c r="B4" s="989"/>
      <c r="C4" s="997" t="s">
        <v>622</v>
      </c>
      <c r="D4" s="152"/>
      <c r="E4" s="152"/>
      <c r="F4" s="152"/>
      <c r="G4" s="152"/>
      <c r="H4" s="152"/>
      <c r="I4" s="153"/>
      <c r="J4" s="348"/>
      <c r="K4" s="349"/>
      <c r="L4" s="349"/>
      <c r="M4" s="349"/>
      <c r="N4" s="349"/>
      <c r="O4" s="349"/>
      <c r="P4" s="1003"/>
      <c r="Q4" s="997" t="s">
        <v>623</v>
      </c>
      <c r="R4" s="152"/>
      <c r="S4" s="152"/>
      <c r="T4" s="152"/>
      <c r="U4" s="152"/>
      <c r="V4" s="152"/>
      <c r="W4" s="153"/>
      <c r="X4" s="348"/>
      <c r="Y4" s="349"/>
      <c r="Z4" s="349"/>
      <c r="AA4" s="349"/>
      <c r="AB4" s="349"/>
      <c r="AC4" s="349"/>
      <c r="AD4" s="1003"/>
      <c r="AI4" s="30"/>
      <c r="AJ4" s="30"/>
      <c r="AK4" s="30"/>
      <c r="AL4" s="30"/>
      <c r="AM4" s="29"/>
    </row>
    <row r="5" spans="1:39" ht="20.100000000000001" customHeight="1">
      <c r="A5" s="988"/>
      <c r="B5" s="989"/>
      <c r="C5" s="997" t="s">
        <v>624</v>
      </c>
      <c r="D5" s="152"/>
      <c r="E5" s="152"/>
      <c r="F5" s="152"/>
      <c r="G5" s="152"/>
      <c r="H5" s="152"/>
      <c r="I5" s="153"/>
      <c r="J5" s="348"/>
      <c r="K5" s="349"/>
      <c r="L5" s="349"/>
      <c r="M5" s="349"/>
      <c r="N5" s="349"/>
      <c r="O5" s="349"/>
      <c r="P5" s="1003"/>
      <c r="Q5" s="997" t="s">
        <v>625</v>
      </c>
      <c r="R5" s="152"/>
      <c r="S5" s="152"/>
      <c r="T5" s="152"/>
      <c r="U5" s="152"/>
      <c r="V5" s="152"/>
      <c r="W5" s="153"/>
      <c r="X5" s="348"/>
      <c r="Y5" s="349"/>
      <c r="Z5" s="349"/>
      <c r="AA5" s="349"/>
      <c r="AB5" s="349"/>
      <c r="AC5" s="349"/>
      <c r="AD5" s="1003"/>
      <c r="AF5" t="s">
        <v>470</v>
      </c>
      <c r="AI5" s="30"/>
      <c r="AJ5" s="30"/>
      <c r="AK5" s="30"/>
      <c r="AL5" s="30"/>
      <c r="AM5" s="29"/>
    </row>
    <row r="6" spans="1:39" ht="20.100000000000001" customHeight="1">
      <c r="A6" s="988"/>
      <c r="B6" s="989"/>
      <c r="C6" s="997" t="s">
        <v>626</v>
      </c>
      <c r="D6" s="152"/>
      <c r="E6" s="152"/>
      <c r="F6" s="152"/>
      <c r="G6" s="152"/>
      <c r="H6" s="152"/>
      <c r="I6" s="153"/>
      <c r="J6" s="348"/>
      <c r="K6" s="349"/>
      <c r="L6" s="349"/>
      <c r="M6" s="349"/>
      <c r="N6" s="349"/>
      <c r="O6" s="349"/>
      <c r="P6" s="1003"/>
      <c r="Q6" s="997" t="s">
        <v>627</v>
      </c>
      <c r="R6" s="152"/>
      <c r="S6" s="152"/>
      <c r="T6" s="152"/>
      <c r="U6" s="152"/>
      <c r="V6" s="152"/>
      <c r="W6" s="153"/>
      <c r="X6" s="348"/>
      <c r="Y6" s="349"/>
      <c r="Z6" s="349"/>
      <c r="AA6" s="349"/>
      <c r="AB6" s="349"/>
      <c r="AC6" s="349"/>
      <c r="AD6" s="1003"/>
      <c r="AI6" s="30"/>
      <c r="AJ6" s="30"/>
      <c r="AK6" s="30"/>
      <c r="AL6" s="30"/>
      <c r="AM6" s="29"/>
    </row>
    <row r="7" spans="1:39" ht="20.100000000000001" customHeight="1">
      <c r="A7" s="988"/>
      <c r="B7" s="989"/>
      <c r="C7" s="997" t="s">
        <v>628</v>
      </c>
      <c r="D7" s="152"/>
      <c r="E7" s="152"/>
      <c r="F7" s="152"/>
      <c r="G7" s="152"/>
      <c r="H7" s="152"/>
      <c r="I7" s="153"/>
      <c r="J7" s="348"/>
      <c r="K7" s="349"/>
      <c r="L7" s="349"/>
      <c r="M7" s="349"/>
      <c r="N7" s="349"/>
      <c r="O7" s="349"/>
      <c r="P7" s="1003"/>
      <c r="Q7" s="997" t="s">
        <v>629</v>
      </c>
      <c r="R7" s="152"/>
      <c r="S7" s="152"/>
      <c r="T7" s="152"/>
      <c r="U7" s="152"/>
      <c r="V7" s="152"/>
      <c r="W7" s="153"/>
      <c r="X7" s="348"/>
      <c r="Y7" s="349"/>
      <c r="Z7" s="349"/>
      <c r="AA7" s="349"/>
      <c r="AB7" s="349"/>
      <c r="AC7" s="349"/>
      <c r="AD7" s="1003"/>
      <c r="AI7" s="30"/>
      <c r="AJ7" s="30"/>
      <c r="AK7" s="30"/>
      <c r="AL7" s="30"/>
      <c r="AM7" s="29"/>
    </row>
    <row r="8" spans="1:39" ht="20.100000000000001" customHeight="1">
      <c r="A8" s="988"/>
      <c r="B8" s="989"/>
      <c r="C8" s="366" t="s">
        <v>471</v>
      </c>
      <c r="D8" s="366"/>
      <c r="E8" s="366"/>
      <c r="F8" s="366"/>
      <c r="G8" s="366"/>
      <c r="H8" s="366"/>
      <c r="I8" s="366"/>
      <c r="J8" s="366"/>
      <c r="K8" s="366"/>
      <c r="L8" s="366"/>
      <c r="M8" s="366"/>
      <c r="N8" s="366"/>
      <c r="O8" s="511"/>
      <c r="P8" s="511"/>
      <c r="Q8" s="366" t="s">
        <v>472</v>
      </c>
      <c r="R8" s="366"/>
      <c r="S8" s="366"/>
      <c r="T8" s="366"/>
      <c r="U8" s="366"/>
      <c r="V8" s="366"/>
      <c r="W8" s="366"/>
      <c r="X8" s="366"/>
      <c r="Y8" s="366"/>
      <c r="Z8" s="366"/>
      <c r="AA8" s="366"/>
      <c r="AB8" s="366"/>
      <c r="AC8" s="511"/>
      <c r="AD8" s="512"/>
      <c r="AF8" t="s">
        <v>473</v>
      </c>
      <c r="AI8" s="30"/>
      <c r="AJ8" s="30"/>
      <c r="AK8" s="30"/>
      <c r="AL8" s="30"/>
      <c r="AM8" s="29"/>
    </row>
    <row r="9" spans="1:39" ht="20.100000000000001" customHeight="1">
      <c r="A9" s="988"/>
      <c r="B9" s="989"/>
      <c r="C9" s="366" t="s">
        <v>474</v>
      </c>
      <c r="D9" s="366"/>
      <c r="E9" s="366"/>
      <c r="F9" s="366"/>
      <c r="G9" s="366"/>
      <c r="H9" s="366"/>
      <c r="I9" s="366"/>
      <c r="J9" s="366"/>
      <c r="K9" s="366"/>
      <c r="L9" s="366"/>
      <c r="M9" s="366"/>
      <c r="N9" s="366"/>
      <c r="O9" s="511"/>
      <c r="P9" s="511"/>
      <c r="Q9" s="366" t="s">
        <v>475</v>
      </c>
      <c r="R9" s="366"/>
      <c r="S9" s="366"/>
      <c r="T9" s="366"/>
      <c r="U9" s="366"/>
      <c r="V9" s="366"/>
      <c r="W9" s="366"/>
      <c r="X9" s="366"/>
      <c r="Y9" s="366"/>
      <c r="Z9" s="366"/>
      <c r="AA9" s="366"/>
      <c r="AB9" s="366"/>
      <c r="AC9" s="511"/>
      <c r="AD9" s="512"/>
      <c r="AF9" t="s">
        <v>476</v>
      </c>
      <c r="AI9" s="30"/>
      <c r="AJ9" s="30"/>
      <c r="AK9" s="30"/>
      <c r="AL9" s="30"/>
      <c r="AM9" s="29"/>
    </row>
    <row r="10" spans="1:39" ht="20.100000000000001" customHeight="1">
      <c r="A10" s="988"/>
      <c r="B10" s="989"/>
      <c r="C10" s="1042"/>
      <c r="D10" s="1042"/>
      <c r="E10" s="1042"/>
      <c r="F10" s="1042"/>
      <c r="G10" s="366" t="s">
        <v>630</v>
      </c>
      <c r="H10" s="366"/>
      <c r="I10" s="366"/>
      <c r="J10" s="366"/>
      <c r="K10" s="366"/>
      <c r="L10" s="366"/>
      <c r="M10" s="366"/>
      <c r="N10" s="366"/>
      <c r="O10" s="366"/>
      <c r="P10" s="366"/>
      <c r="Q10" s="366"/>
      <c r="R10" s="366"/>
      <c r="S10" s="366" t="s">
        <v>478</v>
      </c>
      <c r="T10" s="366"/>
      <c r="U10" s="366"/>
      <c r="V10" s="366"/>
      <c r="W10" s="366"/>
      <c r="X10" s="366"/>
      <c r="Y10" s="366"/>
      <c r="Z10" s="366"/>
      <c r="AA10" s="366"/>
      <c r="AB10" s="366"/>
      <c r="AC10" s="366"/>
      <c r="AD10" s="1043"/>
      <c r="AI10" s="108"/>
      <c r="AJ10" s="108"/>
      <c r="AK10" s="30"/>
      <c r="AL10" s="108"/>
      <c r="AM10" s="29"/>
    </row>
    <row r="11" spans="1:39" ht="20.100000000000001" customHeight="1">
      <c r="A11" s="988"/>
      <c r="B11" s="989"/>
      <c r="C11" s="1042"/>
      <c r="D11" s="1042"/>
      <c r="E11" s="1042"/>
      <c r="F11" s="1042"/>
      <c r="G11" s="366" t="s">
        <v>479</v>
      </c>
      <c r="H11" s="366"/>
      <c r="I11" s="366"/>
      <c r="J11" s="366"/>
      <c r="K11" s="366"/>
      <c r="L11" s="366"/>
      <c r="M11" s="366" t="s">
        <v>480</v>
      </c>
      <c r="N11" s="366"/>
      <c r="O11" s="366"/>
      <c r="P11" s="366"/>
      <c r="Q11" s="366"/>
      <c r="R11" s="366"/>
      <c r="S11" s="366" t="s">
        <v>479</v>
      </c>
      <c r="T11" s="366"/>
      <c r="U11" s="366"/>
      <c r="V11" s="366"/>
      <c r="W11" s="366"/>
      <c r="X11" s="366"/>
      <c r="Y11" s="366" t="s">
        <v>480</v>
      </c>
      <c r="Z11" s="366"/>
      <c r="AA11" s="366"/>
      <c r="AB11" s="366"/>
      <c r="AC11" s="366"/>
      <c r="AD11" s="1043"/>
      <c r="AI11" s="108"/>
      <c r="AJ11" s="108"/>
      <c r="AK11" s="30"/>
      <c r="AL11" s="108"/>
      <c r="AM11" s="29"/>
    </row>
    <row r="12" spans="1:39" ht="24.95" customHeight="1">
      <c r="A12" s="988"/>
      <c r="B12" s="989"/>
      <c r="C12" s="170" t="s">
        <v>481</v>
      </c>
      <c r="D12" s="170"/>
      <c r="E12" s="170"/>
      <c r="F12" s="170"/>
      <c r="G12" s="1046"/>
      <c r="H12" s="1046"/>
      <c r="I12" s="1046"/>
      <c r="J12" s="1046"/>
      <c r="K12" s="1046"/>
      <c r="L12" s="1046"/>
      <c r="M12" s="1046"/>
      <c r="N12" s="1046"/>
      <c r="O12" s="1046"/>
      <c r="P12" s="1046"/>
      <c r="Q12" s="1046"/>
      <c r="R12" s="1046"/>
      <c r="S12" s="1044"/>
      <c r="T12" s="1044"/>
      <c r="U12" s="1044"/>
      <c r="V12" s="1044"/>
      <c r="W12" s="1044"/>
      <c r="X12" s="1044"/>
      <c r="Y12" s="1044"/>
      <c r="Z12" s="1044"/>
      <c r="AA12" s="1044"/>
      <c r="AB12" s="1044"/>
      <c r="AC12" s="1044"/>
      <c r="AD12" s="1045"/>
      <c r="AI12" s="108"/>
      <c r="AJ12" s="108"/>
      <c r="AK12" s="30"/>
      <c r="AL12" s="108"/>
      <c r="AM12" s="29"/>
    </row>
    <row r="13" spans="1:39" ht="24.95" customHeight="1">
      <c r="A13" s="988"/>
      <c r="B13" s="989"/>
      <c r="C13" s="170" t="s">
        <v>482</v>
      </c>
      <c r="D13" s="170"/>
      <c r="E13" s="170"/>
      <c r="F13" s="170"/>
      <c r="G13" s="1046"/>
      <c r="H13" s="1046"/>
      <c r="I13" s="1046"/>
      <c r="J13" s="1046"/>
      <c r="K13" s="1046"/>
      <c r="L13" s="1046"/>
      <c r="M13" s="1046"/>
      <c r="N13" s="1046"/>
      <c r="O13" s="1046"/>
      <c r="P13" s="1046"/>
      <c r="Q13" s="1046"/>
      <c r="R13" s="1046"/>
      <c r="S13" s="1044"/>
      <c r="T13" s="1044"/>
      <c r="U13" s="1044"/>
      <c r="V13" s="1044"/>
      <c r="W13" s="1044"/>
      <c r="X13" s="1044"/>
      <c r="Y13" s="1044"/>
      <c r="Z13" s="1044"/>
      <c r="AA13" s="1044"/>
      <c r="AB13" s="1044"/>
      <c r="AC13" s="1044"/>
      <c r="AD13" s="1045"/>
      <c r="AI13" s="30"/>
      <c r="AJ13" s="30"/>
      <c r="AK13" s="30"/>
      <c r="AL13" s="30"/>
      <c r="AM13" s="29"/>
    </row>
    <row r="14" spans="1:39" ht="24.95" customHeight="1">
      <c r="A14" s="988"/>
      <c r="B14" s="989"/>
      <c r="C14" s="170" t="s">
        <v>483</v>
      </c>
      <c r="D14" s="170"/>
      <c r="E14" s="170"/>
      <c r="F14" s="170"/>
      <c r="G14" s="1046"/>
      <c r="H14" s="1046"/>
      <c r="I14" s="1046"/>
      <c r="J14" s="1046"/>
      <c r="K14" s="1046"/>
      <c r="L14" s="1046"/>
      <c r="M14" s="1046"/>
      <c r="N14" s="1046"/>
      <c r="O14" s="1046"/>
      <c r="P14" s="1046"/>
      <c r="Q14" s="1046"/>
      <c r="R14" s="1046"/>
      <c r="S14" s="1044"/>
      <c r="T14" s="1044"/>
      <c r="U14" s="1044"/>
      <c r="V14" s="1044"/>
      <c r="W14" s="1044"/>
      <c r="X14" s="1044"/>
      <c r="Y14" s="1044"/>
      <c r="Z14" s="1044"/>
      <c r="AA14" s="1044"/>
      <c r="AB14" s="1044"/>
      <c r="AC14" s="1044"/>
      <c r="AD14" s="1045"/>
      <c r="AI14" s="32"/>
      <c r="AJ14" s="32"/>
      <c r="AK14" s="30"/>
      <c r="AL14" s="32"/>
      <c r="AM14" s="29"/>
    </row>
    <row r="15" spans="1:39" ht="20.100000000000001" customHeight="1" thickBot="1">
      <c r="A15" s="990"/>
      <c r="B15" s="991"/>
      <c r="C15" s="1047" t="s">
        <v>484</v>
      </c>
      <c r="D15" s="1047"/>
      <c r="E15" s="1047"/>
      <c r="F15" s="1047"/>
      <c r="G15" s="1047"/>
      <c r="H15" s="1047"/>
      <c r="I15" s="1047"/>
      <c r="J15" s="922"/>
      <c r="K15" s="922"/>
      <c r="L15" s="922"/>
      <c r="M15" s="922"/>
      <c r="N15" s="922"/>
      <c r="O15" s="922"/>
      <c r="P15" s="922"/>
      <c r="Q15" s="922"/>
      <c r="R15" s="922"/>
      <c r="S15" s="922"/>
      <c r="T15" s="922"/>
      <c r="U15" s="922"/>
      <c r="V15" s="922"/>
      <c r="W15" s="922"/>
      <c r="X15" s="922"/>
      <c r="Y15" s="922"/>
      <c r="Z15" s="922"/>
      <c r="AA15" s="922"/>
      <c r="AB15" s="922"/>
      <c r="AC15" s="922"/>
      <c r="AD15" s="923"/>
      <c r="AI15" s="30"/>
      <c r="AJ15" s="30"/>
      <c r="AK15" s="30"/>
      <c r="AL15" s="30"/>
      <c r="AM15" s="29"/>
    </row>
    <row r="16" spans="1:39" ht="20.100000000000001" customHeight="1" thickBot="1">
      <c r="AI16" s="30"/>
      <c r="AJ16" s="30"/>
      <c r="AK16" s="30"/>
      <c r="AL16" s="30"/>
      <c r="AM16" s="29"/>
    </row>
    <row r="17" spans="1:39" ht="20.100000000000001" customHeight="1">
      <c r="A17" s="986" t="s">
        <v>310</v>
      </c>
      <c r="B17" s="1035"/>
      <c r="C17" s="992" t="s">
        <v>259</v>
      </c>
      <c r="D17" s="992"/>
      <c r="E17" s="992"/>
      <c r="F17" s="993"/>
      <c r="G17" s="993"/>
      <c r="H17" s="993"/>
      <c r="I17" s="993"/>
      <c r="J17" s="993"/>
      <c r="K17" s="993"/>
      <c r="L17" s="992" t="s">
        <v>342</v>
      </c>
      <c r="M17" s="992"/>
      <c r="N17" s="994"/>
      <c r="O17" s="994"/>
      <c r="P17" s="994"/>
      <c r="Q17" s="994"/>
      <c r="R17" s="994"/>
      <c r="S17" s="994"/>
      <c r="T17" s="994"/>
      <c r="U17" s="994"/>
      <c r="V17" s="994"/>
      <c r="W17" s="1052" t="s">
        <v>462</v>
      </c>
      <c r="X17" s="1052"/>
      <c r="Y17" s="1052"/>
      <c r="Z17" s="1052"/>
      <c r="AA17" s="994"/>
      <c r="AB17" s="994"/>
      <c r="AC17" s="994"/>
      <c r="AD17" s="1008"/>
      <c r="AF17" t="s">
        <v>464</v>
      </c>
      <c r="AI17" s="30"/>
      <c r="AJ17" s="30"/>
      <c r="AK17" s="32"/>
      <c r="AL17" s="32"/>
      <c r="AM17" s="32"/>
    </row>
    <row r="18" spans="1:39" ht="20.100000000000001" customHeight="1">
      <c r="A18" s="988"/>
      <c r="B18" s="1036"/>
      <c r="C18" s="366" t="s">
        <v>463</v>
      </c>
      <c r="D18" s="366"/>
      <c r="E18" s="366"/>
      <c r="F18" s="1053"/>
      <c r="G18" s="1053"/>
      <c r="H18" s="1054"/>
      <c r="I18" s="1055"/>
      <c r="J18" s="1055"/>
      <c r="K18" s="1055"/>
      <c r="L18" s="1056"/>
      <c r="M18" s="204" t="s">
        <v>265</v>
      </c>
      <c r="N18" s="204"/>
      <c r="O18" s="1001"/>
      <c r="P18" s="1002"/>
      <c r="Q18" s="204" t="s">
        <v>631</v>
      </c>
      <c r="R18" s="204"/>
      <c r="S18" s="204"/>
      <c r="T18" s="348"/>
      <c r="U18" s="349"/>
      <c r="V18" s="1003"/>
      <c r="W18" s="997" t="s">
        <v>632</v>
      </c>
      <c r="X18" s="152"/>
      <c r="Y18" s="152"/>
      <c r="Z18" s="152"/>
      <c r="AA18" s="153"/>
      <c r="AB18" s="543"/>
      <c r="AC18" s="544"/>
      <c r="AD18" s="1004"/>
      <c r="AF18" t="s">
        <v>633</v>
      </c>
      <c r="AI18" s="30"/>
      <c r="AJ18" s="30"/>
      <c r="AK18" s="32"/>
      <c r="AL18" s="32"/>
      <c r="AM18" s="32"/>
    </row>
    <row r="19" spans="1:39" ht="20.100000000000001" customHeight="1">
      <c r="A19" s="988"/>
      <c r="B19" s="1036"/>
      <c r="C19" s="366" t="s">
        <v>634</v>
      </c>
      <c r="D19" s="366"/>
      <c r="E19" s="366"/>
      <c r="F19" s="366"/>
      <c r="G19" s="366"/>
      <c r="H19" s="366"/>
      <c r="I19" s="366"/>
      <c r="J19" s="366"/>
      <c r="K19" s="366"/>
      <c r="L19" s="366"/>
      <c r="M19" s="366"/>
      <c r="N19" s="366"/>
      <c r="O19" s="511"/>
      <c r="P19" s="511"/>
      <c r="Q19" s="366" t="s">
        <v>635</v>
      </c>
      <c r="R19" s="366"/>
      <c r="S19" s="366"/>
      <c r="T19" s="366"/>
      <c r="U19" s="366"/>
      <c r="V19" s="366"/>
      <c r="W19" s="366"/>
      <c r="X19" s="366"/>
      <c r="Y19" s="366"/>
      <c r="Z19" s="366"/>
      <c r="AA19" s="366"/>
      <c r="AB19" s="366"/>
      <c r="AC19" s="511"/>
      <c r="AD19" s="512"/>
      <c r="AI19" s="108"/>
      <c r="AJ19" s="108"/>
      <c r="AK19" s="109"/>
      <c r="AL19" s="108"/>
      <c r="AM19" s="29"/>
    </row>
    <row r="20" spans="1:39" ht="20.100000000000001" customHeight="1">
      <c r="A20" s="988"/>
      <c r="B20" s="1036"/>
      <c r="C20" s="366" t="s">
        <v>636</v>
      </c>
      <c r="D20" s="366"/>
      <c r="E20" s="366"/>
      <c r="F20" s="366"/>
      <c r="G20" s="366"/>
      <c r="H20" s="366"/>
      <c r="I20" s="366"/>
      <c r="J20" s="366"/>
      <c r="K20" s="366"/>
      <c r="L20" s="366"/>
      <c r="M20" s="366"/>
      <c r="N20" s="366"/>
      <c r="O20" s="511"/>
      <c r="P20" s="511"/>
      <c r="Q20" s="366" t="s">
        <v>637</v>
      </c>
      <c r="R20" s="366"/>
      <c r="S20" s="366"/>
      <c r="T20" s="366"/>
      <c r="U20" s="366"/>
      <c r="V20" s="366"/>
      <c r="W20" s="366"/>
      <c r="X20" s="366"/>
      <c r="Y20" s="366"/>
      <c r="Z20" s="366"/>
      <c r="AA20" s="366"/>
      <c r="AB20" s="366"/>
      <c r="AC20" s="511"/>
      <c r="AD20" s="512"/>
      <c r="AI20" s="108"/>
      <c r="AJ20" s="108"/>
      <c r="AK20" s="30"/>
      <c r="AL20" s="108"/>
      <c r="AM20" s="29"/>
    </row>
    <row r="21" spans="1:39" ht="20.100000000000001" customHeight="1" thickBot="1">
      <c r="A21" s="990"/>
      <c r="B21" s="1037"/>
      <c r="C21" s="262" t="s">
        <v>113</v>
      </c>
      <c r="D21" s="262"/>
      <c r="E21" s="262"/>
      <c r="F21" s="262"/>
      <c r="G21" s="262"/>
      <c r="H21" s="262"/>
      <c r="I21" s="262"/>
      <c r="J21" s="513"/>
      <c r="K21" s="513"/>
      <c r="L21" s="513"/>
      <c r="M21" s="513"/>
      <c r="N21" s="513"/>
      <c r="O21" s="513"/>
      <c r="P21" s="513"/>
      <c r="Q21" s="262" t="s">
        <v>638</v>
      </c>
      <c r="R21" s="262"/>
      <c r="S21" s="262"/>
      <c r="T21" s="262"/>
      <c r="U21" s="262"/>
      <c r="V21" s="262"/>
      <c r="W21" s="262"/>
      <c r="X21" s="513"/>
      <c r="Y21" s="513"/>
      <c r="Z21" s="513"/>
      <c r="AA21" s="513"/>
      <c r="AB21" s="513"/>
      <c r="AC21" s="513"/>
      <c r="AD21" s="514"/>
      <c r="AI21" s="108"/>
      <c r="AJ21" s="108"/>
      <c r="AK21" s="30"/>
      <c r="AL21" s="108"/>
      <c r="AM21" s="29"/>
    </row>
    <row r="22" spans="1:39" ht="20.100000000000001" customHeight="1" thickBot="1">
      <c r="AI22" s="32"/>
      <c r="AJ22" s="32"/>
      <c r="AK22" s="107"/>
      <c r="AL22" s="31"/>
      <c r="AM22" s="31"/>
    </row>
    <row r="23" spans="1:39" ht="20.100000000000001" customHeight="1">
      <c r="A23" s="986" t="s">
        <v>274</v>
      </c>
      <c r="B23" s="987"/>
      <c r="C23" s="992" t="s">
        <v>259</v>
      </c>
      <c r="D23" s="992"/>
      <c r="E23" s="992"/>
      <c r="F23" s="993"/>
      <c r="G23" s="993"/>
      <c r="H23" s="993"/>
      <c r="I23" s="993"/>
      <c r="J23" s="993"/>
      <c r="K23" s="993"/>
      <c r="L23" s="992" t="s">
        <v>342</v>
      </c>
      <c r="M23" s="992"/>
      <c r="N23" s="994"/>
      <c r="O23" s="994"/>
      <c r="P23" s="994"/>
      <c r="Q23" s="994"/>
      <c r="R23" s="994"/>
      <c r="S23" s="994"/>
      <c r="T23" s="994"/>
      <c r="U23" s="994"/>
      <c r="V23" s="994"/>
      <c r="W23" s="995" t="s">
        <v>277</v>
      </c>
      <c r="X23" s="276"/>
      <c r="Y23" s="277"/>
      <c r="Z23" s="996"/>
      <c r="AA23" s="970"/>
      <c r="AB23" s="970"/>
      <c r="AC23" s="970"/>
      <c r="AD23" s="79" t="s">
        <v>278</v>
      </c>
      <c r="AF23" t="s">
        <v>464</v>
      </c>
      <c r="AI23" s="30"/>
      <c r="AJ23" s="30"/>
      <c r="AK23" s="30"/>
      <c r="AL23" s="30"/>
      <c r="AM23" s="29"/>
    </row>
    <row r="24" spans="1:39" ht="20.100000000000001" customHeight="1">
      <c r="A24" s="988"/>
      <c r="B24" s="989"/>
      <c r="C24" s="366" t="s">
        <v>463</v>
      </c>
      <c r="D24" s="366"/>
      <c r="E24" s="366"/>
      <c r="F24" s="366"/>
      <c r="G24" s="366"/>
      <c r="H24" s="511"/>
      <c r="I24" s="511"/>
      <c r="J24" s="511"/>
      <c r="K24" s="511"/>
      <c r="L24" s="511"/>
      <c r="M24" s="511"/>
      <c r="N24" s="511"/>
      <c r="O24" s="511"/>
      <c r="P24" s="511"/>
      <c r="Q24" s="997" t="s">
        <v>639</v>
      </c>
      <c r="R24" s="152"/>
      <c r="S24" s="152"/>
      <c r="T24" s="152"/>
      <c r="U24" s="152"/>
      <c r="V24" s="152"/>
      <c r="W24" s="152"/>
      <c r="X24" s="152"/>
      <c r="Y24" s="152"/>
      <c r="Z24" s="152"/>
      <c r="AA24" s="153"/>
      <c r="AB24" s="893"/>
      <c r="AC24" s="894"/>
      <c r="AD24" s="998"/>
      <c r="AF24" t="s">
        <v>640</v>
      </c>
    </row>
    <row r="25" spans="1:39" ht="20.100000000000001" customHeight="1" thickBot="1">
      <c r="A25" s="990"/>
      <c r="B25" s="991"/>
      <c r="C25" s="999" t="s">
        <v>111</v>
      </c>
      <c r="D25" s="516"/>
      <c r="E25" s="516"/>
      <c r="F25" s="516"/>
      <c r="G25" s="516"/>
      <c r="H25" s="516"/>
      <c r="I25" s="516"/>
      <c r="J25" s="516"/>
      <c r="K25" s="516"/>
      <c r="L25" s="516"/>
      <c r="M25" s="517"/>
      <c r="N25" s="922"/>
      <c r="O25" s="1000"/>
      <c r="P25" s="80" t="s">
        <v>303</v>
      </c>
      <c r="Q25" s="999" t="s">
        <v>641</v>
      </c>
      <c r="R25" s="516"/>
      <c r="S25" s="516"/>
      <c r="T25" s="516"/>
      <c r="U25" s="516"/>
      <c r="V25" s="516"/>
      <c r="W25" s="516"/>
      <c r="X25" s="516"/>
      <c r="Y25" s="516"/>
      <c r="Z25" s="516"/>
      <c r="AA25" s="517"/>
      <c r="AB25" s="922"/>
      <c r="AC25" s="1000"/>
      <c r="AD25" s="81" t="s">
        <v>303</v>
      </c>
    </row>
    <row r="26" spans="1:39" ht="15.75" thickBot="1"/>
    <row r="27" spans="1:39" ht="21">
      <c r="A27" s="1048" t="s">
        <v>485</v>
      </c>
      <c r="B27" s="1049"/>
      <c r="C27" s="1049"/>
      <c r="D27" s="1049"/>
      <c r="E27" s="1049"/>
      <c r="F27" s="1049"/>
      <c r="G27" s="1049"/>
      <c r="H27" s="1049"/>
      <c r="I27" s="1049"/>
      <c r="J27" s="1049"/>
      <c r="K27" s="1049"/>
      <c r="L27" s="1049"/>
      <c r="M27" s="1049"/>
      <c r="N27" s="1049"/>
      <c r="O27" s="1049"/>
      <c r="P27" s="1049"/>
      <c r="Q27" s="1049"/>
      <c r="R27" s="1049"/>
      <c r="S27" s="1049"/>
      <c r="T27" s="1049"/>
      <c r="U27" s="1049"/>
      <c r="V27" s="1049"/>
      <c r="W27" s="1049"/>
      <c r="X27" s="1049"/>
      <c r="Y27" s="1049"/>
      <c r="Z27" s="1049"/>
      <c r="AA27" s="1049"/>
      <c r="AB27" s="1049"/>
      <c r="AC27" s="1049"/>
      <c r="AD27" s="1050"/>
      <c r="AF27" t="s">
        <v>486</v>
      </c>
    </row>
    <row r="28" spans="1:39">
      <c r="A28" s="1051" t="s">
        <v>487</v>
      </c>
      <c r="B28" s="1051"/>
      <c r="C28" s="1051"/>
      <c r="D28" s="1051"/>
      <c r="E28" s="170" t="s">
        <v>260</v>
      </c>
      <c r="F28" s="170"/>
      <c r="G28" s="170"/>
      <c r="H28" s="893"/>
      <c r="I28" s="894"/>
      <c r="J28" s="894"/>
      <c r="K28" s="894"/>
      <c r="L28" s="894"/>
      <c r="M28" s="894"/>
      <c r="N28" s="895"/>
      <c r="O28" s="997" t="s">
        <v>269</v>
      </c>
      <c r="P28" s="152"/>
      <c r="Q28" s="153"/>
      <c r="R28" s="893"/>
      <c r="S28" s="894"/>
      <c r="T28" s="894"/>
      <c r="U28" s="895"/>
      <c r="V28" s="170" t="s">
        <v>304</v>
      </c>
      <c r="W28" s="170"/>
      <c r="X28" s="170"/>
      <c r="Y28" s="906"/>
      <c r="Z28" s="906"/>
      <c r="AA28" s="906"/>
      <c r="AB28" s="906"/>
      <c r="AC28" s="906"/>
      <c r="AD28" s="906"/>
    </row>
    <row r="29" spans="1:39">
      <c r="A29" s="1051" t="s">
        <v>316</v>
      </c>
      <c r="B29" s="1051"/>
      <c r="C29" s="1051"/>
      <c r="D29" s="1051"/>
      <c r="E29" s="170" t="s">
        <v>259</v>
      </c>
      <c r="F29" s="170"/>
      <c r="G29" s="170"/>
      <c r="H29" s="906"/>
      <c r="I29" s="906"/>
      <c r="J29" s="906"/>
      <c r="K29" s="906"/>
      <c r="L29" s="170" t="s">
        <v>488</v>
      </c>
      <c r="M29" s="170"/>
      <c r="N29" s="170"/>
      <c r="O29" s="170"/>
      <c r="P29" s="906"/>
      <c r="Q29" s="906"/>
      <c r="R29" s="906"/>
      <c r="S29" s="906"/>
      <c r="T29" s="906"/>
      <c r="U29" s="906"/>
      <c r="V29" s="170" t="s">
        <v>307</v>
      </c>
      <c r="W29" s="170"/>
      <c r="X29" s="170"/>
      <c r="Y29" s="906"/>
      <c r="Z29" s="906"/>
      <c r="AA29" s="906"/>
      <c r="AB29" s="906"/>
      <c r="AC29" s="906"/>
      <c r="AD29" s="906"/>
    </row>
    <row r="30" spans="1:39" ht="15.75" thickBot="1">
      <c r="A30" s="1057" t="s">
        <v>489</v>
      </c>
      <c r="B30" s="1057"/>
      <c r="C30" s="1057"/>
      <c r="D30" s="1057"/>
      <c r="E30" s="262" t="s">
        <v>260</v>
      </c>
      <c r="F30" s="262"/>
      <c r="G30" s="262"/>
      <c r="H30" s="1000"/>
      <c r="I30" s="1058"/>
      <c r="J30" s="1058"/>
      <c r="K30" s="1058"/>
      <c r="L30" s="1058"/>
      <c r="M30" s="1058"/>
      <c r="N30" s="1058"/>
      <c r="O30" s="1058"/>
      <c r="P30" s="1058"/>
      <c r="Q30" s="1059"/>
      <c r="R30" s="999" t="s">
        <v>488</v>
      </c>
      <c r="S30" s="516"/>
      <c r="T30" s="516"/>
      <c r="U30" s="517"/>
      <c r="V30" s="1000"/>
      <c r="W30" s="1058"/>
      <c r="X30" s="1058"/>
      <c r="Y30" s="1058"/>
      <c r="Z30" s="1058"/>
      <c r="AA30" s="1058"/>
      <c r="AB30" s="1058"/>
      <c r="AC30" s="1058"/>
      <c r="AD30" s="1058"/>
      <c r="AF30" t="s">
        <v>490</v>
      </c>
    </row>
  </sheetData>
  <sheetProtection algorithmName="SHA-512" hashValue="jMmQJ0hAN9l4/WyzWWe2hnTVzog/s/yJgAGzSGGg6J95nwoezs5o8rKCzGEJadNiUcKaSyQv9w6GEURQlG+YUA==" saltValue="FByJrvBbMDNjtXLiYLunyg==" spinCount="100000" sheet="1" objects="1" scenarios="1"/>
  <mergeCells count="128">
    <mergeCell ref="C21:I21"/>
    <mergeCell ref="J21:P21"/>
    <mergeCell ref="Q21:W21"/>
    <mergeCell ref="A17:B21"/>
    <mergeCell ref="X21:AD21"/>
    <mergeCell ref="C4:I4"/>
    <mergeCell ref="J4:P4"/>
    <mergeCell ref="Q4:W4"/>
    <mergeCell ref="X4:AD4"/>
    <mergeCell ref="Q6:W6"/>
    <mergeCell ref="C7:I7"/>
    <mergeCell ref="J7:P7"/>
    <mergeCell ref="Q7:W7"/>
    <mergeCell ref="X7:AD7"/>
    <mergeCell ref="C6:I6"/>
    <mergeCell ref="C5:I5"/>
    <mergeCell ref="J5:P5"/>
    <mergeCell ref="Q5:W5"/>
    <mergeCell ref="X5:AD5"/>
    <mergeCell ref="C8:N8"/>
    <mergeCell ref="O8:P8"/>
    <mergeCell ref="Q8:AB8"/>
    <mergeCell ref="AC8:AD8"/>
    <mergeCell ref="G13:L13"/>
    <mergeCell ref="AA1:AD1"/>
    <mergeCell ref="C2:E2"/>
    <mergeCell ref="F2:G2"/>
    <mergeCell ref="I2:L2"/>
    <mergeCell ref="M2:O2"/>
    <mergeCell ref="P2:T2"/>
    <mergeCell ref="U2:Z2"/>
    <mergeCell ref="AB2:AC2"/>
    <mergeCell ref="C1:E1"/>
    <mergeCell ref="F1:L1"/>
    <mergeCell ref="M1:N1"/>
    <mergeCell ref="O1:W1"/>
    <mergeCell ref="X1:Z1"/>
    <mergeCell ref="O9:P9"/>
    <mergeCell ref="Q9:AB9"/>
    <mergeCell ref="AC9:AD9"/>
    <mergeCell ref="C10:F11"/>
    <mergeCell ref="G10:R10"/>
    <mergeCell ref="S10:AD10"/>
    <mergeCell ref="G11:L11"/>
    <mergeCell ref="M11:R11"/>
    <mergeCell ref="S11:X11"/>
    <mergeCell ref="M13:R13"/>
    <mergeCell ref="S13:X13"/>
    <mergeCell ref="Y13:AD13"/>
    <mergeCell ref="C14:F14"/>
    <mergeCell ref="G14:L14"/>
    <mergeCell ref="M14:R14"/>
    <mergeCell ref="S14:X14"/>
    <mergeCell ref="Y14:AD14"/>
    <mergeCell ref="A1:B15"/>
    <mergeCell ref="X3:AD3"/>
    <mergeCell ref="C15:I15"/>
    <mergeCell ref="J15:AD15"/>
    <mergeCell ref="C3:N3"/>
    <mergeCell ref="O3:P3"/>
    <mergeCell ref="Q3:W3"/>
    <mergeCell ref="X6:AD6"/>
    <mergeCell ref="J6:P6"/>
    <mergeCell ref="Y11:AD11"/>
    <mergeCell ref="C12:F12"/>
    <mergeCell ref="G12:L12"/>
    <mergeCell ref="M12:R12"/>
    <mergeCell ref="S12:X12"/>
    <mergeCell ref="Y12:AD12"/>
    <mergeCell ref="C9:N9"/>
    <mergeCell ref="C17:E17"/>
    <mergeCell ref="F17:K17"/>
    <mergeCell ref="L17:M17"/>
    <mergeCell ref="N17:V17"/>
    <mergeCell ref="W17:Z17"/>
    <mergeCell ref="AA17:AD17"/>
    <mergeCell ref="C18:G18"/>
    <mergeCell ref="C13:F13"/>
    <mergeCell ref="C24:G24"/>
    <mergeCell ref="H24:P24"/>
    <mergeCell ref="Q24:AA24"/>
    <mergeCell ref="AB24:AD24"/>
    <mergeCell ref="C19:N19"/>
    <mergeCell ref="O19:P19"/>
    <mergeCell ref="Q19:AB19"/>
    <mergeCell ref="AC19:AD19"/>
    <mergeCell ref="C20:N20"/>
    <mergeCell ref="O20:P20"/>
    <mergeCell ref="Q20:AB20"/>
    <mergeCell ref="AC20:AD20"/>
    <mergeCell ref="H18:L18"/>
    <mergeCell ref="M18:N18"/>
    <mergeCell ref="O18:P18"/>
    <mergeCell ref="Q18:S18"/>
    <mergeCell ref="C25:M25"/>
    <mergeCell ref="N25:O25"/>
    <mergeCell ref="Q25:AA25"/>
    <mergeCell ref="AB25:AC25"/>
    <mergeCell ref="A23:B25"/>
    <mergeCell ref="C23:E23"/>
    <mergeCell ref="F23:K23"/>
    <mergeCell ref="L23:M23"/>
    <mergeCell ref="N23:V23"/>
    <mergeCell ref="W23:Y23"/>
    <mergeCell ref="V30:AD30"/>
    <mergeCell ref="H30:Q30"/>
    <mergeCell ref="W18:AA18"/>
    <mergeCell ref="T18:V18"/>
    <mergeCell ref="AB18:AD18"/>
    <mergeCell ref="A29:D29"/>
    <mergeCell ref="H29:K29"/>
    <mergeCell ref="L29:O29"/>
    <mergeCell ref="P29:U29"/>
    <mergeCell ref="V29:X29"/>
    <mergeCell ref="Y29:AD29"/>
    <mergeCell ref="A30:D30"/>
    <mergeCell ref="R30:U30"/>
    <mergeCell ref="H28:N28"/>
    <mergeCell ref="O28:Q28"/>
    <mergeCell ref="R28:U28"/>
    <mergeCell ref="V28:X28"/>
    <mergeCell ref="Y28:AD28"/>
    <mergeCell ref="E30:G30"/>
    <mergeCell ref="E29:G29"/>
    <mergeCell ref="E28:G28"/>
    <mergeCell ref="A27:AD27"/>
    <mergeCell ref="A28:D28"/>
    <mergeCell ref="Z23:AC23"/>
  </mergeCells>
  <dataValidations count="5">
    <dataValidation type="list" allowBlank="1" sqref="O19:O20 AC8:AD9 O3 O8:O9 AC19:AD20" xr:uid="{C5BC1536-F530-4BA0-AF0E-5E805CC0ED30}">
      <formula1>L_Oui_Non</formula1>
    </dataValidation>
    <dataValidation type="list" allowBlank="1" sqref="M2" xr:uid="{0931AB73-1542-47D2-B508-81487A0148CE}">
      <formula1>L_Techno_Comp</formula1>
    </dataValidation>
    <dataValidation type="list" allowBlank="1" sqref="AA17:AD17" xr:uid="{29CC8BD2-E6CE-404B-92E4-6856DC81CC86}">
      <formula1>L_Techno_Sécheur</formula1>
    </dataValidation>
    <dataValidation type="list" allowBlank="1" sqref="J7:P7" xr:uid="{CF9D28C3-9E10-4AED-B04C-DAF9C3B4C270}">
      <formula1>Type_PTG</formula1>
    </dataValidation>
    <dataValidation type="list" allowBlank="1" sqref="AA1:AD1" xr:uid="{2B257829-2BBC-4BD2-BD57-D7DB5DF8956B}">
      <formula1>L_Huile</formula1>
    </dataValidation>
  </dataValidations>
  <printOptions horizontalCentered="1" verticalCentered="1"/>
  <pageMargins left="0.23622047244094488" right="0.23622047244094488" top="0.23622047244094488" bottom="0.23622047244094488" header="0.31496062992125984" footer="0.31496062992125984"/>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d60af7c-577b-4a2a-ba02-231db67517bd">
      <Terms xmlns="http://schemas.microsoft.com/office/infopath/2007/PartnerControls"/>
    </lcf76f155ced4ddcb4097134ff3c332f>
    <TaxCatchAll xmlns="3a24876f-a420-45f1-91de-5c1f22ef7d7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04A5F3D35E98D419AA503EAD4C4DFF0" ma:contentTypeVersion="14" ma:contentTypeDescription="Crée un document." ma:contentTypeScope="" ma:versionID="3f8ae03ebaba0c543239e34da042dbb7">
  <xsd:schema xmlns:xsd="http://www.w3.org/2001/XMLSchema" xmlns:xs="http://www.w3.org/2001/XMLSchema" xmlns:p="http://schemas.microsoft.com/office/2006/metadata/properties" xmlns:ns2="ed60af7c-577b-4a2a-ba02-231db67517bd" xmlns:ns3="3a24876f-a420-45f1-91de-5c1f22ef7d75" targetNamespace="http://schemas.microsoft.com/office/2006/metadata/properties" ma:root="true" ma:fieldsID="558c293b4ae448f68ce7c397ba8b1298" ns2:_="" ns3:_="">
    <xsd:import namespace="ed60af7c-577b-4a2a-ba02-231db67517bd"/>
    <xsd:import namespace="3a24876f-a420-45f1-91de-5c1f22ef7d7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GenerationTime" minOccurs="0"/>
                <xsd:element ref="ns2:MediaServiceEventHashCode" minOccurs="0"/>
                <xsd:element ref="ns2:MediaServiceOCR"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d60af7c-577b-4a2a-ba02-231db67517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Location" ma:index="14" nillable="true" ma:displayName="Location" ma:internalName="MediaServiceLocatio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6169f471-b7c4-4b79-a95a-d7d4dd15d25d"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a24876f-a420-45f1-91de-5c1f22ef7d75"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TaxCatchAll" ma:index="20" nillable="true" ma:displayName="Taxonomy Catch All Column" ma:hidden="true" ma:list="{61e82546-a800-49c3-839c-83c4a33296af}" ma:internalName="TaxCatchAll" ma:showField="CatchAllData" ma:web="3a24876f-a420-45f1-91de-5c1f22ef7d7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85A0746-AC7B-4FAC-9098-810B3B403FC0}">
  <ds:schemaRefs>
    <ds:schemaRef ds:uri="ed60af7c-577b-4a2a-ba02-231db67517bd"/>
    <ds:schemaRef ds:uri="http://schemas.microsoft.com/office/2006/metadata/properties"/>
    <ds:schemaRef ds:uri="http://www.w3.org/XML/1998/namespace"/>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a24876f-a420-45f1-91de-5c1f22ef7d75"/>
    <ds:schemaRef ds:uri="http://purl.org/dc/terms/"/>
  </ds:schemaRefs>
</ds:datastoreItem>
</file>

<file path=customXml/itemProps2.xml><?xml version="1.0" encoding="utf-8"?>
<ds:datastoreItem xmlns:ds="http://schemas.openxmlformats.org/officeDocument/2006/customXml" ds:itemID="{440C7FE1-30F5-4DD1-A0A8-0C470CE763E2}">
  <ds:schemaRefs>
    <ds:schemaRef ds:uri="http://schemas.microsoft.com/sharepoint/v3/contenttype/forms"/>
  </ds:schemaRefs>
</ds:datastoreItem>
</file>

<file path=customXml/itemProps3.xml><?xml version="1.0" encoding="utf-8"?>
<ds:datastoreItem xmlns:ds="http://schemas.openxmlformats.org/officeDocument/2006/customXml" ds:itemID="{68AC2258-F6BF-40CF-A234-4641D51E94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d60af7c-577b-4a2a-ba02-231db67517bd"/>
    <ds:schemaRef ds:uri="3a24876f-a420-45f1-91de-5c1f22ef7d7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9708FEA-7B3A-400F-A862-F8C1DD7ED4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54</vt:i4>
      </vt:variant>
    </vt:vector>
  </HeadingPairs>
  <TitlesOfParts>
    <vt:vector size="74" baseType="lpstr">
      <vt:lpstr>Projet</vt:lpstr>
      <vt:lpstr>Offre commerciale</vt:lpstr>
      <vt:lpstr>Calculette Réseau</vt:lpstr>
      <vt:lpstr>Eau Glacée</vt:lpstr>
      <vt:lpstr>Air Comprimé</vt:lpstr>
      <vt:lpstr>SSE</vt:lpstr>
      <vt:lpstr>PV de Réception</vt:lpstr>
      <vt:lpstr>Retour d'expérience</vt:lpstr>
      <vt:lpstr>Dde Transport</vt:lpstr>
      <vt:lpstr>Liv Direct</vt:lpstr>
      <vt:lpstr>Garantie Kaeser - Modèle</vt:lpstr>
      <vt:lpstr>Mise en Service</vt:lpstr>
      <vt:lpstr>Modif</vt:lpstr>
      <vt:lpstr>Test</vt:lpstr>
      <vt:lpstr>Descente</vt:lpstr>
      <vt:lpstr>Equivalence</vt:lpstr>
      <vt:lpstr>Information</vt:lpstr>
      <vt:lpstr>BasePrix</vt:lpstr>
      <vt:lpstr>MeS - Page</vt:lpstr>
      <vt:lpstr>MeS - Détail</vt:lpstr>
      <vt:lpstr>Affaire_Div</vt:lpstr>
      <vt:lpstr>ChargéAF</vt:lpstr>
      <vt:lpstr>Client</vt:lpstr>
      <vt:lpstr>Code_Client_Divalto</vt:lpstr>
      <vt:lpstr>Commercial</vt:lpstr>
      <vt:lpstr>Condition_de_paiement</vt:lpstr>
      <vt:lpstr>Fonc_Interloc</vt:lpstr>
      <vt:lpstr>ICA</vt:lpstr>
      <vt:lpstr>'MeS - Page'!Impression_des_titres</vt:lpstr>
      <vt:lpstr>'Mise en Service'!Impression_des_titres</vt:lpstr>
      <vt:lpstr>Projet!Impression_des_titres</vt:lpstr>
      <vt:lpstr>'PV de Réception'!Impression_des_titres</vt:lpstr>
      <vt:lpstr>SSE!Impression_des_titres</vt:lpstr>
      <vt:lpstr>Interlocuteur</vt:lpstr>
      <vt:lpstr>L_Adresses</vt:lpstr>
      <vt:lpstr>L_Agence</vt:lpstr>
      <vt:lpstr>L_Charge</vt:lpstr>
      <vt:lpstr>L_Hauteur</vt:lpstr>
      <vt:lpstr>L_Huile</vt:lpstr>
      <vt:lpstr>L_Matière_Cuve</vt:lpstr>
      <vt:lpstr>L_Matière_Réseau</vt:lpstr>
      <vt:lpstr>L_Métrologie</vt:lpstr>
      <vt:lpstr>L_Niveau_filtration</vt:lpstr>
      <vt:lpstr>L_OffreàEnvoyer</vt:lpstr>
      <vt:lpstr>L_Oui_Non</vt:lpstr>
      <vt:lpstr>L_Position_Cuve</vt:lpstr>
      <vt:lpstr>L_RécupCalo</vt:lpstr>
      <vt:lpstr>L_Régulation</vt:lpstr>
      <vt:lpstr>L_Repris</vt:lpstr>
      <vt:lpstr>L_Responsabilité</vt:lpstr>
      <vt:lpstr>L_Status</vt:lpstr>
      <vt:lpstr>L_Suiteà</vt:lpstr>
      <vt:lpstr>L_Techno_Comp</vt:lpstr>
      <vt:lpstr>L_Techno_Sécheur</vt:lpstr>
      <vt:lpstr>L_Travaux</vt:lpstr>
      <vt:lpstr>L_Type_Installation</vt:lpstr>
      <vt:lpstr>L_TypedeMurs</vt:lpstr>
      <vt:lpstr>L_Vrai_Faux</vt:lpstr>
      <vt:lpstr>Num_Devis</vt:lpstr>
      <vt:lpstr>Projet_SF</vt:lpstr>
      <vt:lpstr>Type_PTG</vt:lpstr>
      <vt:lpstr>'Air Comprimé'!Zone_d_impression</vt:lpstr>
      <vt:lpstr>'Dde Transport'!Zone_d_impression</vt:lpstr>
      <vt:lpstr>'Eau Glacée'!Zone_d_impression</vt:lpstr>
      <vt:lpstr>'Garantie Kaeser - Modèle'!Zone_d_impression</vt:lpstr>
      <vt:lpstr>'Liv Direct'!Zone_d_impression</vt:lpstr>
      <vt:lpstr>'MeS - Détail'!Zone_d_impression</vt:lpstr>
      <vt:lpstr>'MeS - Page'!Zone_d_impression</vt:lpstr>
      <vt:lpstr>'Mise en Service'!Zone_d_impression</vt:lpstr>
      <vt:lpstr>'Offre commerciale'!Zone_d_impression</vt:lpstr>
      <vt:lpstr>Projet!Zone_d_impression</vt:lpstr>
      <vt:lpstr>'PV de Réception'!Zone_d_impression</vt:lpstr>
      <vt:lpstr>'Retour d''expérience'!Zone_d_impression</vt:lpstr>
      <vt:lpstr>SSE!Zone_d_impression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MATHIEU</dc:creator>
  <cp:keywords/>
  <dc:description/>
  <cp:lastModifiedBy>Thomas MATHIEU</cp:lastModifiedBy>
  <cp:revision/>
  <cp:lastPrinted>2022-11-15T15:14:47Z</cp:lastPrinted>
  <dcterms:created xsi:type="dcterms:W3CDTF">2021-06-03T10:53:56Z</dcterms:created>
  <dcterms:modified xsi:type="dcterms:W3CDTF">2023-03-30T13:08:10Z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0x010100504A5F3D35E98D419AA503EAD4C4DFF0</vt:lpwstr>
  </property>
  <property fmtid="{D5CDD505-2E9C-101B-9397-08002B2CF9AE}" pid="3" name="MediaServiceImageTags">
    <vt:lpwstr/>
  </property>
</Properties>
</file>