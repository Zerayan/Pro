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8.xml" ContentType="application/vnd.openxmlformats-officedocument.drawing+xml"/>
  <Override PartName="/xl/ctrlProps/ctrlProp7.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drawings/drawing12.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irfluxonline.sharepoint.com/sites/coworking_travauxneufs/Documents partages/General/Documents Modèle Affaire/"/>
    </mc:Choice>
  </mc:AlternateContent>
  <xr:revisionPtr revIDLastSave="351" documentId="13_ncr:1_{6C549D65-5F5B-413C-BA69-2F15CC7DB535}" xr6:coauthVersionLast="47" xr6:coauthVersionMax="47" xr10:uidLastSave="{2F7E589F-174D-43D1-9DA3-AF70BDA14A85}"/>
  <bookViews>
    <workbookView xWindow="-120" yWindow="-120" windowWidth="29040" windowHeight="15840" tabRatio="896" activeTab="11" xr2:uid="{F6CC86A3-AAB0-4DBA-B791-F0F45E27CBA8}"/>
  </bookViews>
  <sheets>
    <sheet name="Projet" sheetId="1" r:id="rId1"/>
    <sheet name="Offre commerciale" sheetId="41" r:id="rId2"/>
    <sheet name="Eau Glacée" sheetId="2" r:id="rId3"/>
    <sheet name="Air Comprimé" sheetId="3" r:id="rId4"/>
    <sheet name="SSE" sheetId="4" r:id="rId5"/>
    <sheet name="PV de Réception" sheetId="8" r:id="rId6"/>
    <sheet name="Retour d'expérience" sheetId="37" r:id="rId7"/>
    <sheet name="Dde Transport" sheetId="84" r:id="rId8"/>
    <sheet name="Liv Direct" sheetId="85" r:id="rId9"/>
    <sheet name="Garantie Kaeser - Modèle" sheetId="87" r:id="rId10"/>
    <sheet name="Mise en Service" sheetId="86" r:id="rId11"/>
    <sheet name="Modif" sheetId="68" r:id="rId12"/>
    <sheet name="Test" sheetId="13" state="hidden" r:id="rId13"/>
    <sheet name="Information" sheetId="5" state="hidden" r:id="rId14"/>
    <sheet name="MeS - Page" sheetId="14" state="hidden" r:id="rId15"/>
    <sheet name="MeS - Détail" sheetId="70" state="hidden" r:id="rId16"/>
  </sheets>
  <definedNames>
    <definedName name="Affaire_Div">Projet!$U$8</definedName>
    <definedName name="ChargéAF">Projet!$G$9</definedName>
    <definedName name="Client">Projet!$U$5</definedName>
    <definedName name="Code_Client_Divalto">Projet!$U$7</definedName>
    <definedName name="Commercial">Projet!$G$7</definedName>
    <definedName name="Condition_de_paiement">Information!$X$2:$X$5</definedName>
    <definedName name="Fonc_Interloc">Projet!$F$12</definedName>
    <definedName name="ICA">Projet!$G$8</definedName>
    <definedName name="_xlnm.Print_Titles" localSheetId="14">'MeS - Page'!$1:$10</definedName>
    <definedName name="_xlnm.Print_Titles" localSheetId="10">'Mise en Service'!$1:$10</definedName>
    <definedName name="_xlnm.Print_Titles" localSheetId="0">Projet!$1:$9</definedName>
    <definedName name="_xlnm.Print_Titles" localSheetId="5">'PV de Réception'!$1:$9</definedName>
    <definedName name="_xlnm.Print_Titles" localSheetId="4">SSE!$1:$9</definedName>
    <definedName name="Interlocuteur">Projet!$F$11</definedName>
    <definedName name="L_Adresses">Information!$V$2:$V$7</definedName>
    <definedName name="L_Agence">Information!$U$2:$U$7</definedName>
    <definedName name="L_Charge">Information!$E$2:$E$5</definedName>
    <definedName name="L_Huile">Information!$P$2:$P$6</definedName>
    <definedName name="L_Matière_Cuve">Information!$G$2:$G$5</definedName>
    <definedName name="L_Matière_Réseau">Information!$M$2:$M$5</definedName>
    <definedName name="L_Métrologie">Information!$L$2:$L$7</definedName>
    <definedName name="L_Niveau_filtration">Information!$J$2:$J$7</definedName>
    <definedName name="L_OffreàEnvoyer">Information!$R$3:$R$7</definedName>
    <definedName name="L_Oui_Non">Information!$B$2:$B$5</definedName>
    <definedName name="L_Position_Cuve">Information!$H$2:$H$4</definedName>
    <definedName name="L_RécupCalo">Information!$T$2:$T$5</definedName>
    <definedName name="L_Régulation">Information!$K$2:$K$7</definedName>
    <definedName name="L_Repris">Information!$F$2:$F$5</definedName>
    <definedName name="L_Responsabilité">Information!$D$2:$D$4</definedName>
    <definedName name="L_Status">Information!$A$2:$A$5</definedName>
    <definedName name="L_Suiteà">Information!$Q$3:$Q$5</definedName>
    <definedName name="L_Techno_Comp">Information!$O$2:$O$5</definedName>
    <definedName name="L_Techno_Sécheur">Information!$I$2:$I$5</definedName>
    <definedName name="L_Travaux">Information!$C$2:$C$6</definedName>
    <definedName name="L_Type_Installation">Information!$N$2:$N$7</definedName>
    <definedName name="L_TypedeMurs">Information!$S$2:$S$5</definedName>
    <definedName name="Num_Devis">Projet!$U$6</definedName>
    <definedName name="Projet_SF">Projet!$U$9</definedName>
    <definedName name="Type_PTG">Information!$W$2:$W$4</definedName>
    <definedName name="_xlnm.Print_Area" localSheetId="3">'Air Comprimé'!$A$1:$AO$57</definedName>
    <definedName name="_xlnm.Print_Area" localSheetId="7">'Dde Transport'!$A$1:$AD$43</definedName>
    <definedName name="_xlnm.Print_Area" localSheetId="2">'Eau Glacée'!$A$1:$AO$49</definedName>
    <definedName name="_xlnm.Print_Area" localSheetId="9">'Garantie Kaeser - Modèle'!$A$1:$AD$47</definedName>
    <definedName name="_xlnm.Print_Area" localSheetId="8">'Liv Direct'!$A$1:$AD$37</definedName>
    <definedName name="_xlnm.Print_Area" localSheetId="15">'MeS - Détail'!$A$1:$AD$30</definedName>
    <definedName name="_xlnm.Print_Area" localSheetId="14">'MeS - Page'!$A$1:$AD$18</definedName>
    <definedName name="_xlnm.Print_Area" localSheetId="10">'Mise en Service'!$A$1:$AD$76</definedName>
    <definedName name="_xlnm.Print_Area" localSheetId="1">'Offre commerciale'!$A$1:$AL$112</definedName>
    <definedName name="_xlnm.Print_Area" localSheetId="0">Projet!$A$1:$AD$75</definedName>
    <definedName name="_xlnm.Print_Area" localSheetId="5">'PV de Réception'!$A$1:$AD$43</definedName>
    <definedName name="_xlnm.Print_Area" localSheetId="6">'Retour d''expérience'!$A$1:$AD$29</definedName>
    <definedName name="_xlnm.Print_Area" localSheetId="4">SSE!$A$1:$AD$28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H107" i="41" l="1"/>
  <c r="AH108" i="41"/>
  <c r="AK23" i="41"/>
  <c r="AH23" i="41"/>
  <c r="AB23" i="41"/>
  <c r="AK99" i="41"/>
  <c r="AH99" i="41"/>
  <c r="AB99" i="41"/>
  <c r="F18" i="84"/>
  <c r="F23" i="84"/>
  <c r="P18" i="8"/>
  <c r="Y39" i="87"/>
  <c r="R39" i="87"/>
  <c r="Y37" i="87"/>
  <c r="R37" i="87"/>
  <c r="Y35" i="87"/>
  <c r="R35" i="87"/>
  <c r="Y23" i="87"/>
  <c r="R23" i="87"/>
  <c r="Y21" i="87"/>
  <c r="R21" i="87"/>
  <c r="Y19" i="87"/>
  <c r="R19" i="87"/>
  <c r="E29" i="87"/>
  <c r="A29" i="87"/>
  <c r="A28" i="87"/>
  <c r="A27" i="87"/>
  <c r="A26" i="87"/>
  <c r="E24" i="87"/>
  <c r="A24" i="87"/>
  <c r="A23" i="87"/>
  <c r="A22" i="87"/>
  <c r="A21" i="87"/>
  <c r="H19" i="87"/>
  <c r="H18" i="87"/>
  <c r="E13" i="87"/>
  <c r="A13" i="87"/>
  <c r="A12" i="87"/>
  <c r="A11" i="87"/>
  <c r="A10" i="87"/>
  <c r="H3" i="87"/>
  <c r="E8" i="87"/>
  <c r="A8" i="87"/>
  <c r="A7" i="87"/>
  <c r="A6" i="87"/>
  <c r="A5" i="87"/>
  <c r="H2" i="87"/>
  <c r="D33" i="87"/>
  <c r="Z13" i="86"/>
  <c r="U9" i="86"/>
  <c r="G9" i="86"/>
  <c r="U8" i="86"/>
  <c r="G8" i="86"/>
  <c r="U7" i="86"/>
  <c r="G7" i="86"/>
  <c r="U5" i="86"/>
  <c r="I6" i="13"/>
  <c r="A18" i="8"/>
  <c r="A34" i="85"/>
  <c r="K34" i="85"/>
  <c r="U37" i="85"/>
  <c r="U35" i="85"/>
  <c r="S14" i="85"/>
  <c r="F14" i="85"/>
  <c r="F12" i="85"/>
  <c r="U9" i="85"/>
  <c r="G9" i="85"/>
  <c r="U8" i="85"/>
  <c r="G8" i="85"/>
  <c r="U7" i="85"/>
  <c r="G7" i="85"/>
  <c r="U6" i="85"/>
  <c r="U5" i="85"/>
  <c r="S13" i="84"/>
  <c r="S14" i="84"/>
  <c r="U9" i="84"/>
  <c r="G9" i="84"/>
  <c r="U8" i="84"/>
  <c r="G8" i="84"/>
  <c r="U7" i="84"/>
  <c r="G7" i="84"/>
  <c r="U6" i="84"/>
  <c r="U5" i="84"/>
  <c r="AB101" i="41"/>
  <c r="AK17" i="41"/>
  <c r="AK18" i="41"/>
  <c r="AK19" i="41"/>
  <c r="AK20" i="41"/>
  <c r="AK21" i="41"/>
  <c r="AK22" i="41"/>
  <c r="AK24" i="41"/>
  <c r="AK81" i="41"/>
  <c r="AK77" i="41"/>
  <c r="AK76" i="41"/>
  <c r="AK80" i="41"/>
  <c r="AH81" i="41"/>
  <c r="AH80" i="41"/>
  <c r="AB81" i="41"/>
  <c r="AB80" i="41"/>
  <c r="AK57" i="41"/>
  <c r="AH57" i="41"/>
  <c r="AB57" i="41"/>
  <c r="AK56" i="41"/>
  <c r="AH56" i="41"/>
  <c r="AB56" i="41"/>
  <c r="AK38" i="41"/>
  <c r="AH38" i="41"/>
  <c r="AB38" i="41"/>
  <c r="AK37" i="41"/>
  <c r="AH37" i="41"/>
  <c r="AB37" i="41"/>
  <c r="AK33" i="41"/>
  <c r="AH33" i="41"/>
  <c r="AB33" i="41"/>
  <c r="AK29" i="41"/>
  <c r="AH29" i="41"/>
  <c r="AB29" i="41"/>
  <c r="AK28" i="41"/>
  <c r="AH28" i="41"/>
  <c r="AB28" i="41"/>
  <c r="AH17" i="41"/>
  <c r="AH18" i="41"/>
  <c r="AH19" i="41"/>
  <c r="AH20" i="41"/>
  <c r="AH21" i="41"/>
  <c r="AH22" i="41"/>
  <c r="AB17" i="41"/>
  <c r="AB18" i="41"/>
  <c r="AB19" i="41"/>
  <c r="AB20" i="41"/>
  <c r="AB21" i="41"/>
  <c r="AB22" i="41"/>
  <c r="Y7" i="41"/>
  <c r="AH106" i="41"/>
  <c r="AH105" i="41"/>
  <c r="AH104" i="41"/>
  <c r="AH103" i="41"/>
  <c r="Z6" i="2"/>
  <c r="Z7" i="2"/>
  <c r="AB16" i="41"/>
  <c r="U7" i="37"/>
  <c r="U6" i="37"/>
  <c r="U5" i="37"/>
  <c r="U7" i="8"/>
  <c r="U6" i="8"/>
  <c r="U5" i="8"/>
  <c r="U7" i="4"/>
  <c r="U6" i="4"/>
  <c r="U5" i="4"/>
  <c r="Z7" i="3"/>
  <c r="Z6" i="3"/>
  <c r="Z5" i="3"/>
  <c r="Z5" i="2"/>
  <c r="Y6" i="41"/>
  <c r="Y5" i="41"/>
  <c r="U29" i="8"/>
  <c r="D37" i="8"/>
  <c r="A29" i="8"/>
  <c r="AH102" i="41" l="1"/>
  <c r="I7" i="13"/>
  <c r="AK16" i="41"/>
  <c r="AK106" i="41"/>
  <c r="AK105" i="41"/>
  <c r="AK104" i="41"/>
  <c r="AK103" i="41"/>
  <c r="AK101" i="41"/>
  <c r="AK100" i="41"/>
  <c r="AK98" i="41"/>
  <c r="AK96" i="41"/>
  <c r="AK95" i="41"/>
  <c r="AK94" i="41"/>
  <c r="AK93" i="41"/>
  <c r="AK91" i="41"/>
  <c r="AK90" i="41"/>
  <c r="AK89" i="41"/>
  <c r="AK88" i="41"/>
  <c r="AK87" i="41"/>
  <c r="AK86" i="41"/>
  <c r="AK85" i="41"/>
  <c r="AK84" i="41"/>
  <c r="AK82" i="41"/>
  <c r="AK79" i="41"/>
  <c r="AK75" i="41"/>
  <c r="AK73" i="41"/>
  <c r="AK72" i="41"/>
  <c r="AK71" i="41"/>
  <c r="AK69" i="41"/>
  <c r="AK68" i="41"/>
  <c r="AK67" i="41"/>
  <c r="AK66" i="41"/>
  <c r="AK65" i="41"/>
  <c r="AK64" i="41"/>
  <c r="AK62" i="41"/>
  <c r="AK61" i="41"/>
  <c r="AK60" i="41"/>
  <c r="AK58" i="41"/>
  <c r="AK54" i="41"/>
  <c r="AK53" i="41"/>
  <c r="AK52" i="41"/>
  <c r="AK50" i="41"/>
  <c r="AK49" i="41"/>
  <c r="AK48" i="41"/>
  <c r="AK47" i="41"/>
  <c r="AK45" i="41"/>
  <c r="AK43" i="41"/>
  <c r="AK42" i="41"/>
  <c r="AK41" i="41"/>
  <c r="AK39" i="41"/>
  <c r="AK36" i="41"/>
  <c r="AK34" i="41"/>
  <c r="AK32" i="41"/>
  <c r="AK30" i="41"/>
  <c r="AK27" i="41"/>
  <c r="AK26" i="41"/>
  <c r="AB90" i="41"/>
  <c r="AH101" i="41"/>
  <c r="AH100" i="41"/>
  <c r="AH98" i="41"/>
  <c r="AB98" i="41"/>
  <c r="AH96" i="41"/>
  <c r="AB96" i="41"/>
  <c r="AH95" i="41"/>
  <c r="AB95" i="41"/>
  <c r="AH94" i="41"/>
  <c r="AB94" i="41"/>
  <c r="AH93" i="41"/>
  <c r="AB93" i="41"/>
  <c r="AH91" i="41"/>
  <c r="AH90" i="41"/>
  <c r="AH89" i="41"/>
  <c r="AB89" i="41"/>
  <c r="AH88" i="41"/>
  <c r="AB88" i="41"/>
  <c r="AH87" i="41"/>
  <c r="AB87" i="41"/>
  <c r="AH86" i="41"/>
  <c r="AB86" i="41"/>
  <c r="AH85" i="41"/>
  <c r="AB85" i="41"/>
  <c r="AH84" i="41"/>
  <c r="AB84" i="41"/>
  <c r="AH82" i="41"/>
  <c r="AB82" i="41"/>
  <c r="AH79" i="41"/>
  <c r="AH78" i="41" s="1"/>
  <c r="AB79" i="41"/>
  <c r="AH77" i="41"/>
  <c r="AB77" i="41"/>
  <c r="AH76" i="41"/>
  <c r="AB76" i="41"/>
  <c r="AH75" i="41"/>
  <c r="AB75" i="41"/>
  <c r="AH73" i="41"/>
  <c r="AB73" i="41"/>
  <c r="AH72" i="41"/>
  <c r="AB72" i="41"/>
  <c r="AH71" i="41"/>
  <c r="AB71" i="41"/>
  <c r="AH69" i="41"/>
  <c r="AB69" i="41"/>
  <c r="AH68" i="41"/>
  <c r="AB68" i="41"/>
  <c r="AH67" i="41"/>
  <c r="AB67" i="41"/>
  <c r="AH66" i="41"/>
  <c r="AB66" i="41"/>
  <c r="AH65" i="41"/>
  <c r="AB65" i="41"/>
  <c r="AH64" i="41"/>
  <c r="AB64" i="41"/>
  <c r="AH62" i="41"/>
  <c r="AB62" i="41"/>
  <c r="AH61" i="41"/>
  <c r="AB61" i="41"/>
  <c r="AH60" i="41"/>
  <c r="AB60" i="41"/>
  <c r="AH58" i="41"/>
  <c r="AH55" i="41" s="1"/>
  <c r="AB58" i="41"/>
  <c r="AB55" i="41" s="1"/>
  <c r="AH54" i="41"/>
  <c r="AB54" i="41"/>
  <c r="AH53" i="41"/>
  <c r="AB53" i="41"/>
  <c r="AH52" i="41"/>
  <c r="AB52" i="41"/>
  <c r="AH50" i="41"/>
  <c r="AB50" i="41"/>
  <c r="AH49" i="41"/>
  <c r="AB49" i="41"/>
  <c r="AH48" i="41"/>
  <c r="AB48" i="41"/>
  <c r="AH47" i="41"/>
  <c r="AB47" i="41"/>
  <c r="AH45" i="41"/>
  <c r="AH44" i="41" s="1"/>
  <c r="AB45" i="41"/>
  <c r="AB44" i="41" s="1"/>
  <c r="AH39" i="41"/>
  <c r="AB39" i="41"/>
  <c r="AH36" i="41"/>
  <c r="AB36" i="41"/>
  <c r="AH43" i="41"/>
  <c r="AB43" i="41"/>
  <c r="AH42" i="41"/>
  <c r="AB42" i="41"/>
  <c r="AH41" i="41"/>
  <c r="AB41" i="41"/>
  <c r="AH27" i="41"/>
  <c r="AB27" i="41"/>
  <c r="AH34" i="41"/>
  <c r="AB34" i="41"/>
  <c r="AH32" i="41"/>
  <c r="AB32" i="41"/>
  <c r="AH30" i="41"/>
  <c r="AB30" i="41"/>
  <c r="AH26" i="41"/>
  <c r="AB26" i="41"/>
  <c r="AH24" i="41"/>
  <c r="AB24" i="41"/>
  <c r="AB15" i="41" s="1"/>
  <c r="AH16" i="41"/>
  <c r="Y9" i="41"/>
  <c r="K9" i="41"/>
  <c r="Y8" i="41"/>
  <c r="K8" i="41"/>
  <c r="K7" i="41"/>
  <c r="U9" i="37"/>
  <c r="G9" i="37"/>
  <c r="U8" i="37"/>
  <c r="G8" i="37"/>
  <c r="G7" i="37"/>
  <c r="U9" i="14"/>
  <c r="G9" i="14"/>
  <c r="U8" i="14"/>
  <c r="G8" i="14"/>
  <c r="U7" i="14"/>
  <c r="G7" i="14"/>
  <c r="U5" i="14"/>
  <c r="U9" i="8"/>
  <c r="G9" i="8"/>
  <c r="U8" i="8"/>
  <c r="G8" i="8"/>
  <c r="G7" i="8"/>
  <c r="G8" i="4"/>
  <c r="Z9" i="3"/>
  <c r="L9" i="3"/>
  <c r="Z8" i="3"/>
  <c r="L8" i="3"/>
  <c r="L7" i="3"/>
  <c r="L8" i="2"/>
  <c r="AB35" i="41" l="1"/>
  <c r="AK44" i="41"/>
  <c r="AB25" i="41"/>
  <c r="AH25" i="41"/>
  <c r="AH35" i="41"/>
  <c r="AK35" i="41" s="1"/>
  <c r="AB78" i="41"/>
  <c r="AK78" i="41" s="1"/>
  <c r="AB31" i="41"/>
  <c r="AH15" i="41"/>
  <c r="AH31" i="41"/>
  <c r="AK102" i="41"/>
  <c r="AH74" i="41"/>
  <c r="AH92" i="41"/>
  <c r="AH51" i="41"/>
  <c r="AB40" i="41"/>
  <c r="AH70" i="41"/>
  <c r="AH83" i="41"/>
  <c r="AH97" i="41"/>
  <c r="AH46" i="41"/>
  <c r="AB59" i="41"/>
  <c r="AB70" i="41"/>
  <c r="AH40" i="41"/>
  <c r="AH59" i="41"/>
  <c r="AB63" i="41"/>
  <c r="AH63" i="41"/>
  <c r="AB46" i="41"/>
  <c r="AB51" i="41"/>
  <c r="AB74" i="41"/>
  <c r="AB92" i="41"/>
  <c r="AK55" i="41"/>
  <c r="AB91" i="41"/>
  <c r="AB83" i="41" s="1"/>
  <c r="AB100" i="41"/>
  <c r="I4" i="13"/>
  <c r="I3" i="13"/>
  <c r="I2" i="13"/>
  <c r="I5" i="13" a="1"/>
  <c r="I5" i="13" s="1"/>
  <c r="C3" i="13"/>
  <c r="B3" i="13" s="1"/>
  <c r="C2" i="13"/>
  <c r="B2" i="13" s="1"/>
  <c r="AK46" i="41" l="1"/>
  <c r="AK70" i="41"/>
  <c r="AK63" i="41"/>
  <c r="AK83" i="41"/>
  <c r="AK59" i="41"/>
  <c r="AK40" i="41"/>
  <c r="AK51" i="41"/>
  <c r="AK92" i="41"/>
  <c r="AK25" i="41"/>
  <c r="AK74" i="41"/>
  <c r="AK31" i="41"/>
  <c r="AB107" i="41"/>
  <c r="V34" i="1" s="1"/>
  <c r="AB97" i="41"/>
  <c r="AB109" i="41" s="1"/>
  <c r="AK15" i="41"/>
  <c r="U43" i="8"/>
  <c r="D36" i="8"/>
  <c r="U41" i="8" s="1"/>
  <c r="S37" i="8"/>
  <c r="S36" i="8"/>
  <c r="A41" i="8" s="1"/>
  <c r="Z34" i="8"/>
  <c r="K40" i="8"/>
  <c r="A37" i="8"/>
  <c r="A36" i="8"/>
  <c r="A25" i="8"/>
  <c r="A24" i="8"/>
  <c r="K28" i="8"/>
  <c r="U8" i="4"/>
  <c r="U9" i="4"/>
  <c r="Z9" i="2"/>
  <c r="L9" i="2"/>
  <c r="Z8" i="2"/>
  <c r="L7" i="2"/>
  <c r="AB111" i="41" l="1"/>
  <c r="AB110" i="41"/>
  <c r="AK97" i="41"/>
  <c r="Z13" i="14"/>
  <c r="G9" i="4"/>
  <c r="G7" i="4"/>
  <c r="V3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tc={48C73C8D-1253-4C6F-A7C7-649B41B05606}</author>
    <author>tc={64CCCCB4-110E-4364-AC87-14F3E016284B}</author>
    <author>tc={C2CBF009-C811-4A5D-9186-7E3C6F80F7F3}</author>
    <author>tc={92DBBE1E-C677-409C-9E05-4FEE316BAAE9}</author>
    <author>tc={7C187831-69F8-4D06-ACD2-BBE2992DAE4E}</author>
    <author>tc={2EA74019-405E-4B96-891F-FF0570F04C05}</author>
    <author>tc={C2F5DD17-898D-4F24-AD1F-37479881DA2F}</author>
    <author>tc={BDF96282-D2FD-42F6-ABBD-3D3705A26D4C}</author>
    <author>tc={9C49EE9D-3C2B-4E2C-9A1D-21E66E757B78}</author>
    <author>tc={B041169B-34D2-46B9-91D6-D2E1318FDF35}</author>
    <author>tc={D40CFF7E-5314-4265-AAF2-60FF8FC141BD}</author>
    <author>tc={37DFBFC8-90D5-4386-8802-40CC3E3ECD01}</author>
    <author>tc={D8720C31-FB82-403D-BD51-F2BC9CF5EA31}</author>
    <author>tc={E5013C39-AA30-475D-AD63-8BA5EA559AE6}</author>
    <author>tc={598D800A-983B-4E29-8FA4-823C288F5C68}</author>
    <author>tc={D74F6FB1-DE6E-482C-A7BB-D9DD9EEA7E8F}</author>
    <author>tc={DFEF150F-BB49-42D2-9B42-9622AA4EE2C6}</author>
    <author>tc={752AE5D6-82B4-418B-8E15-E4573F2DCBEF}</author>
    <author>tc={144A290E-FE08-478D-B309-506E4F794B99}</author>
    <author>tc={C922B554-DBCE-4A6B-BA88-27DBF2F38F86}</author>
    <author>tc={04C5BCC5-CC58-4788-ACA7-676BB5205C7E}</author>
    <author>tc={E7960981-4AF6-45FE-878F-B0DEE61782D5}</author>
    <author>tc={B6764F61-1F84-49CD-B908-87C702877381}</author>
    <author>tc={23A8131E-B157-427A-A81A-5715DB43AEC1}</author>
    <author>tc={5EC8D3F3-C638-493F-8ED4-5FD323030CB8}</author>
    <author>tc={5AACEB12-3E98-463A-8AB3-5EE40E9A6251}</author>
    <author>tc={A82E2DE9-05E6-4BA6-995C-CBA84DAAF0CF}</author>
    <author>tc={085F5364-2496-413B-8A86-087BA1A1D7EA}</author>
  </authors>
  <commentList>
    <comment ref="U5" authorId="0" shapeId="0" xr:uid="{48C73C8D-1253-4C6F-A7C7-649B41B0560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64CCCCB4-110E-4364-AC87-14F3E01628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C2CBF009-C811-4A5D-9186-7E3C6F80F7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92DBBE1E-C677-409C-9E05-4FEE316BAA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7C187831-69F8-4D06-ACD2-BBE2992DAE4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5" authorId="5" shapeId="0" xr:uid="{2EA74019-405E-4B96-891F-FF0570F04C0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P15" authorId="6" shapeId="0" xr:uid="{C2F5DD17-898D-4F24-AD1F-37479881D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A23" authorId="7" shapeId="0" xr:uid="{BDF96282-D2FD-42F6-ABBD-3D3705A26D4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4" authorId="8" shapeId="0" xr:uid="{9C49EE9D-3C2B-4E2C-9A1D-21E66E757B7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5" authorId="9" shapeId="0" xr:uid="{B041169B-34D2-46B9-91D6-D2E1318FDF3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6" authorId="10" shapeId="0" xr:uid="{D40CFF7E-5314-4265-AAF2-60FF8FC141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7" authorId="11" shapeId="0" xr:uid="{37DFBFC8-90D5-4386-8802-40CC3E3ECD0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8" authorId="12" shapeId="0" xr:uid="{D8720C31-FB82-403D-BD51-F2BC9CF5EA3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G32" authorId="13" shapeId="0" xr:uid="{E5013C39-AA30-475D-AD63-8BA5EA559AE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du devis divalto si existant ou statut du devis.</t>
      </text>
    </comment>
    <comment ref="G33" authorId="14" shapeId="0" xr:uid="{598D800A-983B-4E29-8FA4-823C288F5C6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Estimation de la durée du chantier en jh</t>
      </text>
    </comment>
    <comment ref="G34" authorId="15" shapeId="0" xr:uid="{D74F6FB1-DE6E-482C-A7BB-D9DD9EEA7E8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Date de démarrage en production souhaité par le client.</t>
      </text>
    </comment>
    <comment ref="V34" authorId="16" shapeId="0" xr:uid="{DFEF150F-BB49-42D2-9B42-9622AA4EE2C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total du projet HT</t>
      </text>
    </comment>
    <comment ref="G35" authorId="17" shapeId="0" xr:uid="{752AE5D6-82B4-418B-8E15-E4573F2DCBE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Valitation d'un représentannt BE</t>
      </text>
    </comment>
    <comment ref="V35" authorId="18" shapeId="0" xr:uid="{144A290E-FE08-478D-B309-506E4F794B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CVR avant la rédaction finale de l'offre.</t>
      </text>
    </comment>
    <comment ref="A39" authorId="19" shapeId="0" xr:uid="{C922B554-DBCE-4A6B-BA88-27DBF2F38F8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P39" authorId="20" shapeId="0" xr:uid="{04C5BCC5-CC58-4788-ACA7-676BB5205C7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Vérification à faire par Mélanie pour la SFAC, négociation avec la compta (Catherine).</t>
      </text>
    </comment>
    <comment ref="F45" authorId="21" shapeId="0" xr:uid="{E7960981-4AF6-45FE-878F-B0DEE61782D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Si organisme de financement, merci de mettre le nom.</t>
      </text>
    </comment>
    <comment ref="F46" authorId="22" shapeId="0" xr:uid="{B6764F61-1F84-49CD-B908-87C70287738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prime CEE</t>
      </text>
    </comment>
    <comment ref="F47" authorId="23" shapeId="0" xr:uid="{23A8131E-B157-427A-A81A-5715DB43AE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Organisme de financement CEE</t>
      </text>
    </comment>
    <comment ref="V47" authorId="24" shapeId="0" xr:uid="{5EC8D3F3-C638-493F-8ED4-5FD323030CB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du CVR / DR / Compta selon le cas.</t>
      </text>
    </comment>
    <comment ref="F48" authorId="25" shapeId="0" xr:uid="{5AACEB12-3E98-463A-8AB3-5EE40E9A62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Versement de la prime au client ou Airflux</t>
      </text>
    </comment>
    <comment ref="A49" authorId="26" shapeId="0" xr:uid="{A82E2DE9-05E6-4BA6-995C-CBA84DAAF0C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64" authorId="27" shapeId="0" xr:uid="{085F5364-2496-413B-8A86-087BA1A1D7E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tc={597034F6-F48E-4876-9FEB-68A171EF3A2F}</author>
    <author>tc={4166572D-7958-4817-BB63-51D8B6AE692B}</author>
    <author>tc={53DDD482-FE01-4C3B-9BC0-2BFE5FBB1F44}</author>
    <author>tc={44A20BEC-F8CA-42D4-8D43-E408EBDB27E5}</author>
    <author>tc={8F9C13F7-0901-437D-931F-E5DC25322847}</author>
    <author>tc={4C30EF6F-C462-4C52-BAB2-4A855901302A}</author>
    <author>tc={30CCB22C-4D81-45D0-8F7E-6C2854247CA8}</author>
    <author>tc={EA7354F8-48D8-4BD2-A90B-3EA02F3E1299}</author>
  </authors>
  <commentList>
    <comment ref="Y5" authorId="0" shapeId="0" xr:uid="{597034F6-F48E-4876-9FEB-68A171EF3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Y6" authorId="1" shapeId="0" xr:uid="{4166572D-7958-4817-BB63-51D8B6AE692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Y7" authorId="2" shapeId="0" xr:uid="{53DDD482-FE01-4C3B-9BC0-2BFE5FBB1F4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Y8" authorId="3" shapeId="0" xr:uid="{44A20BEC-F8CA-42D4-8D43-E408EBDB27E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Y9" authorId="4" shapeId="0" xr:uid="{8F9C13F7-0901-437D-931F-E5DC253228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T107" authorId="5" shapeId="0" xr:uid="{4C30EF6F-C462-4C52-BAB2-4A85590130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des PV (Colonnes AH-AJ)</t>
      </text>
    </comment>
    <comment ref="T108" authorId="6" shapeId="0" xr:uid="{30CCB22C-4D81-45D0-8F7E-6C2854247CA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vente</t>
      </text>
    </comment>
    <comment ref="T109" authorId="7" shapeId="0" xr:uid="{EA7354F8-48D8-4BD2-A90B-3EA02F3E12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PA (Colonnes AB-AD)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tc={7A82EA3B-A85E-4E47-86C1-23D32228F528}</author>
    <author>tc={CD7AB528-EFBD-40F1-A0AF-F93122160E2C}</author>
    <author>tc={D20E56BD-CFDC-4B71-9120-BD2913CE0874}</author>
    <author>tc={4EB3E86E-0AD6-450A-8447-362254C7B9BA}</author>
    <author>tc={FC2EA202-4258-4D0B-95D4-B7D9DF4BBC74}</author>
    <author>tc={51CD7C1A-D9D6-441F-8456-C254721DF0AF}</author>
    <author>tc={5FF64506-2862-41F9-BB65-C61E6BE24290}</author>
    <author>tc={C92AA76E-FFAC-4D0C-9554-E3EE11B32859}</author>
    <author>tc={A96BA3DE-FAEE-41DB-93F3-2E9784E30632}</author>
  </authors>
  <commentList>
    <comment ref="Z5" authorId="0" shapeId="0" xr:uid="{7A82EA3B-A85E-4E47-86C1-23D32228F52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CD7AB528-EFBD-40F1-A0AF-F93122160E2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D20E56BD-CFDC-4B71-9120-BD2913CE08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4EB3E86E-0AD6-450A-8447-362254C7B9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C2EA202-4258-4D0B-95D4-B7D9DF4BBC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F11" authorId="5" shapeId="0" xr:uid="{51CD7C1A-D9D6-441F-8456-C254721DF0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Fiche de Jérémy Versari</t>
      </text>
    </comment>
    <comment ref="H28" authorId="6" shapeId="0" xr:uid="{5FF64506-2862-41F9-BB65-C61E6BE2429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30" authorId="7" shapeId="0" xr:uid="{C92AA76E-FFAC-4D0C-9554-E3EE11B3285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Diamètre de raccordement</t>
      </text>
    </comment>
    <comment ref="O40" authorId="8" shapeId="0" xr:uid="{A96BA3DE-FAEE-41DB-93F3-2E9784E306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Hauteur manomètrique Totale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tc={B2B00BAB-52FA-4E30-821A-0D3BB17F33F0}</author>
    <author>tc={507F88D5-81A0-4C5C-808F-D41B67B2F751}</author>
    <author>tc={9040DC1D-5E16-47F9-9108-7DABE9CE7E21}</author>
    <author>tc={36396C0F-E6B4-4529-8911-17E64F163327}</author>
    <author>tc={F24582F3-F04E-4399-AF93-6838597ED3BC}</author>
    <author>tc={884E92FE-49CD-4522-B3C7-771771F31E46}</author>
    <author>tc={4326CAA7-AD2F-4FD8-B1D5-4CD89178F00D}</author>
    <author>tc={D66F5670-74F2-487A-97D1-7AFDD3C03A9D}</author>
    <author>tc={643F4ABD-DA0E-4978-8FFA-B5A78A255485}</author>
    <author>tc={879E7B15-4586-4EFC-9523-4AE60F7E32C0}</author>
  </authors>
  <commentList>
    <comment ref="Z5" authorId="0" shapeId="0" xr:uid="{B2B00BAB-52FA-4E30-821A-0D3BB17F33F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507F88D5-81A0-4C5C-808F-D41B67B2F7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9040DC1D-5E16-47F9-9108-7DABE9CE7E2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36396C0F-E6B4-4529-8911-17E64F16332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24582F3-F04E-4399-AF93-6838597ED3B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H21" authorId="5" shapeId="0" xr:uid="{884E92FE-49CD-4522-B3C7-771771F31E4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23" authorId="6" shapeId="0" xr:uid="{4326CAA7-AD2F-4FD8-B1D5-4CD89178F00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Raccordement</t>
      </text>
    </comment>
    <comment ref="V56" authorId="7" shapeId="0" xr:uid="{D66F5670-74F2-487A-97D1-7AFDD3C03A9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Doit-on prévoir un retour de compresseur ? A signaler à Chantal pour le sortir de l'affaire.</t>
      </text>
    </comment>
    <comment ref="A57" authorId="8" shapeId="0" xr:uid="{643F4ABD-DA0E-4978-8FFA-B5A78A25548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Etude de récup calorie à réaliser.</t>
      </text>
    </comment>
    <comment ref="V57" authorId="9" shapeId="0" xr:uid="{879E7B15-4586-4EFC-9523-4AE60F7E32C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 cas échéant remplir la feuille de reprise pour Second'Air.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tc={042D53B0-6A57-47E4-B311-81283265AE69}</author>
    <author>tc={A3EBD57D-DEFF-4ACC-8258-2CB55E0F8EBF}</author>
    <author>tc={632927AB-9C81-4AA5-A6DB-AC7C0887A988}</author>
    <author>tc={7FB2B523-B38B-4529-9A9D-F6C59F0BD334}</author>
    <author>tc={1CEF8C32-E02A-4660-B720-E9BA31BDEE03}</author>
    <author>tc={8C8A688D-385C-4AAF-8248-620B2A03A222}</author>
    <author>tc={72CA6EED-7964-4695-A96E-97057CA327EE}</author>
  </authors>
  <commentList>
    <comment ref="U5" authorId="0" shapeId="0" xr:uid="{042D53B0-6A57-47E4-B311-81283265AE6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A3EBD57D-DEFF-4ACC-8258-2CB55E0F8EB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632927AB-9C81-4AA5-A6DB-AC7C0887A9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FB2B523-B38B-4529-9A9D-F6C59F0BD3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1CEF8C32-E02A-4660-B720-E9BA31BDEE0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9" authorId="5" shapeId="0" xr:uid="{8C8A688D-385C-4AAF-8248-620B2A03A22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 d'accès en hauteur, nécessite Casses</t>
      </text>
    </comment>
    <comment ref="A27" authorId="6" shapeId="0" xr:uid="{72CA6EED-7964-4695-A96E-97057CA327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tc={C45F2740-1092-4206-9E6F-764AD3274BB2}</author>
    <author>tc={214DA2A0-1DD7-48EC-B3C7-B858C74EA5AF}</author>
    <author>tc={9FB2BF58-4C21-4AD4-AD5C-A135E00914B9}</author>
    <author>tc={1EF9ACAD-4994-4253-95E9-73AC2359D52D}</author>
    <author>tc={D771AE50-B026-4869-A2A7-5ABEC22B1520}</author>
  </authors>
  <commentList>
    <comment ref="U5" authorId="0" shapeId="0" xr:uid="{C45F2740-1092-4206-9E6F-764AD3274BB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214DA2A0-1DD7-48EC-B3C7-B858C74EA5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9FB2BF58-4C21-4AD4-AD5C-A135E00914B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1EF9ACAD-4994-4253-95E9-73AC2359D5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771AE50-B026-4869-A2A7-5ABEC22B15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tc={89924D3F-2DD3-4C08-A65F-A4343DFB4BBA}</author>
    <author>tc={341B20E2-03EF-424E-8DBF-1E03D7CD14C3}</author>
    <author>tc={2225187F-A6F5-4A29-978F-3F72766C6804}</author>
    <author>tc={BF6B29C5-1118-4AEC-B91F-3DAAA981ACBD}</author>
    <author>tc={D983094A-A6F4-4DED-A2A7-D1924F472BB4}</author>
  </authors>
  <commentList>
    <comment ref="U5" authorId="0" shapeId="0" xr:uid="{89924D3F-2DD3-4C08-A65F-A4343DFB4B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341B20E2-03EF-424E-8DBF-1E03D7CD14C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2225187F-A6F5-4A29-978F-3F72766C68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F6B29C5-1118-4AEC-B91F-3DAAA981AC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983094A-A6F4-4DED-A2A7-D1924F472BB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tc={9F845057-08D4-4EF6-A239-BF40DB8535D2}</author>
    <author>tc={E9BBD9AF-41A8-478F-93B6-B441B05E87DD}</author>
    <author>tc={8F90C4A1-CA35-464B-BFAB-CF7591A19F09}</author>
    <author>tc={7400772E-CAA9-4CAD-8773-6CF1FA92E2CB}</author>
    <author>tc={3635A72D-B4E7-4304-99A3-ECECEF26F983}</author>
  </authors>
  <commentList>
    <comment ref="U5" authorId="0" shapeId="0" xr:uid="{9F845057-08D4-4EF6-A239-BF40DB8535D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E9BBD9AF-41A8-478F-93B6-B441B05E87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8F90C4A1-CA35-464B-BFAB-CF7591A19F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400772E-CAA9-4CAD-8773-6CF1FA92E2C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635A72D-B4E7-4304-99A3-ECECEF26F98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tc={D94C7AF5-DC69-44D6-92FE-1A9E5B1A83A6}</author>
    <author>tc={78EC980D-9313-420E-BCD4-EE089263E767}</author>
    <author>tc={D8679B24-585B-440A-96E6-1019C3A4B6F2}</author>
    <author>tc={B0BCE266-1A69-4081-ACA6-9C6AA546C620}</author>
    <author>tc={3F65A82F-3C6D-4495-B02C-90A0270F68F2}</author>
  </authors>
  <commentList>
    <comment ref="U5" authorId="0" shapeId="0" xr:uid="{D94C7AF5-DC69-44D6-92FE-1A9E5B1A83A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78EC980D-9313-420E-BCD4-EE089263E76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D8679B24-585B-440A-96E6-1019C3A4B6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0BCE266-1A69-4081-ACA6-9C6AA546C6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F65A82F-3C6D-4495-B02C-90A0270F68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tc={19DEE1D8-F077-49BC-9AD7-6F5735FB5588}</author>
    <author>tc={84A043C3-9713-4CB6-B9E0-BF69FDEA5FFC}</author>
    <author>tc={E4C4D689-6D02-4951-BF5E-8677C27ACBF3}</author>
    <author>tc={F27F9C34-FE17-4663-B343-AFF3593AE5DD}</author>
  </authors>
  <commentList>
    <comment ref="U5" authorId="0" shapeId="0" xr:uid="{19DEE1D8-F077-49BC-9AD7-6F5735FB55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84A043C3-9713-4CB6-B9E0-BF69FDEA5FF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E4C4D689-6D02-4951-BF5E-8677C27ACB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F27F9C34-FE17-4663-B343-AFF3593AE5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tc={B2911AE8-FBCD-4118-8AE3-0AEB546C0C32}</author>
    <author>tc={9D79CE1D-D8A2-4E14-A1FC-71A1C63950CD}</author>
    <author>tc={7FA4C144-CFF0-4410-A7C1-8B093F2B554B}</author>
    <author>tc={3BD079C2-85B2-4A8D-B670-5BF914748160}</author>
  </authors>
  <commentList>
    <comment ref="U5" authorId="0" shapeId="0" xr:uid="{B2911AE8-FBCD-4118-8AE3-0AEB546C0C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9D79CE1D-D8A2-4E14-A1FC-71A1C63950C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7FA4C144-CFF0-4410-A7C1-8B093F2B55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3BD079C2-85B2-4A8D-B670-5BF91474816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tc={E0B1C3DB-57EA-457C-B510-1BD9B61C1020}</author>
    <author>tc={9A2D3883-5900-4EE9-A9D0-3E8F3D1477E9}</author>
    <author>tc={E2A45AC3-CBC7-4294-892B-34437791BB12}</author>
    <author>tc={35D8D53A-5773-4F2F-9AC5-99DF8A09A3E4}</author>
  </authors>
  <commentList>
    <comment ref="O1" authorId="0" shapeId="0" xr:uid="{E0B1C3DB-57EA-457C-B510-1BD9B61C10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CDS125</t>
      </text>
    </comment>
    <comment ref="X3" authorId="1" shapeId="0" xr:uid="{9A2D3883-5900-4EE9-A9D0-3E8F3D1477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CSDX.3</t>
      </text>
    </comment>
    <comment ref="J4" authorId="2" shapeId="0" xr:uid="{E2A45AC3-CBC7-4294-892B-34437791BB1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SIGMA 37</t>
      </text>
    </comment>
    <comment ref="J5" authorId="3" shapeId="0" xr:uid="{35D8D53A-5773-4F2F-9AC5-99DF8A09A3E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UCxxxxxx</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<sst xmlns="http://schemas.openxmlformats.org/spreadsheetml/2006/main" count="1525" uniqueCount="646">
  <si>
    <t>Dossier Technico-Commercial S2
 Projet</t>
  </si>
  <si>
    <t>Informations Générales</t>
  </si>
  <si>
    <t>Client :</t>
  </si>
  <si>
    <t>Devis :</t>
  </si>
  <si>
    <t>Commercial :</t>
  </si>
  <si>
    <t>Code client :</t>
  </si>
  <si>
    <t>ICA :</t>
  </si>
  <si>
    <t>N° Affaire :</t>
  </si>
  <si>
    <t>Chargé d'affaire BE :</t>
  </si>
  <si>
    <t>Ref Projet SF :</t>
  </si>
  <si>
    <t>Coordonnées :</t>
  </si>
  <si>
    <t>Adresse :</t>
  </si>
  <si>
    <t>Interlocuteur :</t>
  </si>
  <si>
    <t>Rue :</t>
  </si>
  <si>
    <t>Fonction :</t>
  </si>
  <si>
    <t>Téléphone :</t>
  </si>
  <si>
    <t>Mail :</t>
  </si>
  <si>
    <t>CP :</t>
  </si>
  <si>
    <t>Ville :</t>
  </si>
  <si>
    <t>Adresse de facturation :</t>
  </si>
  <si>
    <t>Adresse de livraison:</t>
  </si>
  <si>
    <t>Légende pour le remplissage :</t>
  </si>
  <si>
    <t xml:space="preserve">Rose </t>
  </si>
  <si>
    <t>Equipe Commerciale</t>
  </si>
  <si>
    <t>Vert</t>
  </si>
  <si>
    <t>Equipe Administrative</t>
  </si>
  <si>
    <t>Bleu</t>
  </si>
  <si>
    <t>Equipe BE</t>
  </si>
  <si>
    <t>Détail du projet</t>
  </si>
  <si>
    <t>Nom du projet</t>
  </si>
  <si>
    <t>Situation actuelle :</t>
  </si>
  <si>
    <t>Nature du besoin et solution proposée :</t>
  </si>
  <si>
    <t>Proposition commerciale</t>
  </si>
  <si>
    <t>Suite à :</t>
  </si>
  <si>
    <t>Offre à envoyer :</t>
  </si>
  <si>
    <t>BE :</t>
  </si>
  <si>
    <t>Devis BE :</t>
  </si>
  <si>
    <t>Revue com :</t>
  </si>
  <si>
    <t>Durée du chantier :</t>
  </si>
  <si>
    <t>Marge Prév. :</t>
  </si>
  <si>
    <t>Date de mise en service souhaitée :</t>
  </si>
  <si>
    <t>Montant
du projet :</t>
  </si>
  <si>
    <t>Validation BE :</t>
  </si>
  <si>
    <t>Validation Com. :</t>
  </si>
  <si>
    <t>Paiement</t>
  </si>
  <si>
    <t>Conditions :</t>
  </si>
  <si>
    <t>30j fin de mois</t>
  </si>
  <si>
    <t>Assurance Crédit :</t>
  </si>
  <si>
    <t>%</t>
  </si>
  <si>
    <t>Acompte à la commande</t>
  </si>
  <si>
    <t>SFAC :</t>
  </si>
  <si>
    <t>Oui</t>
  </si>
  <si>
    <t>Non</t>
  </si>
  <si>
    <t>A la livraison des matériels</t>
  </si>
  <si>
    <t>Encours dispo:</t>
  </si>
  <si>
    <t>Au début des travaux</t>
  </si>
  <si>
    <t>A la mise en service</t>
  </si>
  <si>
    <t>Date :</t>
  </si>
  <si>
    <t>Solde</t>
  </si>
  <si>
    <t>A la levée des réserves</t>
  </si>
  <si>
    <t>Montant Accordé :</t>
  </si>
  <si>
    <t>Org. de financ. :</t>
  </si>
  <si>
    <t>Primes CEE</t>
  </si>
  <si>
    <t>Montant :</t>
  </si>
  <si>
    <t>Organisme :</t>
  </si>
  <si>
    <t>Validation 
Finance :</t>
  </si>
  <si>
    <t>Versement :</t>
  </si>
  <si>
    <t>Client</t>
  </si>
  <si>
    <t>Locations</t>
  </si>
  <si>
    <t>Location avec option d'achat</t>
  </si>
  <si>
    <t>Location financière</t>
  </si>
  <si>
    <t>Durée de location :</t>
  </si>
  <si>
    <t>mois</t>
  </si>
  <si>
    <t>Loyer :</t>
  </si>
  <si>
    <t>€HT / mois</t>
  </si>
  <si>
    <t>Valeur de rachat :</t>
  </si>
  <si>
    <t>€HT</t>
  </si>
  <si>
    <t>Résumé de prestation :</t>
  </si>
  <si>
    <t>Livraison seule :</t>
  </si>
  <si>
    <t>Oui ( Voir conditions de livraison en première page )</t>
  </si>
  <si>
    <t>Instal. centrale :</t>
  </si>
  <si>
    <t>Charge AF ( Fourn. schéma mise en place )</t>
  </si>
  <si>
    <t>Charge client</t>
  </si>
  <si>
    <t>Racc. au réseau :</t>
  </si>
  <si>
    <t>Charge AF ( Fournir descriptif détaillé )</t>
  </si>
  <si>
    <t>Instal. réseau :</t>
  </si>
  <si>
    <t>Charge AF ( Fournir plan de réseau )</t>
  </si>
  <si>
    <t>Instal. électrique :</t>
  </si>
  <si>
    <t>Racc. électrique :</t>
  </si>
  <si>
    <t>Charge AF</t>
  </si>
  <si>
    <t>Mise en service :</t>
  </si>
  <si>
    <t>Garantie :</t>
  </si>
  <si>
    <t>Autre: 6 mois matériels d'occasion; 1 an matériels neufs</t>
  </si>
  <si>
    <t>Constructeur</t>
  </si>
  <si>
    <t>Spécifications prises en accord avec le client :</t>
  </si>
  <si>
    <t xml:space="preserve">Liasse Documentaire à joindre : </t>
  </si>
  <si>
    <t>Devis Airflux (daté, signé, paraphé) :</t>
  </si>
  <si>
    <t>Commande Client :</t>
  </si>
  <si>
    <t>CGV Airflux (paraphée) :</t>
  </si>
  <si>
    <t>Prime CEE signé AF/CEE si versement AF :</t>
  </si>
  <si>
    <t>Dossier Financement :</t>
  </si>
  <si>
    <t>Bilan financier (Onglet Offre commerciale) :</t>
  </si>
  <si>
    <t>Dossier Technique complété :</t>
  </si>
  <si>
    <t>Demande d'appro hors devis Divalto :</t>
  </si>
  <si>
    <t>Offre de prix fournisseur (tous les AG + PF):</t>
  </si>
  <si>
    <t>Observations :</t>
  </si>
  <si>
    <t>Dossier Technico-Commercial S2
Offre commerciale</t>
  </si>
  <si>
    <t>Chargé d'affaire :</t>
  </si>
  <si>
    <t>Constitution de la centrale :</t>
  </si>
  <si>
    <t>Débit total hors secours :</t>
  </si>
  <si>
    <t>m3/h</t>
  </si>
  <si>
    <t>Pression d'utilisation :</t>
  </si>
  <si>
    <t>Bars</t>
  </si>
  <si>
    <t>Tension :</t>
  </si>
  <si>
    <t>V</t>
  </si>
  <si>
    <t>Phases</t>
  </si>
  <si>
    <t>Hz</t>
  </si>
  <si>
    <t>Désignation du matériel</t>
  </si>
  <si>
    <t>Marque</t>
  </si>
  <si>
    <t>Type</t>
  </si>
  <si>
    <t>Débit
m3/h</t>
  </si>
  <si>
    <t>Puiss
kW</t>
  </si>
  <si>
    <t>Diam</t>
  </si>
  <si>
    <t>Charge</t>
  </si>
  <si>
    <t>Qté</t>
  </si>
  <si>
    <t>PA Unit
€HT</t>
  </si>
  <si>
    <t>PA Tot.
€HT</t>
  </si>
  <si>
    <t>PV Unit
€HT</t>
  </si>
  <si>
    <t>PV Tot.
€HT</t>
  </si>
  <si>
    <t>Marge
%</t>
  </si>
  <si>
    <t>0- Type de local</t>
  </si>
  <si>
    <t>Type de murs :</t>
  </si>
  <si>
    <t>Parpaing</t>
  </si>
  <si>
    <t>Dimensions :</t>
  </si>
  <si>
    <t>1- Centrale de production d'air comprimé</t>
  </si>
  <si>
    <t>Compresseur 1</t>
  </si>
  <si>
    <t>AF- Client</t>
  </si>
  <si>
    <t>Compresseur 2</t>
  </si>
  <si>
    <t>Compresseur 3</t>
  </si>
  <si>
    <t>Compresseur 4</t>
  </si>
  <si>
    <t>Compresseur 5</t>
  </si>
  <si>
    <t>Compresseur 6</t>
  </si>
  <si>
    <t>Options</t>
  </si>
  <si>
    <t>Régime IT</t>
  </si>
  <si>
    <t>Compresseur de secours</t>
  </si>
  <si>
    <t>2- Réservoir de stockage d'air comprimé</t>
  </si>
  <si>
    <t>Réservoir 1</t>
  </si>
  <si>
    <t>Réservoir 2</t>
  </si>
  <si>
    <t>Réservoir 3</t>
  </si>
  <si>
    <t>Equipements</t>
  </si>
  <si>
    <t>3- Chaîne de filtration première phase</t>
  </si>
  <si>
    <t xml:space="preserve">Pré filtre micronique </t>
  </si>
  <si>
    <t>Filtre submicronique</t>
  </si>
  <si>
    <t xml:space="preserve">Filtre à charbon actif </t>
  </si>
  <si>
    <t>4- Sécheur d'air comprimé</t>
  </si>
  <si>
    <t>Sécheur frigorifique</t>
  </si>
  <si>
    <t xml:space="preserve">Sécheur à adsorption </t>
  </si>
  <si>
    <t>5- Chaîne de filtration seconde phase</t>
  </si>
  <si>
    <t>6- Contrôle perte de charge</t>
  </si>
  <si>
    <t>Capteur Delta P</t>
  </si>
  <si>
    <t>7- Purgeurs à détection capacitive</t>
  </si>
  <si>
    <t>Purgeurs à détection capacitive</t>
  </si>
  <si>
    <t>Beko</t>
  </si>
  <si>
    <t>Beko 21</t>
  </si>
  <si>
    <t>Beko 12</t>
  </si>
  <si>
    <t>Beko 13</t>
  </si>
  <si>
    <t>Beko 14</t>
  </si>
  <si>
    <t>8- Séparateur de condensats</t>
  </si>
  <si>
    <t>Séparateur condensats</t>
  </si>
  <si>
    <t>Chauffage hors gel</t>
  </si>
  <si>
    <t>Bac de rétention</t>
  </si>
  <si>
    <t>9- Contrôle couplage &amp; régulation de la production</t>
  </si>
  <si>
    <t>Air Leader / SAM4.0</t>
  </si>
  <si>
    <t>AF Connect LAN</t>
  </si>
  <si>
    <t>AF Connect GSM</t>
  </si>
  <si>
    <t>10- Installation électrique de la centrale</t>
  </si>
  <si>
    <t>Arrivée de puissance électrique</t>
  </si>
  <si>
    <t>Armoires de protection puissance</t>
  </si>
  <si>
    <t>Raccordement électrique HN</t>
  </si>
  <si>
    <t>11- Raccordement pneumatique de centrale</t>
  </si>
  <si>
    <t>Tuyauterie centrale</t>
  </si>
  <si>
    <t>Bypass réservoir</t>
  </si>
  <si>
    <t>Bypass traitement</t>
  </si>
  <si>
    <t>Tuyauterie purges</t>
  </si>
  <si>
    <t>Alimentation et raccordement régulation</t>
  </si>
  <si>
    <t>Départ réseau général usine HT</t>
  </si>
  <si>
    <t>12- Gainage &amp; ventilation</t>
  </si>
  <si>
    <t>Évacuation compresseur</t>
  </si>
  <si>
    <t>Registre de récupération</t>
  </si>
  <si>
    <t>Grille d'insufflation</t>
  </si>
  <si>
    <t>13- Installation du réseau de distribution</t>
  </si>
  <si>
    <t>Réseau principal</t>
  </si>
  <si>
    <t>Réseau secondaire</t>
  </si>
  <si>
    <t xml:space="preserve">Ensemble FRL </t>
  </si>
  <si>
    <t>14- Travaux Divers</t>
  </si>
  <si>
    <t>Débitmètre sationnaire avec enregistreur de ddonnées pour 1 million de valeurs</t>
  </si>
  <si>
    <t>Autre</t>
  </si>
  <si>
    <t>15- Location de centrale</t>
  </si>
  <si>
    <t xml:space="preserve"> Location mois compresseur</t>
  </si>
  <si>
    <t>Location filtre</t>
  </si>
  <si>
    <t>Loc. accessoires de raccordement</t>
  </si>
  <si>
    <t>Transport</t>
  </si>
  <si>
    <t>Location chariot élévateur</t>
  </si>
  <si>
    <t>Location grue</t>
  </si>
  <si>
    <t>Instal. matériels de loc. HN</t>
  </si>
  <si>
    <t>Déplacement A/R (KMVA)</t>
  </si>
  <si>
    <t>16-Manutention, déchargement &amp; transport</t>
  </si>
  <si>
    <t>Transport des matériels chez le client</t>
  </si>
  <si>
    <t>Loc. chariot élévateur</t>
  </si>
  <si>
    <t>Déchargement</t>
  </si>
  <si>
    <t>17- Mise en service de l'installation (Màj 01/2022)</t>
  </si>
  <si>
    <t>MeS de l'installation (HNT)</t>
  </si>
  <si>
    <t>MeS de l'installation (HN)</t>
  </si>
  <si>
    <t>Frais de repas (FR)</t>
  </si>
  <si>
    <t>18- Reprises de matériels</t>
  </si>
  <si>
    <t>Reprise (Joindre fiche)</t>
  </si>
  <si>
    <t>Total VENTE HT :</t>
  </si>
  <si>
    <t>Montant VENTE HT :</t>
  </si>
  <si>
    <t>Total ACHAT HT :</t>
  </si>
  <si>
    <t>Montant vente idéal HT :</t>
  </si>
  <si>
    <t>Montant vente mini HT :</t>
  </si>
  <si>
    <t>FOR CIAL03 révision 02</t>
  </si>
  <si>
    <t>Dossier Technico-Commercial S2
Eau Glacée</t>
  </si>
  <si>
    <t xml:space="preserve"> Informations préliminaires
pour projet centrale d'eau glacée</t>
  </si>
  <si>
    <t xml:space="preserve">Pression  d'eau </t>
  </si>
  <si>
    <t>Bar</t>
  </si>
  <si>
    <t>Circuit d'eau ouvert</t>
  </si>
  <si>
    <t>O /N</t>
  </si>
  <si>
    <t>Qualité de l'eau</t>
  </si>
  <si>
    <t>Circuit d'eau fermé</t>
  </si>
  <si>
    <t>Débit du circuit maxi</t>
  </si>
  <si>
    <t>Pompe integrée</t>
  </si>
  <si>
    <t>Régime d'eau de sortie</t>
  </si>
  <si>
    <t>°C</t>
  </si>
  <si>
    <t xml:space="preserve">Pression disponible necessaire  </t>
  </si>
  <si>
    <t>mCE</t>
  </si>
  <si>
    <t>Régime d'eau de retour</t>
  </si>
  <si>
    <t xml:space="preserve">Voulez vous sécuriser la Pompe </t>
  </si>
  <si>
    <t>Installation exterieur</t>
  </si>
  <si>
    <t>Voulez vous sécuriser le groupe</t>
  </si>
  <si>
    <t>Température ambiance mini</t>
  </si>
  <si>
    <t>Heures d'utilisation</t>
  </si>
  <si>
    <t>Heures / ans</t>
  </si>
  <si>
    <t>Température ambiance  maxi</t>
  </si>
  <si>
    <t>Puissance du groupe (si déjà ext)</t>
  </si>
  <si>
    <t>KW</t>
  </si>
  <si>
    <t>Bache ouverte</t>
  </si>
  <si>
    <t>Récupération de calorie</t>
  </si>
  <si>
    <t xml:space="preserve">O /N </t>
  </si>
  <si>
    <t xml:space="preserve">Utilisation de la production de froid </t>
  </si>
  <si>
    <t>Usage de la récup. de calorie</t>
  </si>
  <si>
    <t>Capacité de la bache</t>
  </si>
  <si>
    <t>m3</t>
  </si>
  <si>
    <t>Dépollution ancien groupe</t>
  </si>
  <si>
    <t>Commentaires :</t>
  </si>
  <si>
    <t>Num.</t>
  </si>
  <si>
    <t>Staut</t>
  </si>
  <si>
    <t>Liv</t>
  </si>
  <si>
    <t>Eau Glacée : Matériels</t>
  </si>
  <si>
    <t>Groupe EG</t>
  </si>
  <si>
    <t>Marque :</t>
  </si>
  <si>
    <t>Modèle :</t>
  </si>
  <si>
    <t>Puissance :</t>
  </si>
  <si>
    <t>kW</t>
  </si>
  <si>
    <t>P :</t>
  </si>
  <si>
    <t>T</t>
  </si>
  <si>
    <t>Gaz :</t>
  </si>
  <si>
    <t>Rdt :</t>
  </si>
  <si>
    <t>Echangeur</t>
  </si>
  <si>
    <t>Régime T° :</t>
  </si>
  <si>
    <t>Techno :</t>
  </si>
  <si>
    <t>Pompes</t>
  </si>
  <si>
    <t>Débit :</t>
  </si>
  <si>
    <t>HMT :</t>
  </si>
  <si>
    <t>m</t>
  </si>
  <si>
    <t>Cuve</t>
  </si>
  <si>
    <t>Matière :</t>
  </si>
  <si>
    <t>Isolation :</t>
  </si>
  <si>
    <t>Volume :</t>
  </si>
  <si>
    <t>L</t>
  </si>
  <si>
    <t>Isolation Tuy. :</t>
  </si>
  <si>
    <t>Tracage :</t>
  </si>
  <si>
    <t>Gainage :</t>
  </si>
  <si>
    <t>Récup. Calo :</t>
  </si>
  <si>
    <t>Retour de Loc :</t>
  </si>
  <si>
    <t>Reprise Mat. :</t>
  </si>
  <si>
    <t>Dossier Technico-Commercial S2
Air Comprimé</t>
  </si>
  <si>
    <t>Informations Préliminaires Air Comprimé</t>
  </si>
  <si>
    <t>Pression d'air circuit 1</t>
  </si>
  <si>
    <t>Débit maximal</t>
  </si>
  <si>
    <t>Qualité d'air circuit 1</t>
  </si>
  <si>
    <t>Nombre d'heure / an</t>
  </si>
  <si>
    <t>h</t>
  </si>
  <si>
    <t>Pression d'air circuit 2</t>
  </si>
  <si>
    <t>Qualité d'air circuit 2</t>
  </si>
  <si>
    <t>Puissance installée</t>
  </si>
  <si>
    <t>Air Comprimé : Matériels</t>
  </si>
  <si>
    <t>Compresseurs</t>
  </si>
  <si>
    <t>Ajout</t>
  </si>
  <si>
    <t>Kaeser</t>
  </si>
  <si>
    <t>CSD111</t>
  </si>
  <si>
    <t>Puiss. :</t>
  </si>
  <si>
    <t>Poids :</t>
  </si>
  <si>
    <t>Pression :</t>
  </si>
  <si>
    <t>b</t>
  </si>
  <si>
    <t>N° Série :</t>
  </si>
  <si>
    <t>Existant</t>
  </si>
  <si>
    <t>CSD222</t>
  </si>
  <si>
    <t>Compair</t>
  </si>
  <si>
    <t>Supprimé</t>
  </si>
  <si>
    <t>CSD333</t>
  </si>
  <si>
    <t>Position :</t>
  </si>
  <si>
    <t>Air :</t>
  </si>
  <si>
    <t>Année :</t>
  </si>
  <si>
    <t>Sécheur</t>
  </si>
  <si>
    <t>Filtration</t>
  </si>
  <si>
    <t>Quantité :</t>
  </si>
  <si>
    <t>Indiquer la quantité pour la mise en service</t>
  </si>
  <si>
    <t>Purges</t>
  </si>
  <si>
    <t>Collecteur</t>
  </si>
  <si>
    <t>Purgeur</t>
  </si>
  <si>
    <t>Séparateur</t>
  </si>
  <si>
    <t>Bac de rétention :</t>
  </si>
  <si>
    <t>Réseau</t>
  </si>
  <si>
    <t>Réseau 1</t>
  </si>
  <si>
    <t>Métrologie :</t>
  </si>
  <si>
    <t>Régulation :</t>
  </si>
  <si>
    <t>Longueur Tot. :</t>
  </si>
  <si>
    <t>Longueur modifiée :</t>
  </si>
  <si>
    <t>Piquage en attente :</t>
  </si>
  <si>
    <t>Réseau 2</t>
  </si>
  <si>
    <t>Gaine de refoulement air :</t>
  </si>
  <si>
    <t>Retour de Location :</t>
  </si>
  <si>
    <t>Récupération Calorie :</t>
  </si>
  <si>
    <t>Reprise de matériel :</t>
  </si>
  <si>
    <t>Destruction</t>
  </si>
  <si>
    <t>Dossier Technico-Commercial S2
SSE</t>
  </si>
  <si>
    <t>Critère SSE</t>
  </si>
  <si>
    <t>Conditions d'Acces au site :</t>
  </si>
  <si>
    <t>Accueil Sécurité :</t>
  </si>
  <si>
    <t>PDP :</t>
  </si>
  <si>
    <t>Risques chim. :</t>
  </si>
  <si>
    <t>Moyens Materiel :</t>
  </si>
  <si>
    <t>Travail en hauteur :</t>
  </si>
  <si>
    <t>m (maxi)</t>
  </si>
  <si>
    <t>Nacelle</t>
  </si>
  <si>
    <t>Type :</t>
  </si>
  <si>
    <t>A charge :</t>
  </si>
  <si>
    <t>Cmd :</t>
  </si>
  <si>
    <t>Fourn. :</t>
  </si>
  <si>
    <t>Levage</t>
  </si>
  <si>
    <t>Manut.</t>
  </si>
  <si>
    <t>Gazelle</t>
  </si>
  <si>
    <t>Taille :</t>
  </si>
  <si>
    <t>Stockage</t>
  </si>
  <si>
    <t>EPI Particuliers à préciser (Masques - Combinaisons ---- ) :</t>
  </si>
  <si>
    <t>Dossier Technico-Commercial S2
PV de réception</t>
  </si>
  <si>
    <t>Nature des travaux :</t>
  </si>
  <si>
    <t>Air comprimé :</t>
  </si>
  <si>
    <t>Eau glacée :</t>
  </si>
  <si>
    <t>Vide :</t>
  </si>
  <si>
    <t>Azote :</t>
  </si>
  <si>
    <t>Montage d'une centrale :</t>
  </si>
  <si>
    <t>Création d'un réseau :</t>
  </si>
  <si>
    <t>Déplacement d'une centrale :</t>
  </si>
  <si>
    <t>Prolongation d'un réseau :</t>
  </si>
  <si>
    <t xml:space="preserve">Gainage : </t>
  </si>
  <si>
    <t>Modification d'un réseau :</t>
  </si>
  <si>
    <t>Récupération d'energie :</t>
  </si>
  <si>
    <t>Télésurveillance (AF Connect) :</t>
  </si>
  <si>
    <t>Ligne conditionné au reprise de matériel, voir onglé Air Comprimé</t>
  </si>
  <si>
    <t>Procès Verbal Intermédiaire : Mise en service</t>
  </si>
  <si>
    <t>Date :</t>
  </si>
  <si>
    <t>Bon d'intervention :</t>
  </si>
  <si>
    <t>Type d'Installation :</t>
  </si>
  <si>
    <t xml:space="preserve">Remise de la documentatioin technique ( notices, certificats d'épreuve, tarage) : </t>
  </si>
  <si>
    <t>Personnes présentes :</t>
  </si>
  <si>
    <t>Airflux :</t>
  </si>
  <si>
    <t>Signature Airflux :</t>
  </si>
  <si>
    <t>Nom :</t>
  </si>
  <si>
    <t>Qualité :</t>
  </si>
  <si>
    <t>Procès Verbal de Réception</t>
  </si>
  <si>
    <t>Dossier Technico-Commercial S2
Retour d'expérience</t>
  </si>
  <si>
    <t>Retour d'expérience</t>
  </si>
  <si>
    <t>Sécurité</t>
  </si>
  <si>
    <t>Aléa Organisationnel :</t>
  </si>
  <si>
    <t>Aléa Humain :</t>
  </si>
  <si>
    <t>Aléa Technique :</t>
  </si>
  <si>
    <t>Situation dangeureuse à remonter :</t>
  </si>
  <si>
    <t>Bonne pratique à diffuser :</t>
  </si>
  <si>
    <t>Qualité</t>
  </si>
  <si>
    <t>Satisfaction client :</t>
  </si>
  <si>
    <t>Respect des procédures :</t>
  </si>
  <si>
    <t>Dossier Technico-Commercial S2
Demande de Transport</t>
  </si>
  <si>
    <t>Formulaire :</t>
  </si>
  <si>
    <t>FOR LOGI-01</t>
  </si>
  <si>
    <t>Résivion :</t>
  </si>
  <si>
    <t>INFORMATION AIRFLUX</t>
  </si>
  <si>
    <t>Agence :</t>
  </si>
  <si>
    <t>Démandé le :</t>
  </si>
  <si>
    <t>Par :</t>
  </si>
  <si>
    <t>INFORMATION ENLEVEMENT</t>
  </si>
  <si>
    <t>Date demandée :</t>
  </si>
  <si>
    <t>Heure :</t>
  </si>
  <si>
    <t>Contact :</t>
  </si>
  <si>
    <t>Tél :</t>
  </si>
  <si>
    <t>INFORMATION LIVRAISON</t>
  </si>
  <si>
    <t>Reims</t>
  </si>
  <si>
    <t>Adressage automatique si agence</t>
  </si>
  <si>
    <t>INFORMATION TRANSPORT</t>
  </si>
  <si>
    <t>Type d'envoie :</t>
  </si>
  <si>
    <t>Expresse avant 15h (livraison J+1) :</t>
  </si>
  <si>
    <t>Commentaires particuliers (horaires, moyen de levages particuliers, hayon, plateau, camion grue, …) :</t>
  </si>
  <si>
    <t>Type de matériel</t>
  </si>
  <si>
    <t>Désignation précise (type de marchandise, N° série…):</t>
  </si>
  <si>
    <t>Dimenssions</t>
  </si>
  <si>
    <t>Poids Tot.</t>
  </si>
  <si>
    <t>Valeur</t>
  </si>
  <si>
    <t>Transporteur :</t>
  </si>
  <si>
    <t>Référence du transport :</t>
  </si>
  <si>
    <t>Prix proposé :</t>
  </si>
  <si>
    <t xml:space="preserve">Bon pour accord : </t>
  </si>
  <si>
    <t>Condition d'accès (heures, etc …) :</t>
  </si>
  <si>
    <t xml:space="preserve">Matériel indispensable à son déchargement (chariot élévateur…) : </t>
  </si>
  <si>
    <t>Date</t>
  </si>
  <si>
    <t>INFORMATION CLIENT</t>
  </si>
  <si>
    <t>Acceptez-vous la livraison directe du ou des matériels cités ci-dessus ?</t>
  </si>
  <si>
    <t>Assurez-vous la réception et déchargement du ou des matériels cités ci-dessus ?</t>
  </si>
  <si>
    <t>Assurez-vous le stockage et manutention du ou des matériels cités ci-dessus ?</t>
  </si>
  <si>
    <t>Pour chaque livraison, vous vous engagez à nous fournir le bon de livraison ainsi qu'en cas de litige le bon de transport avec vos réserves.</t>
  </si>
  <si>
    <t>En acceptant la livraison directe du matériel, vous vous engagez à contrôler les matériels et lister les éventuelles réserves nécessaire avant déchargement. La responsabilité Airflux ne saurait-etre engagées en cas de domage sur le matériel survenu lors de ces opérations. Sans réserves de votre part, nous serons dans l’impossibilité d’effectuer un recours auprès du transporteur ou du fournisseur et l'impact sur votre matériel vous sera imputé.</t>
  </si>
  <si>
    <t xml:space="preserve">A </t>
  </si>
  <si>
    <t>N°</t>
  </si>
  <si>
    <t>A retourner à
Please retyun to</t>
  </si>
  <si>
    <t>Client utilisateur / Client :</t>
  </si>
  <si>
    <t>Machine</t>
  </si>
  <si>
    <t>Nom / Name :</t>
  </si>
  <si>
    <t>N° :</t>
  </si>
  <si>
    <t>Nom complète / Full address :</t>
  </si>
  <si>
    <t>Compresseur / Compressor</t>
  </si>
  <si>
    <t>Moteur / Motor</t>
  </si>
  <si>
    <t>Distributeur/Distributor</t>
  </si>
  <si>
    <t>Lieu d'utilisation / Working site :</t>
  </si>
  <si>
    <t>Date de mise en service /Starting date to working</t>
  </si>
  <si>
    <t>Livraison / Delivery</t>
  </si>
  <si>
    <t>Signature</t>
  </si>
  <si>
    <t>B</t>
  </si>
  <si>
    <t>A conserver par le DISTRIBUTEUR
To  be kept by DISTRIBUTOR</t>
  </si>
  <si>
    <t>C</t>
  </si>
  <si>
    <t>A conserver par l'utilisateur
To be kept by purchaser</t>
  </si>
  <si>
    <t xml:space="preserve">La machine que vous venez d'acquérir est construite pour le meilleur service.
Pour en profiter pleinement, respectez les prescriptions de la notice qui l'accompagne.
Le distributeur auquel vous vous êtes adressé pour cet achat est compétent.Consultez-le.
Pour vos copmmandes de piècesde rechange, rappelez toujours le numéro et le type de la machine.
Pour ne pas perdre le bénéfice de la garantie, retournez-nous le volet Ade cette carte, complété et signé, dès la mise en service de votre machine.
Our machines are built to last.
Read carefully the maintenance manuel.Stick to the prescriptions. Do not hesitate to contact our distributor.
When ordering spare parts specity number and type of your machine.
Please return th A sheet of guarantee card duly signed and filled to benefit fully guarantee at the starting date of working. </t>
  </si>
  <si>
    <t>Dossier Technico-Commercial S2
PV de mise en service</t>
  </si>
  <si>
    <t>Code client Divalto :</t>
  </si>
  <si>
    <r>
      <rPr>
        <b/>
        <sz val="14"/>
        <color theme="0"/>
        <rFont val="Colibri"/>
      </rPr>
      <t>ENREGISTREMENTS ET TESTS DE FONCTIONNEMENT</t>
    </r>
    <r>
      <rPr>
        <sz val="14"/>
        <color theme="0"/>
        <rFont val="Colibri"/>
      </rPr>
      <t xml:space="preserve">
</t>
    </r>
    <r>
      <rPr>
        <sz val="8"/>
        <color theme="0"/>
        <rFont val="Colibri"/>
      </rPr>
      <t xml:space="preserve">MERCI DE LISTER L'INTEGRALITE LE MATERIEL INSTALLE (compresseur, cuve, sécheur, filtres réseau….)       </t>
    </r>
    <r>
      <rPr>
        <sz val="14"/>
        <color theme="0"/>
        <rFont val="Colibri"/>
      </rPr>
      <t xml:space="preserve">                                                                                                                                   </t>
    </r>
  </si>
  <si>
    <t>ATTENTION : DES FORMULAIRES "CONSTRUCTEURS" DE MISE EN SERVICE SONT EGALEMENT OBLIGATOIREMENT A REMPLIR(COMPAIR, KAESER, BEKO, EKOMAK, MATTEI, PARKER)</t>
  </si>
  <si>
    <t>Check List Avant
Mise en service</t>
  </si>
  <si>
    <t>Contrôle serrage des câbles</t>
  </si>
  <si>
    <t>Amorcage éléments de compression</t>
  </si>
  <si>
    <t>Contrôle des protections thermiques</t>
  </si>
  <si>
    <t>Démontage cales de transport</t>
  </si>
  <si>
    <t>Vérification tension réseau</t>
  </si>
  <si>
    <t>Contrôle niveau d'huile</t>
  </si>
  <si>
    <t>Vérification tension machine</t>
  </si>
  <si>
    <t>Contrôle tension des courroies</t>
  </si>
  <si>
    <t>Compresseur</t>
  </si>
  <si>
    <t>Huile :</t>
  </si>
  <si>
    <t>Technologie :</t>
  </si>
  <si>
    <t>Numéro de série :</t>
  </si>
  <si>
    <t>Merci de prendre à minima des photos de :</t>
  </si>
  <si>
    <t>Contrôle du sens de rotation</t>
  </si>
  <si>
    <t>N° de Bloc VIS</t>
  </si>
  <si>
    <t>Plaque du compresseur</t>
  </si>
  <si>
    <t>N° de série Moteur</t>
  </si>
  <si>
    <t>N° de série Variateur</t>
  </si>
  <si>
    <t>Plaque du bloc vis</t>
  </si>
  <si>
    <t>Contrôle intensité</t>
  </si>
  <si>
    <t>Contrôle Thermique Moteur</t>
  </si>
  <si>
    <t>Plaque signalétique du moteur</t>
  </si>
  <si>
    <t>Contrôle des seuils de pression</t>
  </si>
  <si>
    <t>Contrôle réglage pression</t>
  </si>
  <si>
    <t>Plaque signalétique du variateur</t>
  </si>
  <si>
    <t>Ampérage</t>
  </si>
  <si>
    <t>Tension</t>
  </si>
  <si>
    <t>A vide</t>
  </si>
  <si>
    <t>En charge</t>
  </si>
  <si>
    <t>Phase 1 :</t>
  </si>
  <si>
    <t>Phase 2 :</t>
  </si>
  <si>
    <t>Phase 3 :</t>
  </si>
  <si>
    <t>Réglage du thermique:</t>
  </si>
  <si>
    <t>Filtration, Purgeurs et Traitement de condensats</t>
  </si>
  <si>
    <t>Merci de prendre à minima des photos des plaques</t>
  </si>
  <si>
    <t>Filtre</t>
  </si>
  <si>
    <t>Référence :</t>
  </si>
  <si>
    <t>Condensats</t>
  </si>
  <si>
    <t>Ou dimensions</t>
  </si>
  <si>
    <t>Modifs</t>
  </si>
  <si>
    <t>Ajout de deux filtration</t>
  </si>
  <si>
    <t>Modification de la gestion mise en service de la partie purge filtration</t>
  </si>
  <si>
    <t>Correction du décallage sur compresseur et sécheur</t>
  </si>
  <si>
    <t>Verrouillage des cellules</t>
  </si>
  <si>
    <t>Déplacement de la partie Nature des travaux dans le PV de réception</t>
  </si>
  <si>
    <t>Ajout dans la nature des travaux des élément AC / EG / Vide / Azote</t>
  </si>
  <si>
    <t>La Croisette
54330 Vézelise</t>
  </si>
  <si>
    <t>Verouillage des cellules sur la page SSE corrigée</t>
  </si>
  <si>
    <t>Ajout du type de sécheur "Hybride"</t>
  </si>
  <si>
    <t>Changement de la gestion des sécheurs pour avoir des infos pertinente en fonction du type de sécheur</t>
  </si>
  <si>
    <t>Ajout du numéro de devis commercial dans l'entête</t>
  </si>
  <si>
    <t>Ajout de la recup calorie "eau" pour point d'attention</t>
  </si>
  <si>
    <t>Changement des titres de pages et paramètres d'impression sur le PV de mise en service</t>
  </si>
  <si>
    <t>Ajout des formats spé sur les cellules</t>
  </si>
  <si>
    <t>Modification de l'impression, en cas d'erreur sur le paramètrage, continue avec la suite. C'est la mise en page qui bug, il faut la faire à la main.</t>
  </si>
  <si>
    <t>Protection de la feuille offre commeciale</t>
  </si>
  <si>
    <t>Ajout des filtres cycloniques, anti poussière, ligne dans l'offre commerciale</t>
  </si>
  <si>
    <t>Intégration de la demande de transport et livraison direct client</t>
  </si>
  <si>
    <t>Ajout au PV de réception de la reprise de matériel location ou rachat</t>
  </si>
  <si>
    <t>Bug macro cuve et filtration</t>
  </si>
  <si>
    <t>Intégrer la garantie Kaeser, PTG + type de vis</t>
  </si>
  <si>
    <t>Automatisation de la garantie Kaeser à faire</t>
  </si>
  <si>
    <t>Ajout de la liasse documentaire dans l'onglet Projet</t>
  </si>
  <si>
    <t>Modification de la condition pour que la filtration et ou purge apparaissent dans le PV de mise en service : quantité dans l'onglet air comprimé.</t>
  </si>
  <si>
    <t>Test</t>
  </si>
  <si>
    <t>Texte</t>
  </si>
  <si>
    <t>Eau Glacée</t>
  </si>
  <si>
    <t>Nb Compresseur :</t>
  </si>
  <si>
    <t>Air Comprimée</t>
  </si>
  <si>
    <t>Nb Sécheur :</t>
  </si>
  <si>
    <t>Nb Cuve :</t>
  </si>
  <si>
    <t>Filtration :</t>
  </si>
  <si>
    <t>Nb de Filtre :</t>
  </si>
  <si>
    <t>Nb de purge :</t>
  </si>
  <si>
    <t>Status</t>
  </si>
  <si>
    <t>Oui / Non</t>
  </si>
  <si>
    <t>Travaux</t>
  </si>
  <si>
    <t>Responsabilité</t>
  </si>
  <si>
    <t>Reprise</t>
  </si>
  <si>
    <t>Matière Cuve</t>
  </si>
  <si>
    <t>Position Cuve</t>
  </si>
  <si>
    <t>Techno Sécheur</t>
  </si>
  <si>
    <t>Niveau filtration</t>
  </si>
  <si>
    <t>Régulation</t>
  </si>
  <si>
    <t>Métrologie</t>
  </si>
  <si>
    <t>Matière Réseau</t>
  </si>
  <si>
    <t>Type Installation</t>
  </si>
  <si>
    <t>Techno Comp</t>
  </si>
  <si>
    <t>Huile</t>
  </si>
  <si>
    <t>Suite à</t>
  </si>
  <si>
    <t>Offre à envoyer</t>
  </si>
  <si>
    <t>Type de murs</t>
  </si>
  <si>
    <t>RécupCalo</t>
  </si>
  <si>
    <t>Agence</t>
  </si>
  <si>
    <t>Adresses</t>
  </si>
  <si>
    <t>Type PTG</t>
  </si>
  <si>
    <t>Condition de paiement</t>
  </si>
  <si>
    <t>Pas Besoin</t>
  </si>
  <si>
    <t>Airflux</t>
  </si>
  <si>
    <t>Pas nécessaire</t>
  </si>
  <si>
    <t>Inox</t>
  </si>
  <si>
    <t>H</t>
  </si>
  <si>
    <t>Frigo</t>
  </si>
  <si>
    <t>Micro</t>
  </si>
  <si>
    <t>SAM 4.0</t>
  </si>
  <si>
    <t>Temp.</t>
  </si>
  <si>
    <t>Inox Italien</t>
  </si>
  <si>
    <t>Neuf (S2)</t>
  </si>
  <si>
    <t>Vis</t>
  </si>
  <si>
    <t>Synth.</t>
  </si>
  <si>
    <t>Demande</t>
  </si>
  <si>
    <t>Fax</t>
  </si>
  <si>
    <t>Brique</t>
  </si>
  <si>
    <t>Air via Gainage</t>
  </si>
  <si>
    <t>Lille</t>
  </si>
  <si>
    <t>58 Rue des Marquillies
59000 LILLE</t>
  </si>
  <si>
    <t>+25</t>
  </si>
  <si>
    <t>Galva</t>
  </si>
  <si>
    <t>Adsorbtion</t>
  </si>
  <si>
    <t>Submicro</t>
  </si>
  <si>
    <t>AirLeader</t>
  </si>
  <si>
    <t>Hygro.</t>
  </si>
  <si>
    <t>Inox Soudé</t>
  </si>
  <si>
    <t>Occasion (S2)</t>
  </si>
  <si>
    <t>Piston</t>
  </si>
  <si>
    <t>Minérale</t>
  </si>
  <si>
    <t>Appel d'offre</t>
  </si>
  <si>
    <t>Courrier</t>
  </si>
  <si>
    <t>Eau /!\ Qualité</t>
  </si>
  <si>
    <t>ZI Pompelle
31 Rue du Val Clair
51100 Reims</t>
  </si>
  <si>
    <t>+55</t>
  </si>
  <si>
    <t>30j fin de mois le 10</t>
  </si>
  <si>
    <t>NA</t>
  </si>
  <si>
    <t>A modifier</t>
  </si>
  <si>
    <t>Reprise AF</t>
  </si>
  <si>
    <t>Peint</t>
  </si>
  <si>
    <t>Hybride</t>
  </si>
  <si>
    <t>Charbon</t>
  </si>
  <si>
    <t>AF Connect 4G</t>
  </si>
  <si>
    <t>Debit.</t>
  </si>
  <si>
    <t>Alu</t>
  </si>
  <si>
    <t>Location (S35)</t>
  </si>
  <si>
    <t>Palette</t>
  </si>
  <si>
    <t>Alim.</t>
  </si>
  <si>
    <t>Visite du</t>
  </si>
  <si>
    <t>Fax + Courrier</t>
  </si>
  <si>
    <t>Bardage</t>
  </si>
  <si>
    <t>Autre ?</t>
  </si>
  <si>
    <t>Benfeld</t>
  </si>
  <si>
    <t>2A Rue d'Italie
67230 BENFELD</t>
  </si>
  <si>
    <t>45j fin de mois</t>
  </si>
  <si>
    <t>Remplacé</t>
  </si>
  <si>
    <t>A réaliser</t>
  </si>
  <si>
    <t>Cyclonique</t>
  </si>
  <si>
    <t>AF Connect Lan</t>
  </si>
  <si>
    <t>Press.</t>
  </si>
  <si>
    <t>LLD (S25)</t>
  </si>
  <si>
    <t>Semi-Synth.</t>
  </si>
  <si>
    <t>Remis au TC</t>
  </si>
  <si>
    <t>St Amé</t>
  </si>
  <si>
    <t>76 Rte de Celles
88120 Saint Amé</t>
  </si>
  <si>
    <t>Anti-Pouss.</t>
  </si>
  <si>
    <t>BLS (Compair)</t>
  </si>
  <si>
    <t>Press. Diff.</t>
  </si>
  <si>
    <t>LCA (S5)</t>
  </si>
  <si>
    <t>Mail</t>
  </si>
  <si>
    <t>Vezelise</t>
  </si>
  <si>
    <t>La Croisette
Rue de la gare
54330 Vézelise</t>
  </si>
  <si>
    <t>Contrôle du sens de rotation :</t>
  </si>
  <si>
    <t>Type Machine :</t>
  </si>
  <si>
    <t>Type Bloc Vis :</t>
  </si>
  <si>
    <t>N° de Bloc VIS :</t>
  </si>
  <si>
    <t>Type Moteur :</t>
  </si>
  <si>
    <t>N° de série Moteur :</t>
  </si>
  <si>
    <t>Type Variateur :</t>
  </si>
  <si>
    <t>N° de série Variateur :</t>
  </si>
  <si>
    <t>Type PTG :</t>
  </si>
  <si>
    <t>Puissance PTG :</t>
  </si>
  <si>
    <t>Intensité</t>
  </si>
  <si>
    <t>Qté Gaz :</t>
  </si>
  <si>
    <t>Qté Dessiccant :</t>
  </si>
  <si>
    <t>Plaque signalétique du sécheur</t>
  </si>
  <si>
    <t>Vérification groupe ventilateur</t>
  </si>
  <si>
    <t>Vérification point de rosée</t>
  </si>
  <si>
    <t>Vérification purgeurs</t>
  </si>
  <si>
    <t>Vérifcation sene et présence des filtres</t>
  </si>
  <si>
    <t>Intensité :</t>
  </si>
  <si>
    <t xml:space="preserve">Année / Année de contrôle : </t>
  </si>
  <si>
    <t>Plaque signalétique de la cuve</t>
  </si>
  <si>
    <t>Pression de service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</si>
</sst>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_-* #,##0.00\ [$€-1]_-;\-* #,##0.00\ [$€-1]_-;_-* &quot;-&quot;??\ [$€-1]_-"/>
    <numFmt numFmtId="165" formatCode="#,##0.00\ &quot;€&quot;"/>
    <numFmt numFmtId="166" formatCode="##.#&quot; A&quot;"/>
    <numFmt numFmtId="167" formatCode="##&quot; V&quot;"/>
  </numFmts>
  <fonts count="46">
    <font>
      <sz val="11"/>
      <color theme="1"/>
      <name val="Calibri"/>
      <family val="2"/>
      <scheme val="minor"/>
    </font>
    <font>
      <sz val="10"/>
      <name val="Arial"/>
      <family val="2"/>
    </font>
    <font>
      <sz val="10"/>
      <name val="Arial"/>
      <family val="2"/>
    </font>
    <font>
      <sz val="14"/>
      <color theme="1"/>
      <name val="Calibri"/>
      <family val="2"/>
      <scheme val="minor"/>
    </font>
    <font>
      <b/>
      <sz val="18"/>
      <color theme="1"/>
      <name val="Calibri"/>
      <family val="2"/>
      <scheme val="minor"/>
    </font>
    <font>
      <b/>
      <sz val="10"/>
      <name val="Colibri"/>
    </font>
    <font>
      <sz val="10"/>
      <name val="Colibri"/>
    </font>
    <font>
      <sz val="11"/>
      <name val="Colibri"/>
    </font>
    <font>
      <sz val="10"/>
      <color theme="1"/>
      <name val="Colibri"/>
    </font>
    <font>
      <b/>
      <sz val="10"/>
      <name val="Calibri"/>
      <family val="2"/>
      <scheme val="minor"/>
    </font>
    <font>
      <b/>
      <sz val="12"/>
      <name val="Calibri"/>
      <family val="2"/>
      <scheme val="minor"/>
    </font>
    <font>
      <sz val="12"/>
      <name val="Calibri"/>
      <family val="2"/>
      <scheme val="minor"/>
    </font>
    <font>
      <sz val="12"/>
      <color theme="1"/>
      <name val="Calibri"/>
      <family val="2"/>
      <scheme val="minor"/>
    </font>
    <font>
      <b/>
      <sz val="11"/>
      <name val="Calibri"/>
      <family val="2"/>
      <scheme val="minor"/>
    </font>
    <font>
      <sz val="10"/>
      <color theme="1"/>
      <name val="Calibri"/>
      <family val="2"/>
      <scheme val="minor"/>
    </font>
    <font>
      <b/>
      <sz val="10"/>
      <color theme="1"/>
      <name val="Calibri"/>
      <family val="2"/>
      <scheme val="minor"/>
    </font>
    <font>
      <sz val="18"/>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b/>
      <sz val="10"/>
      <name val="Arial"/>
      <family val="2"/>
    </font>
    <font>
      <sz val="10"/>
      <name val="Arial"/>
      <family val="2"/>
    </font>
    <font>
      <sz val="7"/>
      <name val="Arial"/>
      <family val="2"/>
    </font>
    <font>
      <b/>
      <sz val="18"/>
      <color theme="0"/>
      <name val="Calibri"/>
      <family val="2"/>
      <scheme val="minor"/>
    </font>
    <font>
      <b/>
      <sz val="16"/>
      <color theme="0"/>
      <name val="Calibri"/>
      <family val="2"/>
      <scheme val="minor"/>
    </font>
    <font>
      <sz val="10"/>
      <color theme="0"/>
      <name val="Calibri"/>
      <family val="2"/>
      <scheme val="minor"/>
    </font>
    <font>
      <b/>
      <u/>
      <sz val="18"/>
      <color theme="0"/>
      <name val="Calibri"/>
      <family val="2"/>
      <scheme val="minor"/>
    </font>
    <font>
      <b/>
      <sz val="10"/>
      <color theme="0"/>
      <name val="Calibri"/>
      <family val="2"/>
      <scheme val="minor"/>
    </font>
    <font>
      <b/>
      <sz val="18"/>
      <color theme="0"/>
      <name val="Colibri"/>
    </font>
    <font>
      <sz val="14"/>
      <color theme="0"/>
      <name val="Colibri"/>
    </font>
    <font>
      <sz val="14"/>
      <name val="Colibri"/>
    </font>
    <font>
      <b/>
      <sz val="14"/>
      <color theme="0"/>
      <name val="Colibri"/>
    </font>
    <font>
      <sz val="8"/>
      <color theme="0"/>
      <name val="Colibri"/>
    </font>
    <font>
      <b/>
      <sz val="16"/>
      <color theme="1"/>
      <name val="Calibri"/>
      <family val="2"/>
      <scheme val="minor"/>
    </font>
    <font>
      <b/>
      <sz val="12"/>
      <name val="Arial"/>
      <family val="2"/>
    </font>
    <font>
      <sz val="9"/>
      <name val="Arial"/>
      <family val="2"/>
    </font>
    <font>
      <b/>
      <sz val="14"/>
      <color theme="0"/>
      <name val="Calibri"/>
      <family val="2"/>
      <scheme val="minor"/>
    </font>
    <font>
      <sz val="8"/>
      <name val="Calibri"/>
      <family val="2"/>
      <scheme val="minor"/>
    </font>
    <font>
      <sz val="16"/>
      <color theme="1"/>
      <name val="Calibri"/>
      <family val="2"/>
      <scheme val="minor"/>
    </font>
    <font>
      <sz val="11"/>
      <color theme="1"/>
      <name val="Colibri"/>
    </font>
    <font>
      <u/>
      <sz val="10"/>
      <color theme="10"/>
      <name val="Calibri"/>
      <family val="2"/>
      <scheme val="minor"/>
    </font>
    <font>
      <sz val="9"/>
      <name val="Colibri"/>
    </font>
    <font>
      <sz val="10"/>
      <color rgb="FF000000"/>
      <name val="Calibri"/>
      <family val="2"/>
    </font>
    <font>
      <sz val="11"/>
      <color rgb="FF000000"/>
      <name val="Calibri"/>
      <family val="2"/>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2A385C"/>
        <bgColor indexed="64"/>
      </patternFill>
    </fill>
    <fill>
      <patternFill patternType="solid">
        <fgColor rgb="FFA9AEBD"/>
        <bgColor indexed="64"/>
      </patternFill>
    </fill>
    <fill>
      <patternFill patternType="solid">
        <fgColor rgb="FFD5D6E8"/>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59999389629810485"/>
        <bgColor indexed="64"/>
      </patternFill>
    </fill>
    <fill>
      <gradientFill degree="45">
        <stop position="0">
          <color theme="5" tint="0.59999389629810485"/>
        </stop>
        <stop position="1">
          <color theme="8" tint="0.59999389629810485"/>
        </stop>
      </gradientFill>
    </fill>
    <fill>
      <patternFill patternType="lightGray"/>
    </fill>
  </fills>
  <borders count="7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dashed">
        <color indexed="64"/>
      </left>
      <right/>
      <top style="thin">
        <color indexed="64"/>
      </top>
      <bottom style="thin">
        <color indexed="64"/>
      </bottom>
      <diagonal/>
    </border>
    <border>
      <left style="dashed">
        <color indexed="64"/>
      </left>
      <right/>
      <top style="medium">
        <color indexed="64"/>
      </top>
      <bottom style="thin">
        <color indexed="64"/>
      </bottom>
      <diagonal/>
    </border>
  </borders>
  <cellStyleXfs count="10">
    <xf numFmtId="0" fontId="0" fillId="0" borderId="0"/>
    <xf numFmtId="0" fontId="1"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44" fontId="18" fillId="0" borderId="0" applyFont="0" applyFill="0" applyBorder="0" applyAlignment="0" applyProtection="0"/>
    <xf numFmtId="0" fontId="20" fillId="0" borderId="0" applyNumberFormat="0" applyFill="0" applyBorder="0" applyAlignment="0" applyProtection="0"/>
    <xf numFmtId="0" fontId="23" fillId="0" borderId="0"/>
    <xf numFmtId="9" fontId="18" fillId="0" borderId="0" applyFont="0" applyFill="0" applyBorder="0" applyAlignment="0" applyProtection="0"/>
    <xf numFmtId="9" fontId="1" fillId="0" borderId="0" applyFont="0" applyFill="0" applyBorder="0" applyAlignment="0" applyProtection="0"/>
  </cellStyleXfs>
  <cellXfs count="1061">
    <xf numFmtId="0" fontId="0" fillId="0" borderId="0" xfId="0"/>
    <xf numFmtId="0" fontId="0" fillId="0" borderId="0" xfId="0" applyAlignment="1">
      <alignment vertical="center"/>
    </xf>
    <xf numFmtId="0" fontId="12" fillId="0" borderId="0" xfId="0" applyFont="1" applyAlignment="1">
      <alignment horizontal="left" vertical="center"/>
    </xf>
    <xf numFmtId="0" fontId="12" fillId="0" borderId="0" xfId="0" applyFont="1" applyAlignment="1">
      <alignment vertical="center"/>
    </xf>
    <xf numFmtId="0" fontId="10" fillId="0" borderId="0" xfId="3" applyFont="1" applyAlignment="1">
      <alignment horizontal="right" vertical="center"/>
    </xf>
    <xf numFmtId="0" fontId="11" fillId="0" borderId="0" xfId="3" applyFont="1" applyAlignment="1">
      <alignment horizontal="left" vertical="center"/>
    </xf>
    <xf numFmtId="0" fontId="4" fillId="0" borderId="0" xfId="0" applyFont="1" applyAlignment="1">
      <alignment vertical="top"/>
    </xf>
    <xf numFmtId="0" fontId="14" fillId="0" borderId="45" xfId="0" applyFont="1" applyBorder="1" applyAlignment="1">
      <alignment vertical="center"/>
    </xf>
    <xf numFmtId="0" fontId="14" fillId="0" borderId="15" xfId="0" applyFont="1" applyBorder="1" applyAlignment="1">
      <alignment vertical="center"/>
    </xf>
    <xf numFmtId="0" fontId="14" fillId="0" borderId="43" xfId="0" applyFont="1" applyBorder="1" applyAlignment="1">
      <alignment vertical="center"/>
    </xf>
    <xf numFmtId="0" fontId="14" fillId="0" borderId="64" xfId="0" applyFont="1" applyBorder="1" applyAlignment="1">
      <alignment vertical="center"/>
    </xf>
    <xf numFmtId="0" fontId="14" fillId="0" borderId="45" xfId="0" applyFont="1" applyBorder="1" applyAlignment="1">
      <alignment horizontal="right" vertical="center"/>
    </xf>
    <xf numFmtId="0" fontId="14" fillId="0" borderId="15" xfId="0" applyFont="1" applyBorder="1" applyAlignment="1">
      <alignment horizontal="right" vertical="center"/>
    </xf>
    <xf numFmtId="0" fontId="14" fillId="0" borderId="43" xfId="0" applyFont="1" applyBorder="1" applyAlignment="1">
      <alignment horizontal="right" vertical="center"/>
    </xf>
    <xf numFmtId="0" fontId="14" fillId="0" borderId="66" xfId="0" applyFont="1" applyBorder="1" applyAlignment="1">
      <alignment horizontal="right" vertical="center"/>
    </xf>
    <xf numFmtId="0" fontId="14" fillId="0" borderId="66" xfId="0" applyFont="1" applyBorder="1" applyAlignment="1">
      <alignment vertical="center"/>
    </xf>
    <xf numFmtId="0" fontId="0" fillId="0" borderId="45" xfId="0" applyBorder="1"/>
    <xf numFmtId="0" fontId="0" fillId="0" borderId="15" xfId="0" applyBorder="1"/>
    <xf numFmtId="0" fontId="0" fillId="0" borderId="43" xfId="0" applyBorder="1"/>
    <xf numFmtId="0" fontId="0" fillId="0" borderId="64" xfId="0" applyBorder="1"/>
    <xf numFmtId="0" fontId="14" fillId="0" borderId="65" xfId="0" applyFont="1" applyBorder="1" applyAlignment="1">
      <alignment vertical="center"/>
    </xf>
    <xf numFmtId="0" fontId="0" fillId="0" borderId="65" xfId="0" applyBorder="1"/>
    <xf numFmtId="0" fontId="0" fillId="2" borderId="34" xfId="0" applyFill="1" applyBorder="1" applyAlignment="1">
      <alignment vertical="center"/>
    </xf>
    <xf numFmtId="0" fontId="14" fillId="0" borderId="70" xfId="0" applyFont="1" applyBorder="1" applyAlignment="1">
      <alignment vertical="center"/>
    </xf>
    <xf numFmtId="0" fontId="0" fillId="0" borderId="0" xfId="0" applyAlignment="1">
      <alignment horizontal="center" vertical="center"/>
    </xf>
    <xf numFmtId="0" fontId="7" fillId="0" borderId="10" xfId="3" applyFont="1" applyBorder="1" applyAlignment="1">
      <alignment horizontal="left" vertical="top" wrapText="1"/>
    </xf>
    <xf numFmtId="0" fontId="7" fillId="0" borderId="4" xfId="3" applyFont="1" applyBorder="1" applyAlignment="1">
      <alignment horizontal="left" vertical="top" wrapText="1"/>
    </xf>
    <xf numFmtId="0" fontId="7" fillId="0" borderId="14" xfId="3" applyFont="1" applyBorder="1" applyAlignment="1">
      <alignment horizontal="left" vertical="top" wrapText="1"/>
    </xf>
    <xf numFmtId="0" fontId="7" fillId="0" borderId="2" xfId="3" applyFont="1" applyBorder="1" applyAlignment="1">
      <alignment horizontal="left" vertical="top" wrapText="1"/>
    </xf>
    <xf numFmtId="0" fontId="1" fillId="0" borderId="0" xfId="1" applyAlignment="1">
      <alignment vertical="center"/>
    </xf>
    <xf numFmtId="0" fontId="1" fillId="0" borderId="0" xfId="1" applyAlignment="1">
      <alignment vertical="center" wrapText="1"/>
    </xf>
    <xf numFmtId="0" fontId="24" fillId="0" borderId="0" xfId="1" applyFont="1" applyAlignment="1">
      <alignment horizontal="center" vertical="center" wrapText="1"/>
    </xf>
    <xf numFmtId="0" fontId="1" fillId="0" borderId="0" xfId="1" applyAlignment="1">
      <alignment horizontal="center" vertical="center" wrapText="1"/>
    </xf>
    <xf numFmtId="0" fontId="1" fillId="0" borderId="0" xfId="1" applyAlignment="1">
      <alignment horizontal="left" vertical="center" wrapText="1"/>
    </xf>
    <xf numFmtId="0" fontId="0" fillId="0" borderId="15" xfId="0" applyBorder="1" applyAlignment="1">
      <alignment vertical="center"/>
    </xf>
    <xf numFmtId="0" fontId="0" fillId="6" borderId="12" xfId="0" applyFill="1" applyBorder="1" applyAlignment="1">
      <alignment vertical="center"/>
    </xf>
    <xf numFmtId="0" fontId="17" fillId="5" borderId="5" xfId="0" applyFont="1" applyFill="1" applyBorder="1" applyAlignment="1">
      <alignment horizontal="left" vertical="top"/>
    </xf>
    <xf numFmtId="0" fontId="17" fillId="5" borderId="6" xfId="0" applyFont="1" applyFill="1" applyBorder="1" applyAlignment="1">
      <alignment horizontal="left" vertical="top"/>
    </xf>
    <xf numFmtId="0" fontId="4" fillId="5" borderId="6" xfId="0" applyFont="1" applyFill="1" applyBorder="1" applyAlignment="1">
      <alignment vertical="top"/>
    </xf>
    <xf numFmtId="0" fontId="4" fillId="5" borderId="7" xfId="0" applyFont="1" applyFill="1" applyBorder="1" applyAlignment="1">
      <alignment vertical="top"/>
    </xf>
    <xf numFmtId="0" fontId="4" fillId="5" borderId="9" xfId="0" applyFont="1" applyFill="1" applyBorder="1" applyAlignment="1">
      <alignment vertical="top"/>
    </xf>
    <xf numFmtId="0" fontId="4" fillId="5" borderId="0" xfId="0" applyFont="1" applyFill="1" applyAlignment="1">
      <alignment vertical="top"/>
    </xf>
    <xf numFmtId="0" fontId="4" fillId="5" borderId="8" xfId="0" applyFont="1" applyFill="1" applyBorder="1" applyAlignment="1">
      <alignment vertical="top"/>
    </xf>
    <xf numFmtId="0" fontId="14" fillId="4" borderId="6" xfId="0" applyFont="1" applyFill="1" applyBorder="1"/>
    <xf numFmtId="0" fontId="14" fillId="4" borderId="7" xfId="0" applyFont="1" applyFill="1" applyBorder="1"/>
    <xf numFmtId="0" fontId="14" fillId="4" borderId="4" xfId="0" applyFont="1" applyFill="1" applyBorder="1"/>
    <xf numFmtId="0" fontId="14" fillId="4" borderId="14" xfId="0" applyFont="1" applyFill="1" applyBorder="1"/>
    <xf numFmtId="0" fontId="27" fillId="4" borderId="5" xfId="0" applyFont="1" applyFill="1" applyBorder="1" applyAlignment="1">
      <alignment vertical="center"/>
    </xf>
    <xf numFmtId="0" fontId="27" fillId="4" borderId="6" xfId="0" applyFont="1" applyFill="1" applyBorder="1"/>
    <xf numFmtId="0" fontId="27" fillId="4" borderId="7" xfId="0" applyFont="1" applyFill="1" applyBorder="1"/>
    <xf numFmtId="0" fontId="27" fillId="4" borderId="9" xfId="0" applyFont="1" applyFill="1" applyBorder="1" applyAlignment="1">
      <alignment vertical="center"/>
    </xf>
    <xf numFmtId="0" fontId="27" fillId="4" borderId="4" xfId="0" applyFont="1" applyFill="1" applyBorder="1"/>
    <xf numFmtId="0" fontId="27" fillId="4" borderId="14" xfId="0" applyFont="1" applyFill="1" applyBorder="1"/>
    <xf numFmtId="0" fontId="14" fillId="5" borderId="46" xfId="0" applyFont="1" applyFill="1" applyBorder="1" applyAlignment="1">
      <alignment vertical="center"/>
    </xf>
    <xf numFmtId="0" fontId="14" fillId="5" borderId="11" xfId="0" applyFont="1" applyFill="1" applyBorder="1" applyAlignment="1">
      <alignment vertical="center"/>
    </xf>
    <xf numFmtId="0" fontId="14" fillId="5" borderId="20" xfId="0" applyFont="1" applyFill="1" applyBorder="1" applyAlignment="1">
      <alignment vertical="center"/>
    </xf>
    <xf numFmtId="0" fontId="14" fillId="5" borderId="39" xfId="0" applyFont="1" applyFill="1" applyBorder="1" applyAlignment="1">
      <alignment vertical="center"/>
    </xf>
    <xf numFmtId="0" fontId="14" fillId="5" borderId="56" xfId="0" applyFont="1" applyFill="1" applyBorder="1" applyAlignment="1">
      <alignment vertical="center"/>
    </xf>
    <xf numFmtId="0" fontId="14" fillId="5" borderId="49" xfId="0" applyFont="1" applyFill="1" applyBorder="1" applyAlignment="1">
      <alignment vertical="center"/>
    </xf>
    <xf numFmtId="0" fontId="14" fillId="5" borderId="13" xfId="0" applyFont="1" applyFill="1" applyBorder="1" applyAlignment="1">
      <alignment vertical="center"/>
    </xf>
    <xf numFmtId="0" fontId="0" fillId="6" borderId="24" xfId="0" applyFill="1" applyBorder="1"/>
    <xf numFmtId="0" fontId="0" fillId="6" borderId="10" xfId="0" applyFill="1" applyBorder="1"/>
    <xf numFmtId="0" fontId="14" fillId="6" borderId="32" xfId="0" applyFont="1" applyFill="1" applyBorder="1" applyAlignment="1">
      <alignment vertical="center"/>
    </xf>
    <xf numFmtId="0" fontId="14" fillId="6" borderId="44" xfId="0" applyFont="1" applyFill="1" applyBorder="1" applyAlignment="1">
      <alignment vertical="center"/>
    </xf>
    <xf numFmtId="0" fontId="14" fillId="6" borderId="12" xfId="0" applyFont="1" applyFill="1" applyBorder="1" applyAlignment="1">
      <alignment vertical="center"/>
    </xf>
    <xf numFmtId="0" fontId="14" fillId="6" borderId="48" xfId="0" applyFont="1" applyFill="1" applyBorder="1" applyAlignment="1">
      <alignment vertical="center"/>
    </xf>
    <xf numFmtId="0" fontId="14" fillId="5" borderId="24" xfId="0" applyFont="1" applyFill="1" applyBorder="1" applyAlignment="1">
      <alignment vertical="center"/>
    </xf>
    <xf numFmtId="0" fontId="14" fillId="5" borderId="26" xfId="0" applyFont="1" applyFill="1" applyBorder="1" applyAlignment="1">
      <alignment vertical="center"/>
    </xf>
    <xf numFmtId="0" fontId="14" fillId="5" borderId="42" xfId="0" applyFont="1" applyFill="1" applyBorder="1" applyAlignment="1">
      <alignment vertical="center"/>
    </xf>
    <xf numFmtId="0" fontId="14" fillId="5" borderId="21" xfId="0" applyFont="1" applyFill="1" applyBorder="1" applyAlignment="1">
      <alignment vertical="center"/>
    </xf>
    <xf numFmtId="0" fontId="14" fillId="6" borderId="32" xfId="0" applyFont="1" applyFill="1" applyBorder="1" applyAlignment="1">
      <alignment horizontal="center" vertical="center"/>
    </xf>
    <xf numFmtId="0" fontId="5" fillId="5" borderId="36" xfId="3" applyFont="1" applyFill="1" applyBorder="1"/>
    <xf numFmtId="0" fontId="14" fillId="5" borderId="37" xfId="0" applyFont="1" applyFill="1" applyBorder="1"/>
    <xf numFmtId="0" fontId="8" fillId="5" borderId="37" xfId="0" applyFont="1" applyFill="1" applyBorder="1"/>
    <xf numFmtId="0" fontId="6" fillId="6" borderId="12" xfId="3" applyFont="1" applyFill="1" applyBorder="1"/>
    <xf numFmtId="0" fontId="14" fillId="6" borderId="12" xfId="0" applyFont="1" applyFill="1" applyBorder="1"/>
    <xf numFmtId="0" fontId="6" fillId="6" borderId="37" xfId="3" applyFont="1" applyFill="1" applyBorder="1"/>
    <xf numFmtId="0" fontId="14" fillId="6" borderId="37" xfId="0" applyFont="1" applyFill="1" applyBorder="1"/>
    <xf numFmtId="0" fontId="0" fillId="0" borderId="27" xfId="0" applyBorder="1" applyAlignment="1">
      <alignment horizontal="right" vertical="center"/>
    </xf>
    <xf numFmtId="0" fontId="0" fillId="0" borderId="23" xfId="0" applyBorder="1"/>
    <xf numFmtId="0" fontId="0" fillId="0" borderId="43" xfId="0" applyBorder="1" applyAlignment="1">
      <alignment vertical="center"/>
    </xf>
    <xf numFmtId="0" fontId="0" fillId="0" borderId="29" xfId="0" applyBorder="1" applyAlignment="1">
      <alignment vertical="center"/>
    </xf>
    <xf numFmtId="0" fontId="14" fillId="0" borderId="0" xfId="0" applyFont="1"/>
    <xf numFmtId="0" fontId="0" fillId="0" borderId="0" xfId="0" applyAlignment="1">
      <alignment horizontal="right" vertical="center" textRotation="90" wrapText="1"/>
    </xf>
    <xf numFmtId="0" fontId="0" fillId="0" borderId="0" xfId="0" applyAlignment="1">
      <alignment horizontal="right" vertical="center"/>
    </xf>
    <xf numFmtId="0" fontId="0" fillId="0" borderId="0" xfId="0" applyAlignment="1">
      <alignment horizontal="right" vertical="center" wrapText="1"/>
    </xf>
    <xf numFmtId="0" fontId="0" fillId="6" borderId="12" xfId="0" applyFill="1" applyBorder="1" applyAlignment="1">
      <alignment horizontal="left" vertical="center"/>
    </xf>
    <xf numFmtId="0" fontId="0" fillId="7" borderId="0" xfId="0" applyFill="1"/>
    <xf numFmtId="165" fontId="11" fillId="0" borderId="0" xfId="0" applyNumberFormat="1" applyFont="1"/>
    <xf numFmtId="9" fontId="11" fillId="0" borderId="0" xfId="0" applyNumberFormat="1" applyFont="1"/>
    <xf numFmtId="0" fontId="0" fillId="0" borderId="0" xfId="0" applyAlignment="1">
      <alignment horizontal="right"/>
    </xf>
    <xf numFmtId="14" fontId="0" fillId="0" borderId="0" xfId="0" applyNumberFormat="1"/>
    <xf numFmtId="0" fontId="0" fillId="7" borderId="34" xfId="0" applyFill="1" applyBorder="1" applyAlignment="1" applyProtection="1">
      <alignment vertical="center"/>
      <protection locked="0"/>
    </xf>
    <xf numFmtId="0" fontId="0" fillId="0" borderId="12" xfId="0" applyBorder="1" applyAlignment="1" applyProtection="1">
      <alignment vertical="center"/>
      <protection locked="0"/>
    </xf>
    <xf numFmtId="0" fontId="19" fillId="9" borderId="12" xfId="0" applyFont="1" applyFill="1" applyBorder="1" applyAlignment="1" applyProtection="1">
      <alignment horizontal="center" vertical="center"/>
      <protection locked="0"/>
    </xf>
    <xf numFmtId="0" fontId="6" fillId="7" borderId="32" xfId="3" applyFont="1" applyFill="1" applyBorder="1" applyAlignment="1" applyProtection="1">
      <alignment horizontal="center" vertical="center"/>
      <protection locked="0"/>
    </xf>
    <xf numFmtId="0" fontId="6" fillId="7" borderId="12" xfId="3" applyFont="1" applyFill="1" applyBorder="1" applyAlignment="1" applyProtection="1">
      <alignment horizontal="center" vertical="center"/>
      <protection locked="0"/>
    </xf>
    <xf numFmtId="0" fontId="6" fillId="7" borderId="47" xfId="3" applyFont="1" applyFill="1" applyBorder="1" applyAlignment="1" applyProtection="1">
      <alignment horizontal="center" vertical="center"/>
      <protection locked="0"/>
    </xf>
    <xf numFmtId="0" fontId="14" fillId="7" borderId="12" xfId="0" applyFont="1" applyFill="1" applyBorder="1" applyAlignment="1" applyProtection="1">
      <alignment horizontal="center" vertical="center"/>
      <protection locked="0"/>
    </xf>
    <xf numFmtId="0" fontId="14" fillId="0" borderId="32" xfId="0"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14" fillId="0" borderId="37" xfId="0" applyFont="1" applyBorder="1" applyAlignment="1" applyProtection="1">
      <alignment horizontal="center" vertical="center"/>
      <protection locked="0"/>
    </xf>
    <xf numFmtId="0" fontId="7" fillId="0" borderId="6" xfId="3" applyFont="1" applyBorder="1" applyAlignment="1" applyProtection="1">
      <alignment vertical="top"/>
      <protection locked="0"/>
    </xf>
    <xf numFmtId="0" fontId="0" fillId="6" borderId="12" xfId="0" applyFill="1" applyBorder="1" applyAlignment="1">
      <alignment horizontal="right" vertical="center"/>
    </xf>
    <xf numFmtId="0" fontId="14" fillId="6" borderId="12" xfId="0" applyFont="1" applyFill="1" applyBorder="1" applyAlignment="1" applyProtection="1">
      <alignment vertical="center"/>
      <protection locked="0"/>
    </xf>
    <xf numFmtId="0" fontId="14" fillId="0" borderId="0" xfId="0" applyFont="1" applyProtection="1">
      <protection locked="0"/>
    </xf>
    <xf numFmtId="0" fontId="0" fillId="0" borderId="0" xfId="0" applyProtection="1">
      <protection locked="0"/>
    </xf>
    <xf numFmtId="0" fontId="22" fillId="0" borderId="0" xfId="1" applyFont="1" applyAlignment="1">
      <alignment horizontal="center" vertical="center" wrapText="1"/>
    </xf>
    <xf numFmtId="0" fontId="36" fillId="0" borderId="0" xfId="1" applyFont="1" applyAlignment="1">
      <alignment horizontal="left" vertical="center" wrapText="1"/>
    </xf>
    <xf numFmtId="0" fontId="37" fillId="0" borderId="0" xfId="1" applyFont="1" applyAlignment="1">
      <alignment vertical="center" wrapText="1"/>
    </xf>
    <xf numFmtId="0" fontId="5" fillId="0" borderId="12" xfId="3" applyFont="1" applyBorder="1" applyAlignment="1">
      <alignment horizontal="center" vertical="center"/>
    </xf>
    <xf numFmtId="0" fontId="3" fillId="5" borderId="25" xfId="0" applyFont="1" applyFill="1" applyBorder="1" applyAlignment="1">
      <alignment vertical="center"/>
    </xf>
    <xf numFmtId="0" fontId="3" fillId="5" borderId="16" xfId="0" applyFont="1" applyFill="1" applyBorder="1" applyAlignment="1">
      <alignment vertical="center"/>
    </xf>
    <xf numFmtId="0" fontId="3" fillId="5" borderId="16" xfId="0" applyFont="1" applyFill="1" applyBorder="1" applyAlignment="1" applyProtection="1">
      <alignment vertical="center"/>
      <protection locked="0"/>
    </xf>
    <xf numFmtId="0" fontId="5" fillId="0" borderId="48" xfId="3" applyFont="1" applyBorder="1" applyAlignment="1">
      <alignment horizontal="center" vertical="center"/>
    </xf>
    <xf numFmtId="0" fontId="5" fillId="0" borderId="16" xfId="3" applyFont="1" applyBorder="1" applyAlignment="1">
      <alignment horizontal="center" vertical="center"/>
    </xf>
    <xf numFmtId="0" fontId="0" fillId="0" borderId="58" xfId="0" applyBorder="1" applyAlignment="1">
      <alignment horizontal="center" vertical="center"/>
    </xf>
    <xf numFmtId="0" fontId="0" fillId="0" borderId="60" xfId="0"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0" fillId="0" borderId="0" xfId="0" applyAlignment="1">
      <alignment wrapText="1"/>
    </xf>
    <xf numFmtId="0" fontId="19" fillId="0" borderId="58" xfId="0" applyFont="1" applyBorder="1" applyAlignment="1">
      <alignment horizontal="center" vertical="center"/>
    </xf>
    <xf numFmtId="0" fontId="0" fillId="0" borderId="0" xfId="0" quotePrefix="1"/>
    <xf numFmtId="0" fontId="0" fillId="0" borderId="0" xfId="0" applyAlignment="1">
      <alignment horizontal="left"/>
    </xf>
    <xf numFmtId="0" fontId="14" fillId="6" borderId="36" xfId="0" applyFont="1" applyFill="1" applyBorder="1" applyAlignment="1">
      <alignment horizontal="right" vertical="center"/>
    </xf>
    <xf numFmtId="0" fontId="14" fillId="6" borderId="37" xfId="0" applyFont="1" applyFill="1" applyBorder="1" applyAlignment="1">
      <alignment horizontal="right" vertical="center"/>
    </xf>
    <xf numFmtId="0" fontId="14" fillId="0" borderId="37" xfId="0" applyFont="1" applyBorder="1" applyAlignment="1" applyProtection="1">
      <alignment horizontal="center" vertical="center"/>
      <protection locked="0"/>
    </xf>
    <xf numFmtId="0" fontId="14" fillId="0" borderId="38" xfId="0" applyFont="1" applyBorder="1" applyAlignment="1" applyProtection="1">
      <alignment horizontal="center" vertical="center"/>
      <protection locked="0"/>
    </xf>
    <xf numFmtId="0" fontId="33" fillId="4" borderId="52" xfId="0" applyFont="1" applyFill="1" applyBorder="1" applyAlignment="1">
      <alignment horizontal="left"/>
    </xf>
    <xf numFmtId="0" fontId="33" fillId="4" borderId="74" xfId="0" applyFont="1" applyFill="1" applyBorder="1" applyAlignment="1">
      <alignment horizontal="left"/>
    </xf>
    <xf numFmtId="0" fontId="33" fillId="4" borderId="53" xfId="0" applyFont="1" applyFill="1" applyBorder="1" applyAlignment="1">
      <alignment horizontal="left"/>
    </xf>
    <xf numFmtId="0" fontId="14" fillId="0" borderId="12" xfId="0" applyFont="1" applyBorder="1" applyAlignment="1" applyProtection="1">
      <alignment horizontal="center" vertical="center"/>
      <protection locked="0"/>
    </xf>
    <xf numFmtId="0" fontId="14" fillId="0" borderId="35" xfId="0" applyFont="1" applyBorder="1" applyAlignment="1" applyProtection="1">
      <alignment horizontal="center" vertical="center"/>
      <protection locked="0"/>
    </xf>
    <xf numFmtId="0" fontId="14" fillId="6" borderId="34" xfId="0" applyFont="1" applyFill="1" applyBorder="1" applyAlignment="1">
      <alignment horizontal="right" vertical="center"/>
    </xf>
    <xf numFmtId="0" fontId="14" fillId="6" borderId="12" xfId="0" applyFont="1" applyFill="1" applyBorder="1" applyAlignment="1">
      <alignment horizontal="right" vertical="center"/>
    </xf>
    <xf numFmtId="0" fontId="14" fillId="0" borderId="12" xfId="0" applyFont="1" applyBorder="1" applyAlignment="1">
      <alignment horizontal="center" vertical="center"/>
    </xf>
    <xf numFmtId="0" fontId="14" fillId="0" borderId="35" xfId="0" applyFont="1" applyBorder="1" applyAlignment="1">
      <alignment horizontal="center" vertical="center"/>
    </xf>
    <xf numFmtId="0" fontId="42" fillId="6" borderId="34" xfId="6" applyFont="1" applyFill="1" applyBorder="1" applyAlignment="1">
      <alignment horizontal="right" vertical="center"/>
    </xf>
    <xf numFmtId="0" fontId="42" fillId="6" borderId="12" xfId="6" applyFont="1" applyFill="1" applyBorder="1" applyAlignment="1">
      <alignment horizontal="right" vertical="center"/>
    </xf>
    <xf numFmtId="0" fontId="25" fillId="4" borderId="31" xfId="0" applyFont="1" applyFill="1" applyBorder="1" applyAlignment="1">
      <alignment horizontal="center" vertical="center"/>
    </xf>
    <xf numFmtId="0" fontId="25" fillId="4" borderId="32" xfId="0" applyFont="1" applyFill="1" applyBorder="1" applyAlignment="1">
      <alignment horizontal="center" vertical="center"/>
    </xf>
    <xf numFmtId="0" fontId="25" fillId="4" borderId="33" xfId="0" applyFont="1" applyFill="1" applyBorder="1" applyAlignment="1">
      <alignment horizontal="center" vertical="center"/>
    </xf>
    <xf numFmtId="0" fontId="25" fillId="4" borderId="36" xfId="0" applyFont="1" applyFill="1" applyBorder="1" applyAlignment="1">
      <alignment horizontal="center" vertical="center"/>
    </xf>
    <xf numFmtId="0" fontId="25" fillId="4" borderId="37" xfId="0" applyFont="1" applyFill="1" applyBorder="1" applyAlignment="1">
      <alignment horizontal="center" vertical="center"/>
    </xf>
    <xf numFmtId="0" fontId="25" fillId="4" borderId="38" xfId="0" applyFont="1" applyFill="1" applyBorder="1" applyAlignment="1">
      <alignment horizontal="center" vertical="center"/>
    </xf>
    <xf numFmtId="0" fontId="0" fillId="6" borderId="36" xfId="0" applyFill="1" applyBorder="1" applyAlignment="1">
      <alignment horizontal="right" vertical="center"/>
    </xf>
    <xf numFmtId="0" fontId="0" fillId="6" borderId="37" xfId="0" applyFill="1" applyBorder="1" applyAlignment="1">
      <alignment horizontal="right" vertical="center"/>
    </xf>
    <xf numFmtId="0" fontId="0" fillId="6" borderId="41" xfId="0" applyFill="1" applyBorder="1" applyAlignment="1">
      <alignment horizontal="right" vertical="center"/>
    </xf>
    <xf numFmtId="0" fontId="0" fillId="6" borderId="44" xfId="0" applyFill="1" applyBorder="1" applyAlignment="1">
      <alignment horizontal="right" vertical="center"/>
    </xf>
    <xf numFmtId="0" fontId="25" fillId="4" borderId="5" xfId="0" applyFont="1" applyFill="1" applyBorder="1" applyAlignment="1">
      <alignment horizontal="left" vertical="center"/>
    </xf>
    <xf numFmtId="0" fontId="25" fillId="4" borderId="6" xfId="0" applyFont="1" applyFill="1" applyBorder="1" applyAlignment="1">
      <alignment horizontal="left" vertical="center"/>
    </xf>
    <xf numFmtId="0" fontId="25" fillId="4" borderId="7" xfId="0" applyFont="1" applyFill="1" applyBorder="1" applyAlignment="1">
      <alignment horizontal="left" vertical="center"/>
    </xf>
    <xf numFmtId="0" fontId="25" fillId="4" borderId="10" xfId="0" applyFont="1" applyFill="1" applyBorder="1" applyAlignment="1">
      <alignment horizontal="left" vertical="center"/>
    </xf>
    <xf numFmtId="0" fontId="25" fillId="4" borderId="4" xfId="0" applyFont="1" applyFill="1" applyBorder="1" applyAlignment="1">
      <alignment horizontal="left" vertical="center"/>
    </xf>
    <xf numFmtId="0" fontId="25" fillId="4" borderId="14" xfId="0" applyFont="1" applyFill="1" applyBorder="1" applyAlignment="1">
      <alignment horizontal="left" vertical="center"/>
    </xf>
    <xf numFmtId="0" fontId="3" fillId="5" borderId="24" xfId="0" applyFont="1" applyFill="1" applyBorder="1" applyAlignment="1">
      <alignment horizontal="left" vertical="center"/>
    </xf>
    <xf numFmtId="0" fontId="3" fillId="5" borderId="30" xfId="0" applyFont="1" applyFill="1" applyBorder="1" applyAlignment="1">
      <alignment horizontal="left" vertical="center"/>
    </xf>
    <xf numFmtId="0" fontId="3" fillId="5" borderId="23" xfId="0" applyFont="1" applyFill="1" applyBorder="1" applyAlignment="1">
      <alignment horizontal="left" vertical="center"/>
    </xf>
    <xf numFmtId="0" fontId="0" fillId="7" borderId="44" xfId="0" applyFill="1" applyBorder="1" applyAlignment="1" applyProtection="1">
      <alignment horizontal="center" vertical="center"/>
      <protection locked="0"/>
    </xf>
    <xf numFmtId="0" fontId="0" fillId="7" borderId="51" xfId="0" applyFill="1" applyBorder="1" applyAlignment="1" applyProtection="1">
      <alignment horizontal="center" vertical="center"/>
      <protection locked="0"/>
    </xf>
    <xf numFmtId="0" fontId="0" fillId="6" borderId="34" xfId="0" applyFill="1" applyBorder="1" applyAlignment="1">
      <alignment horizontal="right" vertical="center"/>
    </xf>
    <xf numFmtId="0" fontId="0" fillId="6" borderId="12" xfId="0" applyFill="1" applyBorder="1" applyAlignment="1">
      <alignment horizontal="right" vertical="center"/>
    </xf>
    <xf numFmtId="0" fontId="0" fillId="0" borderId="12"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3" fillId="5" borderId="31" xfId="0" applyFont="1" applyFill="1" applyBorder="1" applyAlignment="1">
      <alignment horizontal="left" vertical="center"/>
    </xf>
    <xf numFmtId="0" fontId="3" fillId="5" borderId="32" xfId="0" applyFont="1" applyFill="1" applyBorder="1" applyAlignment="1">
      <alignment horizontal="left" vertical="center"/>
    </xf>
    <xf numFmtId="0" fontId="3" fillId="5" borderId="46" xfId="0" applyFont="1" applyFill="1" applyBorder="1" applyAlignment="1">
      <alignment horizontal="left" vertical="center"/>
    </xf>
    <xf numFmtId="49" fontId="0" fillId="8" borderId="11" xfId="0" quotePrefix="1" applyNumberFormat="1" applyFill="1" applyBorder="1" applyAlignment="1" applyProtection="1">
      <alignment horizontal="center" vertical="center"/>
      <protection locked="0"/>
    </xf>
    <xf numFmtId="49" fontId="0" fillId="8" borderId="18" xfId="0" applyNumberFormat="1" applyFill="1" applyBorder="1" applyAlignment="1" applyProtection="1">
      <alignment horizontal="center" vertical="center"/>
      <protection locked="0"/>
    </xf>
    <xf numFmtId="49" fontId="0" fillId="8" borderId="27" xfId="0" applyNumberFormat="1" applyFill="1" applyBorder="1" applyAlignment="1" applyProtection="1">
      <alignment horizontal="center" vertical="center"/>
      <protection locked="0"/>
    </xf>
    <xf numFmtId="0" fontId="0" fillId="7" borderId="37" xfId="0" applyFill="1" applyBorder="1" applyAlignment="1" applyProtection="1">
      <alignment horizontal="center" vertical="center"/>
      <protection locked="0"/>
    </xf>
    <xf numFmtId="0" fontId="0" fillId="7" borderId="38" xfId="0" applyFill="1" applyBorder="1" applyAlignment="1" applyProtection="1">
      <alignment horizontal="center" vertical="center"/>
      <protection locked="0"/>
    </xf>
    <xf numFmtId="0" fontId="0" fillId="7" borderId="12" xfId="0" applyFill="1" applyBorder="1" applyAlignment="1" applyProtection="1">
      <alignment horizontal="center" vertical="center"/>
      <protection locked="0"/>
    </xf>
    <xf numFmtId="0" fontId="0" fillId="7" borderId="35" xfId="0" applyFill="1" applyBorder="1" applyAlignment="1" applyProtection="1">
      <alignment horizontal="center" vertical="center"/>
      <protection locked="0"/>
    </xf>
    <xf numFmtId="0" fontId="0" fillId="6" borderId="26" xfId="0" applyFill="1" applyBorder="1" applyAlignment="1">
      <alignment horizontal="right" vertical="center"/>
    </xf>
    <xf numFmtId="0" fontId="0" fillId="6" borderId="18" xfId="0" applyFill="1" applyBorder="1" applyAlignment="1">
      <alignment horizontal="right" vertical="center"/>
    </xf>
    <xf numFmtId="0" fontId="0" fillId="6" borderId="15" xfId="0" applyFill="1" applyBorder="1" applyAlignment="1">
      <alignment horizontal="right" vertical="center"/>
    </xf>
    <xf numFmtId="0" fontId="3" fillId="5" borderId="33" xfId="0" applyFont="1" applyFill="1" applyBorder="1" applyAlignment="1">
      <alignment horizontal="left" vertical="center"/>
    </xf>
    <xf numFmtId="0" fontId="0" fillId="6" borderId="24" xfId="0" applyFill="1" applyBorder="1" applyAlignment="1">
      <alignment horizontal="right" vertical="center"/>
    </xf>
    <xf numFmtId="0" fontId="0" fillId="6" borderId="30" xfId="0" applyFill="1" applyBorder="1" applyAlignment="1">
      <alignment horizontal="right" vertical="center"/>
    </xf>
    <xf numFmtId="0" fontId="0" fillId="6" borderId="45" xfId="0" applyFill="1" applyBorder="1" applyAlignment="1">
      <alignment horizontal="right" vertical="center"/>
    </xf>
    <xf numFmtId="0" fontId="0" fillId="7" borderId="46" xfId="0" applyFill="1" applyBorder="1" applyAlignment="1" applyProtection="1">
      <alignment horizontal="center" vertical="center"/>
      <protection locked="0"/>
    </xf>
    <xf numFmtId="0" fontId="0" fillId="7" borderId="30" xfId="0" applyFill="1" applyBorder="1" applyAlignment="1" applyProtection="1">
      <alignment horizontal="center" vertical="center"/>
      <protection locked="0"/>
    </xf>
    <xf numFmtId="0" fontId="0" fillId="7" borderId="23" xfId="0" applyFill="1" applyBorder="1" applyAlignment="1" applyProtection="1">
      <alignment horizontal="center" vertical="center"/>
      <protection locked="0"/>
    </xf>
    <xf numFmtId="0" fontId="0" fillId="7" borderId="11" xfId="0" applyFill="1" applyBorder="1" applyAlignment="1" applyProtection="1">
      <alignment horizontal="center" vertical="center"/>
      <protection locked="0"/>
    </xf>
    <xf numFmtId="0" fontId="0" fillId="7" borderId="18" xfId="0" applyFill="1" applyBorder="1" applyAlignment="1" applyProtection="1">
      <alignment horizontal="center" vertical="center"/>
      <protection locked="0"/>
    </xf>
    <xf numFmtId="0" fontId="0" fillId="7" borderId="27" xfId="0" applyFill="1" applyBorder="1" applyAlignment="1" applyProtection="1">
      <alignment horizontal="center" vertical="center"/>
      <protection locked="0"/>
    </xf>
    <xf numFmtId="0" fontId="0" fillId="7" borderId="10" xfId="0" applyFill="1" applyBorder="1" applyAlignment="1" applyProtection="1">
      <alignment horizontal="left" vertical="top" wrapText="1"/>
      <protection locked="0"/>
    </xf>
    <xf numFmtId="0" fontId="0" fillId="7" borderId="4" xfId="0" applyFill="1" applyBorder="1" applyAlignment="1" applyProtection="1">
      <alignment horizontal="left" vertical="top" wrapText="1"/>
      <protection locked="0"/>
    </xf>
    <xf numFmtId="0" fontId="0" fillId="7" borderId="14" xfId="0" applyFill="1" applyBorder="1" applyAlignment="1" applyProtection="1">
      <alignment horizontal="left" vertical="top" wrapText="1"/>
      <protection locked="0"/>
    </xf>
    <xf numFmtId="0" fontId="0" fillId="6" borderId="34" xfId="0" applyFill="1" applyBorder="1" applyAlignment="1">
      <alignment horizontal="right" vertical="center" wrapText="1"/>
    </xf>
    <xf numFmtId="0" fontId="0" fillId="6" borderId="12" xfId="0" applyFill="1" applyBorder="1" applyAlignment="1">
      <alignment horizontal="right" vertical="center" wrapText="1"/>
    </xf>
    <xf numFmtId="0" fontId="0" fillId="6" borderId="36" xfId="0" applyFill="1" applyBorder="1" applyAlignment="1">
      <alignment horizontal="right" vertical="center" wrapText="1"/>
    </xf>
    <xf numFmtId="0" fontId="0" fillId="6" borderId="37" xfId="0" applyFill="1" applyBorder="1" applyAlignment="1">
      <alignment horizontal="right" vertical="center" wrapText="1"/>
    </xf>
    <xf numFmtId="14" fontId="0" fillId="9" borderId="12" xfId="0" applyNumberFormat="1" applyFill="1" applyBorder="1" applyAlignment="1" applyProtection="1">
      <alignment horizontal="left" vertical="center"/>
      <protection locked="0"/>
    </xf>
    <xf numFmtId="0" fontId="0" fillId="9" borderId="12" xfId="0" applyFill="1" applyBorder="1" applyAlignment="1" applyProtection="1">
      <alignment horizontal="left" vertical="center"/>
      <protection locked="0"/>
    </xf>
    <xf numFmtId="0" fontId="0" fillId="9" borderId="35" xfId="0" applyFill="1" applyBorder="1" applyAlignment="1" applyProtection="1">
      <alignment horizontal="left" vertical="center"/>
      <protection locked="0"/>
    </xf>
    <xf numFmtId="0" fontId="0" fillId="9" borderId="12" xfId="0" applyFill="1" applyBorder="1" applyAlignment="1" applyProtection="1">
      <alignment horizontal="center" vertical="center"/>
      <protection locked="0"/>
    </xf>
    <xf numFmtId="0" fontId="0" fillId="9" borderId="35" xfId="0" applyFill="1" applyBorder="1" applyAlignment="1" applyProtection="1">
      <alignment horizontal="center" vertical="center"/>
      <protection locked="0"/>
    </xf>
    <xf numFmtId="0" fontId="0" fillId="5" borderId="34" xfId="0" applyFill="1" applyBorder="1" applyAlignment="1">
      <alignment horizontal="right" vertical="center" textRotation="90" wrapText="1"/>
    </xf>
    <xf numFmtId="0" fontId="0" fillId="5" borderId="36" xfId="0" applyFill="1" applyBorder="1" applyAlignment="1">
      <alignment horizontal="right" vertical="center" textRotation="90" wrapText="1"/>
    </xf>
    <xf numFmtId="44" fontId="0" fillId="7" borderId="12" xfId="5" applyFont="1" applyFill="1" applyBorder="1" applyAlignment="1" applyProtection="1">
      <alignment horizontal="center" vertical="center"/>
      <protection locked="0"/>
    </xf>
    <xf numFmtId="44" fontId="0" fillId="7" borderId="11" xfId="5" applyFont="1" applyFill="1" applyBorder="1" applyAlignment="1" applyProtection="1">
      <alignment horizontal="center" vertical="center"/>
      <protection locked="0"/>
    </xf>
    <xf numFmtId="0" fontId="0" fillId="7" borderId="39" xfId="0" applyFill="1" applyBorder="1" applyAlignment="1" applyProtection="1">
      <alignment horizontal="center" vertical="center"/>
      <protection locked="0"/>
    </xf>
    <xf numFmtId="0" fontId="0" fillId="0" borderId="12"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5" fillId="6" borderId="31" xfId="3" applyFont="1" applyFill="1" applyBorder="1" applyAlignment="1">
      <alignment horizontal="right" vertical="center"/>
    </xf>
    <xf numFmtId="0" fontId="5" fillId="6" borderId="32" xfId="3" applyFont="1" applyFill="1" applyBorder="1" applyAlignment="1">
      <alignment horizontal="right" vertical="center"/>
    </xf>
    <xf numFmtId="0" fontId="6" fillId="6" borderId="46" xfId="3" applyFont="1" applyFill="1" applyBorder="1" applyAlignment="1">
      <alignment horizontal="left" vertical="center"/>
    </xf>
    <xf numFmtId="0" fontId="6" fillId="6" borderId="30" xfId="3" applyFont="1" applyFill="1" applyBorder="1" applyAlignment="1">
      <alignment horizontal="left" vertical="center"/>
    </xf>
    <xf numFmtId="0" fontId="6" fillId="6" borderId="45" xfId="3" applyFont="1" applyFill="1" applyBorder="1" applyAlignment="1">
      <alignment horizontal="left" vertical="center"/>
    </xf>
    <xf numFmtId="0" fontId="7" fillId="7" borderId="10" xfId="3" applyFont="1" applyFill="1" applyBorder="1" applyAlignment="1" applyProtection="1">
      <alignment horizontal="left" vertical="top" wrapText="1"/>
      <protection locked="0"/>
    </xf>
    <xf numFmtId="0" fontId="7" fillId="7" borderId="4" xfId="3" applyFont="1" applyFill="1" applyBorder="1" applyAlignment="1" applyProtection="1">
      <alignment horizontal="left" vertical="top" wrapText="1"/>
      <protection locked="0"/>
    </xf>
    <xf numFmtId="0" fontId="7" fillId="7" borderId="14" xfId="3" applyFont="1" applyFill="1" applyBorder="1" applyAlignment="1" applyProtection="1">
      <alignment horizontal="left" vertical="top" wrapText="1"/>
      <protection locked="0"/>
    </xf>
    <xf numFmtId="0" fontId="5" fillId="6" borderId="34" xfId="3" applyFont="1" applyFill="1" applyBorder="1" applyAlignment="1">
      <alignment horizontal="right" vertical="center"/>
    </xf>
    <xf numFmtId="0" fontId="5" fillId="6" borderId="12" xfId="3" applyFont="1" applyFill="1" applyBorder="1" applyAlignment="1">
      <alignment horizontal="right" vertical="center"/>
    </xf>
    <xf numFmtId="0" fontId="7" fillId="5" borderId="5" xfId="3" applyFont="1" applyFill="1" applyBorder="1" applyAlignment="1">
      <alignment horizontal="left" vertical="center"/>
    </xf>
    <xf numFmtId="0" fontId="7" fillId="5" borderId="6" xfId="3" applyFont="1" applyFill="1" applyBorder="1" applyAlignment="1">
      <alignment horizontal="left" vertical="center"/>
    </xf>
    <xf numFmtId="0" fontId="7" fillId="5" borderId="7" xfId="3" applyFont="1" applyFill="1" applyBorder="1" applyAlignment="1">
      <alignment horizontal="left" vertical="center"/>
    </xf>
    <xf numFmtId="0" fontId="6" fillId="6" borderId="12" xfId="3" applyFont="1" applyFill="1" applyBorder="1" applyAlignment="1">
      <alignment horizontal="left" vertical="center"/>
    </xf>
    <xf numFmtId="0" fontId="8" fillId="6" borderId="12" xfId="0" applyFont="1" applyFill="1" applyBorder="1" applyAlignment="1">
      <alignment horizontal="left" vertical="center"/>
    </xf>
    <xf numFmtId="0" fontId="8" fillId="6" borderId="35" xfId="0" applyFont="1" applyFill="1" applyBorder="1" applyAlignment="1">
      <alignment horizontal="left" vertical="center"/>
    </xf>
    <xf numFmtId="0" fontId="6" fillId="6" borderId="23" xfId="3" applyFont="1" applyFill="1" applyBorder="1" applyAlignment="1">
      <alignment horizontal="left" vertical="center"/>
    </xf>
    <xf numFmtId="0" fontId="38" fillId="4" borderId="6"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4" xfId="0" applyFont="1" applyFill="1" applyBorder="1" applyAlignment="1">
      <alignment horizontal="center" vertical="center" wrapText="1"/>
    </xf>
    <xf numFmtId="0" fontId="5" fillId="6" borderId="54" xfId="3" applyFont="1" applyFill="1" applyBorder="1" applyAlignment="1">
      <alignment horizontal="right" vertical="center"/>
    </xf>
    <xf numFmtId="0" fontId="5" fillId="6" borderId="47" xfId="3" applyFont="1" applyFill="1" applyBorder="1" applyAlignment="1">
      <alignment horizontal="right" vertical="center"/>
    </xf>
    <xf numFmtId="0" fontId="43" fillId="6" borderId="47" xfId="3" applyFont="1" applyFill="1" applyBorder="1" applyAlignment="1">
      <alignment horizontal="left" vertical="center"/>
    </xf>
    <xf numFmtId="0" fontId="8" fillId="6" borderId="47" xfId="0" applyFont="1" applyFill="1" applyBorder="1" applyAlignment="1">
      <alignment horizontal="left" vertical="center"/>
    </xf>
    <xf numFmtId="0" fontId="8" fillId="6" borderId="55" xfId="0" applyFont="1" applyFill="1" applyBorder="1" applyAlignment="1">
      <alignment horizontal="left" vertical="center"/>
    </xf>
    <xf numFmtId="0" fontId="0" fillId="6" borderId="34" xfId="0" applyFill="1" applyBorder="1" applyAlignment="1">
      <alignment horizontal="left" vertical="center"/>
    </xf>
    <xf numFmtId="0" fontId="0" fillId="6" borderId="12" xfId="0" applyFill="1" applyBorder="1" applyAlignment="1">
      <alignment horizontal="left" vertical="center"/>
    </xf>
    <xf numFmtId="0" fontId="0" fillId="6" borderId="35" xfId="0" applyFill="1" applyBorder="1" applyAlignment="1">
      <alignment horizontal="left" vertical="center"/>
    </xf>
    <xf numFmtId="0" fontId="0" fillId="0" borderId="34" xfId="0" applyBorder="1" applyAlignment="1">
      <alignment horizontal="right" vertical="center"/>
    </xf>
    <xf numFmtId="0" fontId="0" fillId="0" borderId="12" xfId="0" applyBorder="1" applyAlignment="1">
      <alignment horizontal="right" vertical="center"/>
    </xf>
    <xf numFmtId="0" fontId="0" fillId="0" borderId="12" xfId="0" applyBorder="1" applyAlignment="1">
      <alignment horizontal="left" vertical="center"/>
    </xf>
    <xf numFmtId="0" fontId="33" fillId="4" borderId="59" xfId="0" applyFont="1" applyFill="1" applyBorder="1" applyAlignment="1">
      <alignment horizontal="left"/>
    </xf>
    <xf numFmtId="0" fontId="33" fillId="4" borderId="58" xfId="0" applyFont="1" applyFill="1" applyBorder="1" applyAlignment="1">
      <alignment horizontal="left"/>
    </xf>
    <xf numFmtId="0" fontId="33" fillId="4" borderId="60" xfId="0" applyFont="1" applyFill="1" applyBorder="1" applyAlignment="1">
      <alignment horizontal="left"/>
    </xf>
    <xf numFmtId="0" fontId="20" fillId="7" borderId="37" xfId="6" applyFill="1" applyBorder="1" applyAlignment="1" applyProtection="1">
      <alignment horizontal="center" vertical="center"/>
      <protection locked="0"/>
    </xf>
    <xf numFmtId="9" fontId="0" fillId="0" borderId="17" xfId="0" applyNumberFormat="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44" fontId="0" fillId="0" borderId="17" xfId="5" applyFont="1" applyFill="1" applyBorder="1" applyAlignment="1" applyProtection="1">
      <alignment horizontal="center" vertical="center"/>
      <protection locked="0"/>
    </xf>
    <xf numFmtId="44" fontId="0" fillId="0" borderId="16" xfId="5" applyFont="1" applyFill="1" applyBorder="1" applyAlignment="1" applyProtection="1">
      <alignment horizontal="center" vertical="center"/>
      <protection locked="0"/>
    </xf>
    <xf numFmtId="44" fontId="0" fillId="0" borderId="22" xfId="5" applyFont="1" applyFill="1" applyBorder="1" applyAlignment="1" applyProtection="1">
      <alignment horizontal="center" vertical="center"/>
      <protection locked="0"/>
    </xf>
    <xf numFmtId="0" fontId="0" fillId="6" borderId="42" xfId="0" applyFill="1" applyBorder="1" applyAlignment="1">
      <alignment horizontal="right" vertical="center" wrapText="1"/>
    </xf>
    <xf numFmtId="0" fontId="0" fillId="6" borderId="28" xfId="0" applyFill="1" applyBorder="1" applyAlignment="1">
      <alignment horizontal="right" vertical="center" wrapText="1"/>
    </xf>
    <xf numFmtId="0" fontId="0" fillId="8" borderId="13" xfId="0" applyFill="1" applyBorder="1" applyAlignment="1" applyProtection="1">
      <alignment horizontal="center" vertical="center"/>
      <protection locked="0"/>
    </xf>
    <xf numFmtId="0" fontId="0" fillId="8" borderId="4"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6" borderId="26" xfId="0" applyFill="1" applyBorder="1" applyAlignment="1">
      <alignment horizontal="right" vertical="center" wrapText="1"/>
    </xf>
    <xf numFmtId="0" fontId="0" fillId="6" borderId="18" xfId="0" applyFill="1" applyBorder="1" applyAlignment="1">
      <alignment horizontal="right" vertical="center" wrapText="1"/>
    </xf>
    <xf numFmtId="0" fontId="0" fillId="6" borderId="15" xfId="0" applyFill="1" applyBorder="1" applyAlignment="1">
      <alignment horizontal="right" vertical="center" wrapText="1"/>
    </xf>
    <xf numFmtId="0" fontId="0" fillId="7" borderId="12" xfId="0" quotePrefix="1" applyFill="1" applyBorder="1" applyAlignment="1" applyProtection="1">
      <alignment horizontal="center" vertical="center"/>
      <protection locked="0"/>
    </xf>
    <xf numFmtId="14" fontId="0" fillId="7" borderId="17" xfId="0" applyNumberFormat="1" applyFill="1" applyBorder="1" applyAlignment="1" applyProtection="1">
      <alignment horizontal="center" vertical="center"/>
      <protection locked="0"/>
    </xf>
    <xf numFmtId="0" fontId="0" fillId="7" borderId="16" xfId="0" applyFill="1" applyBorder="1" applyAlignment="1" applyProtection="1">
      <alignment horizontal="center" vertical="center"/>
      <protection locked="0"/>
    </xf>
    <xf numFmtId="0" fontId="0" fillId="7" borderId="22" xfId="0" applyFill="1"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6" borderId="37" xfId="0" applyFill="1" applyBorder="1" applyAlignment="1">
      <alignment horizontal="left" vertical="center"/>
    </xf>
    <xf numFmtId="0" fontId="0" fillId="0" borderId="38" xfId="0" applyBorder="1" applyAlignment="1" applyProtection="1">
      <alignment horizontal="center" vertical="center"/>
      <protection locked="0"/>
    </xf>
    <xf numFmtId="0" fontId="0" fillId="6" borderId="11" xfId="0" applyFill="1" applyBorder="1" applyAlignment="1">
      <alignment horizontal="left" vertical="center"/>
    </xf>
    <xf numFmtId="0" fontId="0" fillId="6" borderId="18" xfId="0" applyFill="1" applyBorder="1" applyAlignment="1">
      <alignment horizontal="left" vertical="center"/>
    </xf>
    <xf numFmtId="0" fontId="0" fillId="6" borderId="27" xfId="0" applyFill="1" applyBorder="1" applyAlignment="1">
      <alignment horizontal="left" vertical="center"/>
    </xf>
    <xf numFmtId="0" fontId="0" fillId="6" borderId="15" xfId="0" applyFill="1" applyBorder="1" applyAlignment="1">
      <alignment horizontal="left" vertical="center"/>
    </xf>
    <xf numFmtId="0" fontId="3" fillId="5" borderId="24" xfId="0" applyFont="1" applyFill="1" applyBorder="1" applyAlignment="1">
      <alignment horizontal="right" vertical="center"/>
    </xf>
    <xf numFmtId="0" fontId="3" fillId="5" borderId="30" xfId="0" applyFont="1" applyFill="1" applyBorder="1" applyAlignment="1">
      <alignment horizontal="right" vertical="center"/>
    </xf>
    <xf numFmtId="0" fontId="3" fillId="5" borderId="45" xfId="0" applyFont="1" applyFill="1" applyBorder="1" applyAlignment="1">
      <alignment horizontal="right" vertical="center"/>
    </xf>
    <xf numFmtId="0" fontId="3" fillId="0" borderId="46" xfId="0" applyFont="1" applyBorder="1" applyAlignment="1">
      <alignment horizontal="center" vertical="center"/>
    </xf>
    <xf numFmtId="0" fontId="3" fillId="0" borderId="30" xfId="0" applyFont="1" applyBorder="1" applyAlignment="1">
      <alignment horizontal="center" vertical="center"/>
    </xf>
    <xf numFmtId="0" fontId="3" fillId="0" borderId="23" xfId="0" applyFont="1" applyBorder="1" applyAlignment="1">
      <alignment horizontal="center" vertical="center"/>
    </xf>
    <xf numFmtId="0" fontId="0" fillId="0" borderId="35" xfId="0" applyBorder="1" applyAlignment="1">
      <alignment horizontal="left" vertical="center"/>
    </xf>
    <xf numFmtId="0" fontId="0" fillId="0" borderId="36" xfId="0" applyBorder="1" applyAlignment="1">
      <alignment horizontal="right" vertical="center"/>
    </xf>
    <xf numFmtId="0" fontId="0" fillId="0" borderId="37" xfId="0" applyBorder="1" applyAlignment="1">
      <alignment horizontal="right" vertical="center"/>
    </xf>
    <xf numFmtId="0" fontId="0" fillId="0" borderId="37" xfId="0" applyBorder="1" applyAlignment="1">
      <alignment horizontal="left" vertical="center"/>
    </xf>
    <xf numFmtId="0" fontId="3" fillId="5" borderId="37" xfId="0" applyFont="1" applyFill="1" applyBorder="1" applyAlignment="1">
      <alignment horizontal="center" vertical="center"/>
    </xf>
    <xf numFmtId="0" fontId="3" fillId="5" borderId="38" xfId="0" applyFont="1" applyFill="1" applyBorder="1" applyAlignment="1">
      <alignment horizontal="center" vertical="center"/>
    </xf>
    <xf numFmtId="0" fontId="0" fillId="7" borderId="9" xfId="0" applyFill="1" applyBorder="1" applyAlignment="1" applyProtection="1">
      <alignment horizontal="left" vertical="top" wrapText="1"/>
      <protection locked="0"/>
    </xf>
    <xf numFmtId="0" fontId="0" fillId="7" borderId="0" xfId="0" applyFill="1" applyAlignment="1" applyProtection="1">
      <alignment horizontal="left" vertical="top" wrapText="1"/>
      <protection locked="0"/>
    </xf>
    <xf numFmtId="0" fontId="0" fillId="7" borderId="8" xfId="0" applyFill="1" applyBorder="1" applyAlignment="1" applyProtection="1">
      <alignment horizontal="left" vertical="top" wrapText="1"/>
      <protection locked="0"/>
    </xf>
    <xf numFmtId="0" fontId="6" fillId="6" borderId="25" xfId="3" applyFont="1" applyFill="1" applyBorder="1" applyAlignment="1">
      <alignment horizontal="right" vertical="center"/>
    </xf>
    <xf numFmtId="0" fontId="6" fillId="6" borderId="16" xfId="3" applyFont="1" applyFill="1" applyBorder="1" applyAlignment="1">
      <alignment horizontal="right" vertical="center"/>
    </xf>
    <xf numFmtId="0" fontId="6" fillId="6" borderId="64" xfId="3" applyFont="1" applyFill="1" applyBorder="1" applyAlignment="1">
      <alignment horizontal="right" vertical="center"/>
    </xf>
    <xf numFmtId="0" fontId="6" fillId="0" borderId="17" xfId="3" applyFont="1" applyBorder="1" applyAlignment="1" applyProtection="1">
      <alignment horizontal="left" vertical="center"/>
      <protection locked="0"/>
    </xf>
    <xf numFmtId="0" fontId="6" fillId="0" borderId="16" xfId="3" applyFont="1" applyBorder="1" applyAlignment="1" applyProtection="1">
      <alignment horizontal="left" vertical="center"/>
      <protection locked="0"/>
    </xf>
    <xf numFmtId="0" fontId="6" fillId="6" borderId="39" xfId="3" applyFont="1" applyFill="1" applyBorder="1" applyAlignment="1">
      <alignment horizontal="right" vertical="center"/>
    </xf>
    <xf numFmtId="0" fontId="6" fillId="6" borderId="28" xfId="3" applyFont="1" applyFill="1" applyBorder="1" applyAlignment="1">
      <alignment horizontal="right" vertical="center"/>
    </xf>
    <xf numFmtId="0" fontId="6" fillId="0" borderId="39" xfId="3" applyFont="1" applyBorder="1" applyAlignment="1" applyProtection="1">
      <alignment horizontal="left" vertical="center"/>
      <protection locked="0"/>
    </xf>
    <xf numFmtId="0" fontId="6" fillId="0" borderId="28" xfId="3" applyFont="1" applyBorder="1" applyAlignment="1" applyProtection="1">
      <alignment horizontal="left" vertical="center"/>
      <protection locked="0"/>
    </xf>
    <xf numFmtId="0" fontId="6" fillId="0" borderId="29" xfId="3" applyFont="1" applyBorder="1" applyAlignment="1" applyProtection="1">
      <alignment horizontal="left" vertical="center"/>
      <protection locked="0"/>
    </xf>
    <xf numFmtId="0" fontId="0" fillId="7" borderId="13" xfId="0" applyFill="1" applyBorder="1" applyAlignment="1" applyProtection="1">
      <alignment horizontal="center" vertical="center"/>
      <protection locked="0"/>
    </xf>
    <xf numFmtId="0" fontId="0" fillId="7" borderId="4" xfId="0" applyFill="1" applyBorder="1" applyAlignment="1" applyProtection="1">
      <alignment horizontal="center" vertical="center"/>
      <protection locked="0"/>
    </xf>
    <xf numFmtId="0" fontId="0" fillId="7" borderId="14" xfId="0" applyFill="1" applyBorder="1" applyAlignment="1" applyProtection="1">
      <alignment horizontal="center" vertical="center"/>
      <protection locked="0"/>
    </xf>
    <xf numFmtId="0" fontId="0" fillId="6" borderId="25" xfId="0" applyFill="1" applyBorder="1" applyAlignment="1">
      <alignment horizontal="right" vertical="center"/>
    </xf>
    <xf numFmtId="0" fontId="0" fillId="6" borderId="16" xfId="0" applyFill="1" applyBorder="1" applyAlignment="1">
      <alignment horizontal="right" vertical="center"/>
    </xf>
    <xf numFmtId="0" fontId="0" fillId="8" borderId="17" xfId="0" applyFill="1" applyBorder="1" applyAlignment="1" applyProtection="1">
      <alignment horizontal="center" vertical="center"/>
      <protection locked="0"/>
    </xf>
    <xf numFmtId="0" fontId="0" fillId="8" borderId="16" xfId="0" applyFill="1" applyBorder="1" applyAlignment="1" applyProtection="1">
      <alignment horizontal="center" vertical="center"/>
      <protection locked="0"/>
    </xf>
    <xf numFmtId="0" fontId="0" fillId="8" borderId="22" xfId="0" applyFill="1" applyBorder="1" applyAlignment="1" applyProtection="1">
      <alignment horizontal="center" vertical="center"/>
      <protection locked="0"/>
    </xf>
    <xf numFmtId="14" fontId="0" fillId="10" borderId="17" xfId="0" applyNumberFormat="1"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10" borderId="22" xfId="0" applyFill="1" applyBorder="1" applyAlignment="1" applyProtection="1">
      <alignment horizontal="center" vertical="center"/>
      <protection locked="0"/>
    </xf>
    <xf numFmtId="0" fontId="35" fillId="5" borderId="12" xfId="0" applyFont="1" applyFill="1" applyBorder="1" applyAlignment="1">
      <alignment horizontal="right" vertical="center"/>
    </xf>
    <xf numFmtId="44" fontId="35" fillId="0" borderId="12" xfId="0" applyNumberFormat="1" applyFont="1" applyBorder="1" applyAlignment="1" applyProtection="1">
      <alignment horizontal="center"/>
      <protection locked="0"/>
    </xf>
    <xf numFmtId="0" fontId="35" fillId="0" borderId="12" xfId="0" applyFont="1" applyBorder="1" applyAlignment="1" applyProtection="1">
      <alignment horizontal="center"/>
      <protection locked="0"/>
    </xf>
    <xf numFmtId="9" fontId="35" fillId="0" borderId="12" xfId="8" applyFont="1" applyFill="1" applyBorder="1" applyAlignment="1" applyProtection="1">
      <alignment horizontal="center"/>
    </xf>
    <xf numFmtId="9" fontId="14" fillId="6" borderId="11" xfId="8" applyFont="1" applyFill="1" applyBorder="1" applyAlignment="1">
      <alignment horizontal="center" vertical="center" wrapText="1"/>
    </xf>
    <xf numFmtId="9" fontId="14" fillId="6" borderId="15" xfId="8" applyFont="1" applyFill="1" applyBorder="1" applyAlignment="1">
      <alignment horizontal="center" vertical="center" wrapText="1"/>
    </xf>
    <xf numFmtId="0" fontId="14" fillId="0" borderId="11" xfId="0" applyFont="1" applyBorder="1" applyAlignment="1" applyProtection="1">
      <alignment horizontal="center" vertical="center"/>
      <protection locked="0"/>
    </xf>
    <xf numFmtId="0" fontId="14" fillId="0" borderId="18" xfId="0" applyFont="1" applyBorder="1" applyAlignment="1" applyProtection="1">
      <alignment horizontal="center" vertical="center"/>
      <protection locked="0"/>
    </xf>
    <xf numFmtId="0" fontId="14" fillId="0" borderId="15" xfId="0" applyFont="1" applyBorder="1" applyAlignment="1" applyProtection="1">
      <alignment horizontal="center" vertical="center"/>
      <protection locked="0"/>
    </xf>
    <xf numFmtId="0" fontId="14" fillId="0" borderId="12" xfId="0" applyFont="1" applyBorder="1" applyAlignment="1" applyProtection="1">
      <alignment horizontal="center" vertical="center" wrapText="1"/>
      <protection locked="0"/>
    </xf>
    <xf numFmtId="44" fontId="14" fillId="0" borderId="11" xfId="5" applyFont="1" applyFill="1" applyBorder="1" applyAlignment="1" applyProtection="1">
      <alignment horizontal="center" vertical="center" wrapText="1"/>
      <protection locked="0"/>
    </xf>
    <xf numFmtId="44" fontId="14" fillId="0" borderId="18" xfId="5" applyFont="1" applyFill="1" applyBorder="1" applyAlignment="1" applyProtection="1">
      <alignment horizontal="center" vertical="center" wrapText="1"/>
      <protection locked="0"/>
    </xf>
    <xf numFmtId="44" fontId="14" fillId="0" borderId="15" xfId="5" applyFont="1" applyFill="1" applyBorder="1" applyAlignment="1" applyProtection="1">
      <alignment horizontal="center" vertical="center" wrapText="1"/>
      <protection locked="0"/>
    </xf>
    <xf numFmtId="44" fontId="14" fillId="6" borderId="11" xfId="5" applyFont="1" applyFill="1" applyBorder="1" applyAlignment="1">
      <alignment horizontal="center" vertical="center" wrapText="1"/>
    </xf>
    <xf numFmtId="44" fontId="14" fillId="6" borderId="18" xfId="5" applyFont="1" applyFill="1" applyBorder="1" applyAlignment="1">
      <alignment horizontal="center" vertical="center" wrapText="1"/>
    </xf>
    <xf numFmtId="44" fontId="14" fillId="6" borderId="15" xfId="5" applyFont="1" applyFill="1" applyBorder="1" applyAlignment="1">
      <alignment horizontal="center" vertical="center" wrapText="1"/>
    </xf>
    <xf numFmtId="0" fontId="0" fillId="6" borderId="12" xfId="0" applyFill="1" applyBorder="1" applyAlignment="1" applyProtection="1">
      <alignment horizontal="right" vertical="center"/>
      <protection locked="0"/>
    </xf>
    <xf numFmtId="0" fontId="14" fillId="0" borderId="1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protection locked="0"/>
    </xf>
    <xf numFmtId="0" fontId="14" fillId="6" borderId="12" xfId="0" applyFont="1" applyFill="1" applyBorder="1" applyAlignment="1">
      <alignment horizontal="center" vertical="center"/>
    </xf>
    <xf numFmtId="0" fontId="25" fillId="4" borderId="6"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4" xfId="0" applyFont="1" applyFill="1" applyBorder="1" applyAlignment="1">
      <alignment horizontal="center" vertical="center" wrapText="1"/>
    </xf>
    <xf numFmtId="0" fontId="25" fillId="4" borderId="5"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7" xfId="0" applyFont="1" applyFill="1" applyBorder="1" applyAlignment="1">
      <alignment horizontal="center" vertical="center"/>
    </xf>
    <xf numFmtId="0" fontId="25" fillId="4" borderId="10" xfId="0" applyFont="1" applyFill="1" applyBorder="1" applyAlignment="1">
      <alignment horizontal="center" vertical="center"/>
    </xf>
    <xf numFmtId="0" fontId="25" fillId="4" borderId="4" xfId="0" applyFont="1" applyFill="1" applyBorder="1" applyAlignment="1">
      <alignment horizontal="center" vertical="center"/>
    </xf>
    <xf numFmtId="0" fontId="25" fillId="4" borderId="14" xfId="0" applyFont="1" applyFill="1" applyBorder="1" applyAlignment="1">
      <alignment horizontal="center" vertical="center"/>
    </xf>
    <xf numFmtId="0" fontId="0" fillId="6" borderId="12" xfId="0" applyFill="1" applyBorder="1" applyAlignment="1">
      <alignment horizontal="center" vertical="center"/>
    </xf>
    <xf numFmtId="0" fontId="0" fillId="0" borderId="46" xfId="0" applyBorder="1" applyAlignment="1">
      <alignment horizontal="center" vertical="center"/>
    </xf>
    <xf numFmtId="0" fontId="0" fillId="0" borderId="30" xfId="0" applyBorder="1" applyAlignment="1">
      <alignment horizontal="center" vertical="center"/>
    </xf>
    <xf numFmtId="0" fontId="0" fillId="0" borderId="23" xfId="0" applyBorder="1" applyAlignment="1">
      <alignment horizontal="center" vertical="center"/>
    </xf>
    <xf numFmtId="0" fontId="0" fillId="2" borderId="26" xfId="0" applyFill="1" applyBorder="1" applyAlignment="1">
      <alignment horizontal="right" vertical="center"/>
    </xf>
    <xf numFmtId="0" fontId="0" fillId="2" borderId="18" xfId="0" applyFill="1" applyBorder="1" applyAlignment="1">
      <alignment horizontal="right" vertical="center"/>
    </xf>
    <xf numFmtId="0" fontId="0" fillId="2" borderId="15" xfId="0" applyFill="1" applyBorder="1" applyAlignment="1">
      <alignment horizontal="right" vertical="center"/>
    </xf>
    <xf numFmtId="0" fontId="0" fillId="2" borderId="42" xfId="0" applyFill="1" applyBorder="1" applyAlignment="1">
      <alignment horizontal="right" vertical="center"/>
    </xf>
    <xf numFmtId="0" fontId="0" fillId="2" borderId="28" xfId="0" applyFill="1" applyBorder="1" applyAlignment="1">
      <alignment horizontal="right" vertical="center"/>
    </xf>
    <xf numFmtId="0" fontId="0" fillId="2" borderId="43" xfId="0" applyFill="1" applyBorder="1" applyAlignment="1">
      <alignment horizontal="right" vertical="center"/>
    </xf>
    <xf numFmtId="0" fontId="33" fillId="4" borderId="9" xfId="0" applyFont="1" applyFill="1" applyBorder="1" applyAlignment="1">
      <alignment horizontal="center"/>
    </xf>
    <xf numFmtId="0" fontId="33" fillId="4" borderId="0" xfId="0" applyFont="1" applyFill="1" applyAlignment="1">
      <alignment horizontal="center"/>
    </xf>
    <xf numFmtId="0" fontId="0" fillId="0" borderId="11" xfId="0" applyBorder="1" applyAlignment="1">
      <alignment horizontal="center" vertical="center"/>
    </xf>
    <xf numFmtId="0" fontId="0" fillId="0" borderId="18" xfId="0" applyBorder="1" applyAlignment="1">
      <alignment horizontal="center" vertical="center"/>
    </xf>
    <xf numFmtId="0" fontId="0" fillId="0" borderId="27" xfId="0" applyBorder="1" applyAlignment="1">
      <alignment horizontal="center" vertical="center"/>
    </xf>
    <xf numFmtId="0" fontId="0" fillId="2" borderId="24" xfId="0" applyFill="1" applyBorder="1" applyAlignment="1">
      <alignment horizontal="right" vertical="center"/>
    </xf>
    <xf numFmtId="0" fontId="0" fillId="2" borderId="30" xfId="0" applyFill="1" applyBorder="1" applyAlignment="1">
      <alignment horizontal="right" vertical="center"/>
    </xf>
    <xf numFmtId="0" fontId="0" fillId="2" borderId="45" xfId="0" applyFill="1" applyBorder="1" applyAlignment="1">
      <alignment horizontal="right" vertical="center"/>
    </xf>
    <xf numFmtId="0" fontId="0" fillId="0" borderId="39"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14" fillId="6" borderId="12" xfId="0" applyFont="1" applyFill="1" applyBorder="1" applyAlignment="1">
      <alignment horizontal="center" vertical="center" wrapText="1"/>
    </xf>
    <xf numFmtId="9" fontId="18" fillId="5" borderId="16" xfId="8" applyFont="1" applyFill="1" applyBorder="1" applyAlignment="1">
      <alignment horizontal="center" vertical="center"/>
    </xf>
    <xf numFmtId="0" fontId="3" fillId="5" borderId="12" xfId="0" applyFont="1" applyFill="1" applyBorder="1" applyAlignment="1">
      <alignment horizontal="left" vertical="center"/>
    </xf>
    <xf numFmtId="0" fontId="0" fillId="0" borderId="15" xfId="0" applyBorder="1" applyAlignment="1" applyProtection="1">
      <alignment horizontal="center" vertical="center"/>
      <protection locked="0"/>
    </xf>
    <xf numFmtId="44" fontId="18" fillId="5" borderId="16" xfId="5" applyFont="1" applyFill="1" applyBorder="1" applyAlignment="1">
      <alignment horizontal="center" vertical="center"/>
    </xf>
    <xf numFmtId="0" fontId="3" fillId="5" borderId="11" xfId="0" applyFont="1" applyFill="1" applyBorder="1" applyAlignment="1" applyProtection="1">
      <alignment horizontal="center" vertical="center"/>
      <protection locked="0"/>
    </xf>
    <xf numFmtId="0" fontId="3" fillId="5" borderId="18" xfId="0" applyFont="1" applyFill="1" applyBorder="1" applyAlignment="1" applyProtection="1">
      <alignment horizontal="center" vertical="center"/>
      <protection locked="0"/>
    </xf>
    <xf numFmtId="0" fontId="3" fillId="5" borderId="15" xfId="0" applyFont="1" applyFill="1" applyBorder="1" applyAlignment="1" applyProtection="1">
      <alignment horizontal="center" vertical="center"/>
      <protection locked="0"/>
    </xf>
    <xf numFmtId="0" fontId="14" fillId="11" borderId="11" xfId="0" applyFont="1" applyFill="1" applyBorder="1" applyAlignment="1" applyProtection="1">
      <alignment horizontal="center" vertical="center"/>
      <protection locked="0"/>
    </xf>
    <xf numFmtId="0" fontId="14" fillId="11" borderId="18" xfId="0" applyFont="1" applyFill="1" applyBorder="1" applyAlignment="1" applyProtection="1">
      <alignment horizontal="center" vertical="center"/>
      <protection locked="0"/>
    </xf>
    <xf numFmtId="0" fontId="14" fillId="11" borderId="15" xfId="0" applyFont="1" applyFill="1" applyBorder="1" applyAlignment="1" applyProtection="1">
      <alignment horizontal="center" vertical="center"/>
      <protection locked="0"/>
    </xf>
    <xf numFmtId="0" fontId="14" fillId="11" borderId="12" xfId="0" applyFont="1" applyFill="1" applyBorder="1" applyAlignment="1" applyProtection="1">
      <alignment horizontal="center" vertical="center" wrapText="1"/>
      <protection locked="0"/>
    </xf>
    <xf numFmtId="0" fontId="14" fillId="11" borderId="12" xfId="0" applyFont="1" applyFill="1" applyBorder="1" applyAlignment="1" applyProtection="1">
      <alignment horizontal="center" vertical="center"/>
      <protection locked="0"/>
    </xf>
    <xf numFmtId="44" fontId="14" fillId="5" borderId="11" xfId="5" applyFont="1" applyFill="1" applyBorder="1" applyAlignment="1" applyProtection="1">
      <alignment horizontal="center" vertical="center" wrapText="1"/>
      <protection locked="0"/>
    </xf>
    <xf numFmtId="44" fontId="14" fillId="5" borderId="18" xfId="5" applyFont="1" applyFill="1" applyBorder="1" applyAlignment="1" applyProtection="1">
      <alignment horizontal="center" vertical="center" wrapText="1"/>
      <protection locked="0"/>
    </xf>
    <xf numFmtId="44" fontId="14" fillId="5" borderId="15" xfId="5" applyFont="1" applyFill="1" applyBorder="1" applyAlignment="1" applyProtection="1">
      <alignment horizontal="center" vertical="center" wrapText="1"/>
      <protection locked="0"/>
    </xf>
    <xf numFmtId="44" fontId="14" fillId="5" borderId="11" xfId="5" applyFont="1" applyFill="1" applyBorder="1" applyAlignment="1">
      <alignment horizontal="center" vertical="center" wrapText="1"/>
    </xf>
    <xf numFmtId="44" fontId="14" fillId="5" borderId="18" xfId="5" applyFont="1" applyFill="1" applyBorder="1" applyAlignment="1">
      <alignment horizontal="center" vertical="center" wrapText="1"/>
    </xf>
    <xf numFmtId="44" fontId="14" fillId="5" borderId="15" xfId="5" applyFont="1" applyFill="1" applyBorder="1" applyAlignment="1">
      <alignment horizontal="center" vertical="center" wrapText="1"/>
    </xf>
    <xf numFmtId="0" fontId="3" fillId="5" borderId="17" xfId="0"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locked="0"/>
    </xf>
    <xf numFmtId="0" fontId="3" fillId="5" borderId="64" xfId="0" applyFont="1" applyFill="1" applyBorder="1" applyAlignment="1" applyProtection="1">
      <alignment horizontal="center" vertical="center"/>
      <protection locked="0"/>
    </xf>
    <xf numFmtId="0" fontId="4" fillId="0" borderId="12" xfId="0" applyFont="1" applyBorder="1" applyAlignment="1">
      <alignment horizontal="center" vertical="center"/>
    </xf>
    <xf numFmtId="44" fontId="35" fillId="6" borderId="12" xfId="0" applyNumberFormat="1" applyFont="1" applyFill="1" applyBorder="1" applyAlignment="1">
      <alignment horizontal="center"/>
    </xf>
    <xf numFmtId="0" fontId="35" fillId="6" borderId="12" xfId="0" applyFont="1" applyFill="1" applyBorder="1" applyAlignment="1">
      <alignment horizontal="center"/>
    </xf>
    <xf numFmtId="9" fontId="35" fillId="6" borderId="12" xfId="8" applyFont="1" applyFill="1" applyBorder="1" applyAlignment="1" applyProtection="1">
      <alignment horizontal="center"/>
    </xf>
    <xf numFmtId="0" fontId="14" fillId="6" borderId="20" xfId="0" applyFont="1" applyFill="1" applyBorder="1" applyAlignment="1">
      <alignment horizontal="right" vertical="center"/>
    </xf>
    <xf numFmtId="0" fontId="14" fillId="6" borderId="65" xfId="0" applyFont="1" applyFill="1" applyBorder="1" applyAlignment="1">
      <alignment horizontal="right" vertical="center"/>
    </xf>
    <xf numFmtId="0" fontId="14" fillId="0" borderId="48" xfId="0" applyFont="1" applyBorder="1" applyAlignment="1" applyProtection="1">
      <alignment horizontal="center" vertical="center"/>
      <protection locked="0"/>
    </xf>
    <xf numFmtId="0" fontId="14" fillId="0" borderId="50" xfId="0" applyFont="1" applyBorder="1" applyAlignment="1" applyProtection="1">
      <alignment horizontal="center" vertical="center"/>
      <protection locked="0"/>
    </xf>
    <xf numFmtId="0" fontId="14" fillId="0" borderId="20" xfId="0" applyFont="1" applyBorder="1" applyAlignment="1" applyProtection="1">
      <alignment horizontal="center" vertical="center"/>
      <protection locked="0"/>
    </xf>
    <xf numFmtId="0" fontId="14" fillId="0" borderId="19" xfId="0" applyFont="1" applyBorder="1" applyAlignment="1" applyProtection="1">
      <alignment horizontal="center" vertical="center"/>
      <protection locked="0"/>
    </xf>
    <xf numFmtId="0" fontId="14" fillId="0" borderId="65" xfId="0" applyFont="1" applyBorder="1" applyAlignment="1" applyProtection="1">
      <alignment horizontal="center" vertical="center"/>
      <protection locked="0"/>
    </xf>
    <xf numFmtId="0" fontId="0" fillId="0" borderId="20" xfId="0" applyBorder="1" applyAlignment="1" applyProtection="1">
      <alignment horizontal="center"/>
      <protection locked="0"/>
    </xf>
    <xf numFmtId="0" fontId="0" fillId="0" borderId="19" xfId="0" applyBorder="1" applyAlignment="1" applyProtection="1">
      <alignment horizontal="center"/>
      <protection locked="0"/>
    </xf>
    <xf numFmtId="0" fontId="14" fillId="0" borderId="48"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6" borderId="48" xfId="0" applyFont="1" applyFill="1" applyBorder="1" applyAlignment="1">
      <alignment horizontal="right" vertical="center"/>
    </xf>
    <xf numFmtId="0" fontId="14" fillId="6" borderId="32" xfId="0" applyFont="1" applyFill="1" applyBorder="1" applyAlignment="1">
      <alignment horizontal="right"/>
    </xf>
    <xf numFmtId="0" fontId="14" fillId="0" borderId="32" xfId="0" applyFont="1" applyBorder="1" applyAlignment="1" applyProtection="1">
      <alignment horizontal="center" vertical="center"/>
      <protection locked="0"/>
    </xf>
    <xf numFmtId="0" fontId="14" fillId="0" borderId="46" xfId="0" applyFont="1" applyBorder="1" applyAlignment="1" applyProtection="1">
      <alignment horizontal="center" vertical="center"/>
      <protection locked="0"/>
    </xf>
    <xf numFmtId="0" fontId="14" fillId="0" borderId="45" xfId="0" applyFont="1" applyBorder="1" applyAlignment="1">
      <alignment horizontal="left" vertical="center"/>
    </xf>
    <xf numFmtId="0" fontId="14" fillId="0" borderId="32" xfId="0" applyFont="1" applyBorder="1" applyAlignment="1">
      <alignment horizontal="left" vertical="center"/>
    </xf>
    <xf numFmtId="0" fontId="0" fillId="6" borderId="46" xfId="0" applyFill="1" applyBorder="1" applyAlignment="1">
      <alignment horizontal="center"/>
    </xf>
    <xf numFmtId="0" fontId="0" fillId="6" borderId="30" xfId="0" applyFill="1" applyBorder="1" applyAlignment="1">
      <alignment horizontal="center"/>
    </xf>
    <xf numFmtId="0" fontId="0" fillId="6" borderId="45" xfId="0" applyFill="1" applyBorder="1" applyAlignment="1">
      <alignment horizontal="center"/>
    </xf>
    <xf numFmtId="0" fontId="14" fillId="6" borderId="32" xfId="0" applyFont="1" applyFill="1" applyBorder="1" applyAlignment="1">
      <alignment horizontal="right" vertical="center"/>
    </xf>
    <xf numFmtId="0" fontId="14" fillId="0" borderId="33" xfId="0" applyFont="1" applyBorder="1" applyAlignment="1" applyProtection="1">
      <alignment horizontal="center" vertical="center"/>
      <protection locked="0"/>
    </xf>
    <xf numFmtId="0" fontId="14" fillId="0" borderId="34" xfId="0" applyFont="1" applyBorder="1" applyAlignment="1" applyProtection="1">
      <alignment horizontal="center" vertical="center"/>
      <protection locked="0"/>
    </xf>
    <xf numFmtId="0" fontId="14" fillId="0" borderId="36" xfId="0" applyFont="1" applyBorder="1" applyAlignment="1" applyProtection="1">
      <alignment horizontal="center" vertical="center"/>
      <protection locked="0"/>
    </xf>
    <xf numFmtId="0" fontId="14" fillId="0" borderId="39" xfId="0" applyFont="1" applyBorder="1" applyAlignment="1" applyProtection="1">
      <alignment horizontal="center" vertical="center"/>
      <protection locked="0"/>
    </xf>
    <xf numFmtId="0" fontId="14" fillId="6" borderId="40" xfId="0" applyFont="1" applyFill="1" applyBorder="1" applyAlignment="1">
      <alignment horizontal="right"/>
    </xf>
    <xf numFmtId="0" fontId="14" fillId="6" borderId="48" xfId="0" applyFont="1" applyFill="1" applyBorder="1" applyAlignment="1">
      <alignment horizontal="right"/>
    </xf>
    <xf numFmtId="0" fontId="14" fillId="6" borderId="19" xfId="0" applyFont="1" applyFill="1" applyBorder="1" applyAlignment="1">
      <alignment horizontal="right" vertical="center"/>
    </xf>
    <xf numFmtId="0" fontId="14" fillId="6" borderId="11" xfId="0" applyFont="1" applyFill="1" applyBorder="1" applyAlignment="1">
      <alignment horizontal="right" vertical="center"/>
    </xf>
    <xf numFmtId="0" fontId="14" fillId="6" borderId="15" xfId="0" applyFont="1" applyFill="1" applyBorder="1" applyAlignment="1">
      <alignment horizontal="right" vertical="center"/>
    </xf>
    <xf numFmtId="0" fontId="14" fillId="6" borderId="34" xfId="0" applyFont="1" applyFill="1" applyBorder="1" applyAlignment="1">
      <alignment horizontal="right"/>
    </xf>
    <xf numFmtId="0" fontId="14" fillId="6" borderId="12" xfId="0" applyFont="1" applyFill="1" applyBorder="1" applyAlignment="1">
      <alignment horizontal="right"/>
    </xf>
    <xf numFmtId="0" fontId="14" fillId="6" borderId="18" xfId="0" applyFont="1" applyFill="1" applyBorder="1" applyAlignment="1">
      <alignment horizontal="right" vertical="center"/>
    </xf>
    <xf numFmtId="0" fontId="0" fillId="0" borderId="11" xfId="0" applyBorder="1" applyAlignment="1" applyProtection="1">
      <alignment horizontal="center"/>
      <protection locked="0"/>
    </xf>
    <xf numFmtId="0" fontId="0" fillId="0" borderId="18" xfId="0" applyBorder="1" applyAlignment="1" applyProtection="1">
      <alignment horizontal="center"/>
      <protection locked="0"/>
    </xf>
    <xf numFmtId="0" fontId="14" fillId="0" borderId="12" xfId="0" applyFont="1" applyBorder="1" applyAlignment="1" applyProtection="1">
      <alignment horizontal="center"/>
      <protection locked="0"/>
    </xf>
    <xf numFmtId="0" fontId="14" fillId="0" borderId="11" xfId="0" applyFont="1" applyBorder="1" applyAlignment="1" applyProtection="1">
      <alignment horizontal="center"/>
      <protection locked="0"/>
    </xf>
    <xf numFmtId="0" fontId="14" fillId="6" borderId="46" xfId="0" applyFont="1" applyFill="1" applyBorder="1" applyAlignment="1">
      <alignment horizontal="right" vertical="center"/>
    </xf>
    <xf numFmtId="0" fontId="14" fillId="6" borderId="45" xfId="0" applyFont="1" applyFill="1" applyBorder="1" applyAlignment="1">
      <alignment horizontal="right" vertical="center"/>
    </xf>
    <xf numFmtId="0" fontId="14" fillId="6" borderId="41" xfId="0" applyFont="1" applyFill="1" applyBorder="1" applyAlignment="1">
      <alignment horizontal="right"/>
    </xf>
    <xf numFmtId="0" fontId="14" fillId="6" borderId="44" xfId="0" applyFont="1" applyFill="1" applyBorder="1" applyAlignment="1">
      <alignment horizontal="right"/>
    </xf>
    <xf numFmtId="0" fontId="14" fillId="0" borderId="17" xfId="0" applyFont="1" applyBorder="1" applyAlignment="1" applyProtection="1">
      <alignment horizontal="center" vertical="center"/>
      <protection locked="0"/>
    </xf>
    <xf numFmtId="0" fontId="14" fillId="0" borderId="16" xfId="0" applyFont="1" applyBorder="1" applyAlignment="1" applyProtection="1">
      <alignment horizontal="center" vertical="center"/>
      <protection locked="0"/>
    </xf>
    <xf numFmtId="0" fontId="14" fillId="0" borderId="64" xfId="0" applyFont="1" applyBorder="1" applyAlignment="1" applyProtection="1">
      <alignment horizontal="center" vertical="center"/>
      <protection locked="0"/>
    </xf>
    <xf numFmtId="0" fontId="14" fillId="6" borderId="17" xfId="0" applyFont="1" applyFill="1" applyBorder="1" applyAlignment="1">
      <alignment horizontal="right" vertical="center"/>
    </xf>
    <xf numFmtId="0" fontId="14" fillId="6" borderId="16" xfId="0" applyFont="1" applyFill="1" applyBorder="1" applyAlignment="1">
      <alignment horizontal="right" vertical="center"/>
    </xf>
    <xf numFmtId="0" fontId="14" fillId="6" borderId="64" xfId="0" applyFont="1" applyFill="1" applyBorder="1" applyAlignment="1">
      <alignment horizontal="right" vertical="center"/>
    </xf>
    <xf numFmtId="0" fontId="0" fillId="0" borderId="17" xfId="0" applyBorder="1" applyAlignment="1" applyProtection="1">
      <alignment horizontal="center"/>
      <protection locked="0"/>
    </xf>
    <xf numFmtId="0" fontId="0" fillId="0" borderId="16" xfId="0" applyBorder="1" applyAlignment="1" applyProtection="1">
      <alignment horizontal="center"/>
      <protection locked="0"/>
    </xf>
    <xf numFmtId="0" fontId="14" fillId="0" borderId="44"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30" xfId="0" applyFont="1" applyBorder="1" applyAlignment="1" applyProtection="1">
      <alignment horizontal="center" vertical="center"/>
      <protection locked="0"/>
    </xf>
    <xf numFmtId="0" fontId="14" fillId="0" borderId="45" xfId="0" applyFont="1" applyBorder="1" applyAlignment="1" applyProtection="1">
      <alignment horizontal="center" vertical="center"/>
      <protection locked="0"/>
    </xf>
    <xf numFmtId="0" fontId="27" fillId="4" borderId="53" xfId="0" applyFont="1" applyFill="1" applyBorder="1" applyAlignment="1">
      <alignment horizontal="left" textRotation="90"/>
    </xf>
    <xf numFmtId="0" fontId="27" fillId="4" borderId="62" xfId="0" applyFont="1" applyFill="1" applyBorder="1" applyAlignment="1">
      <alignment horizontal="left" textRotation="90"/>
    </xf>
    <xf numFmtId="0" fontId="27" fillId="4" borderId="5" xfId="0" applyFont="1" applyFill="1" applyBorder="1" applyAlignment="1">
      <alignment horizontal="center"/>
    </xf>
    <xf numFmtId="0" fontId="27" fillId="4" borderId="6" xfId="0" applyFont="1" applyFill="1" applyBorder="1" applyAlignment="1">
      <alignment horizontal="center"/>
    </xf>
    <xf numFmtId="0" fontId="27" fillId="4" borderId="9" xfId="0" applyFont="1" applyFill="1" applyBorder="1" applyAlignment="1">
      <alignment horizontal="center"/>
    </xf>
    <xf numFmtId="0" fontId="27" fillId="4" borderId="0" xfId="0" applyFont="1" applyFill="1" applyAlignment="1">
      <alignment horizontal="center"/>
    </xf>
    <xf numFmtId="0" fontId="27" fillId="4" borderId="7" xfId="0" applyFont="1" applyFill="1" applyBorder="1" applyAlignment="1">
      <alignment horizontal="center"/>
    </xf>
    <xf numFmtId="0" fontId="27" fillId="4" borderId="8" xfId="0" applyFont="1" applyFill="1" applyBorder="1" applyAlignment="1">
      <alignment horizontal="center"/>
    </xf>
    <xf numFmtId="0" fontId="28" fillId="4" borderId="5" xfId="3" applyFont="1" applyFill="1" applyBorder="1" applyAlignment="1">
      <alignment horizontal="center" vertical="center" wrapText="1"/>
    </xf>
    <xf numFmtId="0" fontId="28" fillId="4" borderId="6" xfId="3" applyFont="1" applyFill="1" applyBorder="1" applyAlignment="1">
      <alignment horizontal="center" vertical="center" wrapText="1"/>
    </xf>
    <xf numFmtId="0" fontId="28" fillId="4" borderId="10" xfId="3" applyFont="1" applyFill="1" applyBorder="1" applyAlignment="1">
      <alignment horizontal="center" vertical="center" wrapText="1"/>
    </xf>
    <xf numFmtId="0" fontId="28" fillId="4" borderId="4" xfId="3" applyFont="1" applyFill="1" applyBorder="1" applyAlignment="1">
      <alignment horizontal="center" vertical="center" wrapText="1"/>
    </xf>
    <xf numFmtId="0" fontId="29" fillId="4" borderId="52" xfId="3" applyFont="1" applyFill="1" applyBorder="1" applyAlignment="1">
      <alignment horizontal="center" vertical="center" textRotation="90"/>
    </xf>
    <xf numFmtId="0" fontId="29" fillId="4" borderId="57" xfId="3" applyFont="1" applyFill="1" applyBorder="1" applyAlignment="1">
      <alignment horizontal="center" vertical="center" textRotation="90"/>
    </xf>
    <xf numFmtId="0" fontId="29" fillId="4" borderId="54" xfId="3" applyFont="1" applyFill="1" applyBorder="1" applyAlignment="1">
      <alignment horizontal="center" vertical="center" textRotation="90"/>
    </xf>
    <xf numFmtId="0" fontId="14" fillId="0" borderId="31" xfId="0" applyFont="1" applyBorder="1" applyAlignment="1" applyProtection="1">
      <alignment horizontal="center" vertical="center"/>
      <protection locked="0"/>
    </xf>
    <xf numFmtId="0" fontId="14" fillId="6" borderId="31" xfId="0" applyFont="1" applyFill="1" applyBorder="1" applyAlignment="1">
      <alignment horizontal="right"/>
    </xf>
    <xf numFmtId="0" fontId="14" fillId="6" borderId="30" xfId="0" applyFont="1" applyFill="1" applyBorder="1" applyAlignment="1">
      <alignment horizontal="right" vertical="center"/>
    </xf>
    <xf numFmtId="0" fontId="0" fillId="0" borderId="46" xfId="0" applyBorder="1" applyAlignment="1" applyProtection="1">
      <alignment horizontal="center"/>
      <protection locked="0"/>
    </xf>
    <xf numFmtId="0" fontId="0" fillId="0" borderId="30" xfId="0" applyBorder="1" applyAlignment="1" applyProtection="1">
      <alignment horizontal="center"/>
      <protection locked="0"/>
    </xf>
    <xf numFmtId="0" fontId="14" fillId="0" borderId="32" xfId="0" applyFont="1" applyBorder="1" applyAlignment="1" applyProtection="1">
      <alignment horizontal="center"/>
      <protection locked="0"/>
    </xf>
    <xf numFmtId="0" fontId="14" fillId="0" borderId="46" xfId="0" applyFont="1" applyBorder="1" applyAlignment="1" applyProtection="1">
      <alignment horizontal="center"/>
      <protection locked="0"/>
    </xf>
    <xf numFmtId="0" fontId="0" fillId="0" borderId="44" xfId="0" applyBorder="1" applyAlignment="1">
      <alignment horizontal="center" vertical="center"/>
    </xf>
    <xf numFmtId="0" fontId="0" fillId="0" borderId="51" xfId="0" applyBorder="1" applyAlignment="1">
      <alignment horizontal="center" vertical="center"/>
    </xf>
    <xf numFmtId="0" fontId="0" fillId="0" borderId="12"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6" borderId="42" xfId="0" applyFill="1" applyBorder="1" applyAlignment="1">
      <alignment horizontal="right" vertical="center"/>
    </xf>
    <xf numFmtId="0" fontId="0" fillId="6" borderId="28" xfId="0" applyFill="1" applyBorder="1" applyAlignment="1">
      <alignment horizontal="right" vertical="center"/>
    </xf>
    <xf numFmtId="0" fontId="0" fillId="6" borderId="43" xfId="0" applyFill="1" applyBorder="1" applyAlignment="1">
      <alignment horizontal="right" vertical="center"/>
    </xf>
    <xf numFmtId="0" fontId="26" fillId="4" borderId="5" xfId="0" applyFont="1" applyFill="1" applyBorder="1" applyAlignment="1">
      <alignment horizontal="center" wrapText="1"/>
    </xf>
    <xf numFmtId="0" fontId="26" fillId="4" borderId="6" xfId="0" applyFont="1" applyFill="1" applyBorder="1" applyAlignment="1">
      <alignment horizontal="center" wrapText="1"/>
    </xf>
    <xf numFmtId="0" fontId="26" fillId="4" borderId="7" xfId="0" applyFont="1" applyFill="1" applyBorder="1" applyAlignment="1">
      <alignment horizontal="center" wrapText="1"/>
    </xf>
    <xf numFmtId="0" fontId="26" fillId="4" borderId="9" xfId="0" applyFont="1" applyFill="1" applyBorder="1" applyAlignment="1">
      <alignment horizontal="center" wrapText="1"/>
    </xf>
    <xf numFmtId="0" fontId="26" fillId="4" borderId="0" xfId="0" applyFont="1" applyFill="1" applyAlignment="1">
      <alignment horizontal="center" wrapText="1"/>
    </xf>
    <xf numFmtId="0" fontId="26" fillId="4" borderId="8" xfId="0" applyFont="1" applyFill="1" applyBorder="1" applyAlignment="1">
      <alignment horizontal="center" wrapText="1"/>
    </xf>
    <xf numFmtId="0" fontId="13" fillId="6" borderId="31" xfId="0" applyFont="1" applyFill="1" applyBorder="1" applyAlignment="1">
      <alignment horizontal="left" vertical="center" wrapText="1"/>
    </xf>
    <xf numFmtId="0" fontId="13" fillId="6" borderId="32" xfId="0" applyFont="1" applyFill="1" applyBorder="1" applyAlignment="1">
      <alignment horizontal="left" vertical="center" wrapText="1"/>
    </xf>
    <xf numFmtId="0" fontId="16" fillId="0" borderId="32" xfId="0" applyFont="1" applyBorder="1" applyAlignment="1" applyProtection="1">
      <alignment horizontal="center" vertical="center"/>
      <protection locked="0"/>
    </xf>
    <xf numFmtId="0" fontId="13" fillId="6" borderId="32" xfId="0" applyFont="1" applyFill="1" applyBorder="1" applyAlignment="1">
      <alignment horizontal="left" vertical="center"/>
    </xf>
    <xf numFmtId="0" fontId="13" fillId="6" borderId="33" xfId="0" applyFont="1" applyFill="1" applyBorder="1" applyAlignment="1">
      <alignment horizontal="left" vertical="center"/>
    </xf>
    <xf numFmtId="0" fontId="13" fillId="6" borderId="12" xfId="0" applyFont="1" applyFill="1" applyBorder="1" applyAlignment="1">
      <alignment horizontal="left" vertical="center"/>
    </xf>
    <xf numFmtId="0" fontId="13" fillId="6" borderId="35" xfId="0" applyFont="1" applyFill="1" applyBorder="1" applyAlignment="1">
      <alignment horizontal="left" vertical="center"/>
    </xf>
    <xf numFmtId="0" fontId="13" fillId="6" borderId="34" xfId="0" applyFont="1" applyFill="1" applyBorder="1" applyAlignment="1">
      <alignment horizontal="left" vertical="center" wrapText="1"/>
    </xf>
    <xf numFmtId="0" fontId="13" fillId="6" borderId="12" xfId="0" applyFont="1" applyFill="1" applyBorder="1" applyAlignment="1">
      <alignment horizontal="left" vertical="center" wrapText="1"/>
    </xf>
    <xf numFmtId="0" fontId="16" fillId="0" borderId="12"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5" xfId="0" applyFont="1" applyBorder="1" applyAlignment="1" applyProtection="1">
      <alignment horizontal="center" vertical="center"/>
      <protection locked="0"/>
    </xf>
    <xf numFmtId="0" fontId="13" fillId="6" borderId="35" xfId="0" applyFont="1" applyFill="1" applyBorder="1" applyAlignment="1">
      <alignment horizontal="left" vertical="center" wrapText="1"/>
    </xf>
    <xf numFmtId="0" fontId="0" fillId="3" borderId="11" xfId="0" applyFill="1" applyBorder="1" applyAlignment="1" applyProtection="1">
      <alignment horizontal="left" vertical="top"/>
      <protection locked="0"/>
    </xf>
    <xf numFmtId="0" fontId="0" fillId="3" borderId="18" xfId="0" applyFill="1" applyBorder="1" applyAlignment="1" applyProtection="1">
      <alignment horizontal="left" vertical="top"/>
      <protection locked="0"/>
    </xf>
    <xf numFmtId="0" fontId="0" fillId="3" borderId="15" xfId="0" applyFill="1" applyBorder="1" applyAlignment="1" applyProtection="1">
      <alignment horizontal="left" vertical="top"/>
      <protection locked="0"/>
    </xf>
    <xf numFmtId="0" fontId="21" fillId="3" borderId="11" xfId="0" applyFont="1" applyFill="1" applyBorder="1" applyAlignment="1" applyProtection="1">
      <alignment horizontal="left" vertical="top"/>
      <protection locked="0"/>
    </xf>
    <xf numFmtId="0" fontId="21" fillId="3" borderId="18" xfId="0" applyFont="1" applyFill="1" applyBorder="1" applyAlignment="1" applyProtection="1">
      <alignment horizontal="left" vertical="top"/>
      <protection locked="0"/>
    </xf>
    <xf numFmtId="0" fontId="21" fillId="3" borderId="27" xfId="0" applyFont="1" applyFill="1" applyBorder="1" applyAlignment="1" applyProtection="1">
      <alignment horizontal="left" vertical="top"/>
      <protection locked="0"/>
    </xf>
    <xf numFmtId="0" fontId="13" fillId="6" borderId="37" xfId="0" applyFont="1" applyFill="1" applyBorder="1" applyAlignment="1">
      <alignment horizontal="left" vertical="center"/>
    </xf>
    <xf numFmtId="0" fontId="13" fillId="6" borderId="38" xfId="0" applyFont="1" applyFill="1" applyBorder="1" applyAlignment="1">
      <alignment horizontal="left" vertical="center"/>
    </xf>
    <xf numFmtId="0" fontId="13" fillId="6" borderId="36" xfId="0" applyFont="1" applyFill="1" applyBorder="1" applyAlignment="1">
      <alignment horizontal="left" vertical="center" wrapText="1"/>
    </xf>
    <xf numFmtId="0" fontId="13" fillId="6" borderId="37" xfId="0" applyFont="1" applyFill="1" applyBorder="1" applyAlignment="1">
      <alignment horizontal="left" vertical="center" wrapText="1"/>
    </xf>
    <xf numFmtId="0" fontId="16" fillId="0" borderId="37" xfId="0" applyFont="1" applyBorder="1" applyAlignment="1" applyProtection="1">
      <alignment horizontal="center" vertical="center"/>
      <protection locked="0"/>
    </xf>
    <xf numFmtId="0" fontId="0" fillId="0" borderId="10"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29" fillId="4" borderId="52" xfId="3" applyFont="1" applyFill="1" applyBorder="1" applyAlignment="1">
      <alignment horizontal="center" textRotation="90"/>
    </xf>
    <xf numFmtId="0" fontId="29" fillId="4" borderId="57" xfId="3" applyFont="1" applyFill="1" applyBorder="1" applyAlignment="1">
      <alignment horizontal="center" textRotation="90"/>
    </xf>
    <xf numFmtId="0" fontId="29" fillId="4" borderId="54" xfId="3" applyFont="1" applyFill="1" applyBorder="1" applyAlignment="1">
      <alignment horizontal="center" textRotation="90"/>
    </xf>
    <xf numFmtId="0" fontId="14" fillId="6" borderId="57" xfId="0" applyFont="1" applyFill="1" applyBorder="1" applyAlignment="1">
      <alignment horizontal="right"/>
    </xf>
    <xf numFmtId="0" fontId="14" fillId="6" borderId="61" xfId="0" applyFont="1" applyFill="1" applyBorder="1" applyAlignment="1">
      <alignment horizontal="right"/>
    </xf>
    <xf numFmtId="49" fontId="0" fillId="0" borderId="32"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48" xfId="0" applyNumberFormat="1" applyBorder="1" applyAlignment="1" applyProtection="1">
      <alignment horizontal="center"/>
      <protection locked="0"/>
    </xf>
    <xf numFmtId="0" fontId="14" fillId="0" borderId="37" xfId="0" applyFont="1" applyBorder="1" applyAlignment="1" applyProtection="1">
      <alignment horizontal="center"/>
      <protection locked="0"/>
    </xf>
    <xf numFmtId="0" fontId="14" fillId="0" borderId="39" xfId="0" applyFont="1" applyBorder="1" applyAlignment="1" applyProtection="1">
      <alignment horizontal="center"/>
      <protection locked="0"/>
    </xf>
    <xf numFmtId="0" fontId="14" fillId="0" borderId="15" xfId="0" applyFont="1" applyBorder="1" applyAlignment="1">
      <alignment horizontal="left" vertical="center"/>
    </xf>
    <xf numFmtId="0" fontId="14" fillId="0" borderId="12" xfId="0" applyFont="1" applyBorder="1" applyAlignment="1">
      <alignment horizontal="left" vertical="center"/>
    </xf>
    <xf numFmtId="0" fontId="0" fillId="6" borderId="11" xfId="0" applyFill="1" applyBorder="1" applyAlignment="1">
      <alignment horizontal="center"/>
    </xf>
    <xf numFmtId="0" fontId="0" fillId="6" borderId="18" xfId="0" applyFill="1" applyBorder="1" applyAlignment="1">
      <alignment horizontal="center"/>
    </xf>
    <xf numFmtId="0" fontId="0" fillId="6" borderId="15" xfId="0" applyFill="1" applyBorder="1" applyAlignment="1">
      <alignment horizontal="center"/>
    </xf>
    <xf numFmtId="0" fontId="14" fillId="6" borderId="47" xfId="0" applyFont="1" applyFill="1" applyBorder="1" applyAlignment="1">
      <alignment horizontal="right"/>
    </xf>
    <xf numFmtId="0" fontId="14" fillId="0" borderId="44" xfId="0" applyFont="1" applyBorder="1" applyAlignment="1" applyProtection="1">
      <alignment horizontal="center" vertical="center"/>
      <protection locked="0"/>
    </xf>
    <xf numFmtId="0" fontId="14" fillId="0" borderId="64" xfId="0" applyFont="1" applyBorder="1" applyAlignment="1">
      <alignment horizontal="left" vertical="center"/>
    </xf>
    <xf numFmtId="0" fontId="14" fillId="0" borderId="44" xfId="0" applyFont="1" applyBorder="1" applyAlignment="1">
      <alignment horizontal="left" vertical="center"/>
    </xf>
    <xf numFmtId="0" fontId="0" fillId="6" borderId="17" xfId="0" applyFill="1" applyBorder="1" applyAlignment="1">
      <alignment horizontal="center"/>
    </xf>
    <xf numFmtId="0" fontId="0" fillId="6" borderId="16" xfId="0" applyFill="1" applyBorder="1" applyAlignment="1">
      <alignment horizontal="center"/>
    </xf>
    <xf numFmtId="0" fontId="0" fillId="6" borderId="64" xfId="0" applyFill="1" applyBorder="1" applyAlignment="1">
      <alignment horizontal="center"/>
    </xf>
    <xf numFmtId="0" fontId="14" fillId="6" borderId="36" xfId="0" applyFont="1" applyFill="1" applyBorder="1" applyAlignment="1">
      <alignment horizontal="right"/>
    </xf>
    <xf numFmtId="0" fontId="14" fillId="6" borderId="37" xfId="0" applyFont="1" applyFill="1" applyBorder="1" applyAlignment="1">
      <alignment horizontal="right"/>
    </xf>
    <xf numFmtId="0" fontId="14" fillId="0" borderId="46" xfId="0" applyFont="1" applyBorder="1" applyAlignment="1">
      <alignment horizontal="left" vertical="center"/>
    </xf>
    <xf numFmtId="0" fontId="14" fillId="0" borderId="11" xfId="0" applyFont="1" applyBorder="1" applyAlignment="1">
      <alignment horizontal="left" vertical="center"/>
    </xf>
    <xf numFmtId="0" fontId="14" fillId="0" borderId="43" xfId="0" applyFont="1" applyBorder="1" applyAlignment="1">
      <alignment horizontal="left" vertical="center"/>
    </xf>
    <xf numFmtId="0" fontId="14" fillId="0" borderId="39" xfId="0" applyFont="1" applyBorder="1" applyAlignment="1">
      <alignment horizontal="left" vertical="center"/>
    </xf>
    <xf numFmtId="0" fontId="14" fillId="6" borderId="31" xfId="0" applyFont="1" applyFill="1" applyBorder="1" applyAlignment="1">
      <alignment horizontal="right" vertical="center"/>
    </xf>
    <xf numFmtId="0" fontId="14" fillId="6" borderId="40" xfId="0" applyFont="1" applyFill="1" applyBorder="1" applyAlignment="1">
      <alignment horizontal="right" vertical="center"/>
    </xf>
    <xf numFmtId="0" fontId="14" fillId="0" borderId="40" xfId="0" applyFont="1" applyBorder="1" applyAlignment="1" applyProtection="1">
      <alignment horizontal="center" vertical="center"/>
      <protection locked="0"/>
    </xf>
    <xf numFmtId="0" fontId="14" fillId="6" borderId="49" xfId="0" applyFont="1" applyFill="1" applyBorder="1" applyAlignment="1">
      <alignment horizontal="right" vertical="center" wrapText="1"/>
    </xf>
    <xf numFmtId="0" fontId="14" fillId="6" borderId="0" xfId="0" applyFont="1" applyFill="1" applyAlignment="1">
      <alignment horizontal="right" vertical="center" wrapText="1"/>
    </xf>
    <xf numFmtId="0" fontId="14" fillId="6" borderId="63" xfId="0" applyFont="1" applyFill="1" applyBorder="1" applyAlignment="1">
      <alignment horizontal="right" vertical="center" wrapText="1"/>
    </xf>
    <xf numFmtId="0" fontId="14" fillId="0" borderId="49"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6" borderId="43" xfId="0" applyFill="1" applyBorder="1" applyAlignment="1">
      <alignment horizontal="right"/>
    </xf>
    <xf numFmtId="0" fontId="0" fillId="6" borderId="37" xfId="0" applyFill="1" applyBorder="1" applyAlignment="1">
      <alignment horizontal="right"/>
    </xf>
    <xf numFmtId="0" fontId="0" fillId="0" borderId="37" xfId="0" applyBorder="1" applyAlignment="1" applyProtection="1">
      <alignment horizontal="center"/>
      <protection locked="0"/>
    </xf>
    <xf numFmtId="0" fontId="0" fillId="6" borderId="39" xfId="0" applyFill="1" applyBorder="1" applyAlignment="1">
      <alignment horizontal="center"/>
    </xf>
    <xf numFmtId="0" fontId="0" fillId="6" borderId="28" xfId="0" applyFill="1" applyBorder="1" applyAlignment="1">
      <alignment horizontal="center"/>
    </xf>
    <xf numFmtId="0" fontId="0" fillId="6" borderId="29" xfId="0" applyFill="1" applyBorder="1" applyAlignment="1">
      <alignment horizontal="center"/>
    </xf>
    <xf numFmtId="0" fontId="0" fillId="6" borderId="49" xfId="0" applyFill="1" applyBorder="1" applyAlignment="1">
      <alignment horizontal="center"/>
    </xf>
    <xf numFmtId="0" fontId="0" fillId="6" borderId="0" xfId="0" applyFill="1" applyAlignment="1">
      <alignment horizontal="center"/>
    </xf>
    <xf numFmtId="0" fontId="0" fillId="6" borderId="63" xfId="0" applyFill="1" applyBorder="1" applyAlignment="1">
      <alignment horizontal="center"/>
    </xf>
    <xf numFmtId="0" fontId="0" fillId="6" borderId="45" xfId="0" applyFill="1" applyBorder="1" applyAlignment="1">
      <alignment horizontal="right"/>
    </xf>
    <xf numFmtId="0" fontId="0" fillId="6" borderId="32" xfId="0" applyFill="1" applyBorder="1" applyAlignment="1">
      <alignment horizontal="right"/>
    </xf>
    <xf numFmtId="0" fontId="14" fillId="6" borderId="46" xfId="0" applyFont="1" applyFill="1" applyBorder="1" applyAlignment="1">
      <alignment horizontal="right" vertical="center" wrapText="1"/>
    </xf>
    <xf numFmtId="0" fontId="14" fillId="6" borderId="30" xfId="0" applyFont="1" applyFill="1" applyBorder="1" applyAlignment="1">
      <alignment horizontal="right" vertical="center" wrapText="1"/>
    </xf>
    <xf numFmtId="0" fontId="14" fillId="6" borderId="45" xfId="0" applyFont="1" applyFill="1" applyBorder="1" applyAlignment="1">
      <alignment horizontal="right" vertical="center" wrapText="1"/>
    </xf>
    <xf numFmtId="0" fontId="14" fillId="6" borderId="11" xfId="0" applyFont="1" applyFill="1" applyBorder="1" applyAlignment="1">
      <alignment horizontal="right" vertical="center" wrapText="1"/>
    </xf>
    <xf numFmtId="0" fontId="14" fillId="6" borderId="18" xfId="0" applyFont="1" applyFill="1" applyBorder="1" applyAlignment="1">
      <alignment horizontal="right" vertical="center" wrapText="1"/>
    </xf>
    <xf numFmtId="0" fontId="14" fillId="6" borderId="15" xfId="0" applyFont="1" applyFill="1" applyBorder="1" applyAlignment="1">
      <alignment horizontal="right" vertical="center" wrapText="1"/>
    </xf>
    <xf numFmtId="0" fontId="14" fillId="6" borderId="11" xfId="0" applyFont="1" applyFill="1" applyBorder="1" applyAlignment="1">
      <alignment horizontal="center" vertical="center"/>
    </xf>
    <xf numFmtId="0" fontId="14" fillId="6" borderId="15" xfId="0" applyFont="1" applyFill="1" applyBorder="1" applyAlignment="1">
      <alignment horizontal="center" vertical="center"/>
    </xf>
    <xf numFmtId="0" fontId="14" fillId="0" borderId="1" xfId="0" applyFont="1" applyBorder="1" applyAlignment="1" applyProtection="1">
      <alignment horizontal="center"/>
      <protection locked="0"/>
    </xf>
    <xf numFmtId="0" fontId="14" fillId="0" borderId="2" xfId="0" applyFont="1" applyBorder="1" applyAlignment="1" applyProtection="1">
      <alignment horizontal="center"/>
      <protection locked="0"/>
    </xf>
    <xf numFmtId="0" fontId="14" fillId="0" borderId="3" xfId="0" applyFont="1" applyBorder="1" applyAlignment="1" applyProtection="1">
      <alignment horizontal="center"/>
      <protection locked="0"/>
    </xf>
    <xf numFmtId="0" fontId="15" fillId="0" borderId="5" xfId="0" applyFont="1" applyBorder="1" applyAlignment="1" applyProtection="1">
      <alignment horizontal="center" vertical="top"/>
      <protection locked="0"/>
    </xf>
    <xf numFmtId="0" fontId="15" fillId="0" borderId="6" xfId="0" applyFont="1" applyBorder="1" applyAlignment="1" applyProtection="1">
      <alignment horizontal="center" vertical="top"/>
      <protection locked="0"/>
    </xf>
    <xf numFmtId="0" fontId="15" fillId="0" borderId="7" xfId="0" applyFont="1" applyBorder="1" applyAlignment="1" applyProtection="1">
      <alignment horizontal="center" vertical="top"/>
      <protection locked="0"/>
    </xf>
    <xf numFmtId="0" fontId="14" fillId="0" borderId="46" xfId="0" applyFont="1" applyBorder="1" applyAlignment="1" applyProtection="1">
      <alignment horizontal="left" vertical="center"/>
      <protection locked="0"/>
    </xf>
    <xf numFmtId="0" fontId="14" fillId="0" borderId="30" xfId="0" applyFont="1" applyBorder="1" applyAlignment="1" applyProtection="1">
      <alignment horizontal="left" vertical="center"/>
      <protection locked="0"/>
    </xf>
    <xf numFmtId="0" fontId="14" fillId="0" borderId="45" xfId="0" applyFont="1" applyBorder="1" applyAlignment="1" applyProtection="1">
      <alignment horizontal="left" vertical="center"/>
      <protection locked="0"/>
    </xf>
    <xf numFmtId="0" fontId="14" fillId="6" borderId="20" xfId="0" applyFont="1" applyFill="1" applyBorder="1" applyAlignment="1">
      <alignment horizontal="center" vertical="center"/>
    </xf>
    <xf numFmtId="0" fontId="14" fillId="6" borderId="19" xfId="0" applyFont="1" applyFill="1" applyBorder="1" applyAlignment="1">
      <alignment horizontal="center" vertical="center"/>
    </xf>
    <xf numFmtId="0" fontId="14" fillId="6" borderId="72" xfId="0" applyFont="1" applyFill="1" applyBorder="1" applyAlignment="1">
      <alignment horizontal="center" vertical="center"/>
    </xf>
    <xf numFmtId="0" fontId="14" fillId="6" borderId="49" xfId="0" applyFont="1" applyFill="1" applyBorder="1" applyAlignment="1">
      <alignment horizontal="center" vertical="center"/>
    </xf>
    <xf numFmtId="0" fontId="14" fillId="6" borderId="0" xfId="0" applyFont="1" applyFill="1" applyAlignment="1">
      <alignment horizontal="center" vertical="center"/>
    </xf>
    <xf numFmtId="0" fontId="14" fillId="6" borderId="8" xfId="0" applyFont="1" applyFill="1" applyBorder="1" applyAlignment="1">
      <alignment horizontal="center" vertical="center"/>
    </xf>
    <xf numFmtId="0" fontId="14" fillId="6" borderId="17" xfId="0" applyFont="1" applyFill="1" applyBorder="1" applyAlignment="1">
      <alignment horizontal="center" vertical="center"/>
    </xf>
    <xf numFmtId="0" fontId="14" fillId="6" borderId="16" xfId="0" applyFont="1" applyFill="1" applyBorder="1" applyAlignment="1">
      <alignment horizontal="center" vertical="center"/>
    </xf>
    <xf numFmtId="0" fontId="14" fillId="6" borderId="22" xfId="0" applyFont="1" applyFill="1" applyBorder="1" applyAlignment="1">
      <alignment horizontal="center" vertical="center"/>
    </xf>
    <xf numFmtId="0" fontId="15" fillId="0" borderId="1" xfId="0" applyFont="1" applyBorder="1" applyAlignment="1" applyProtection="1">
      <alignment horizontal="center" vertical="top"/>
      <protection locked="0"/>
    </xf>
    <xf numFmtId="0" fontId="15" fillId="0" borderId="2" xfId="0" applyFont="1" applyBorder="1" applyAlignment="1" applyProtection="1">
      <alignment horizontal="center" vertical="top"/>
      <protection locked="0"/>
    </xf>
    <xf numFmtId="0" fontId="15" fillId="0" borderId="73" xfId="0" applyFont="1" applyBorder="1" applyAlignment="1" applyProtection="1">
      <alignment horizontal="center" vertical="top"/>
      <protection locked="0"/>
    </xf>
    <xf numFmtId="0" fontId="15" fillId="0" borderId="3" xfId="0" applyFont="1" applyBorder="1" applyAlignment="1" applyProtection="1">
      <alignment horizontal="center" vertical="top"/>
      <protection locked="0"/>
    </xf>
    <xf numFmtId="0" fontId="14" fillId="6" borderId="39" xfId="0" applyFont="1" applyFill="1" applyBorder="1" applyAlignment="1">
      <alignment horizontal="center" vertical="center"/>
    </xf>
    <xf numFmtId="0" fontId="14" fillId="6" borderId="43" xfId="0" applyFont="1" applyFill="1" applyBorder="1" applyAlignment="1">
      <alignment horizontal="center" vertical="center"/>
    </xf>
    <xf numFmtId="0" fontId="0" fillId="0" borderId="39" xfId="0" applyBorder="1" applyAlignment="1" applyProtection="1">
      <alignment horizontal="center"/>
      <protection locked="0"/>
    </xf>
    <xf numFmtId="0" fontId="0" fillId="0" borderId="28" xfId="0" applyBorder="1" applyAlignment="1" applyProtection="1">
      <alignment horizontal="center"/>
      <protection locked="0"/>
    </xf>
    <xf numFmtId="0" fontId="14" fillId="0" borderId="13"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4" fillId="6" borderId="13" xfId="0" applyFont="1" applyFill="1" applyBorder="1" applyAlignment="1">
      <alignment horizontal="right" vertical="center"/>
    </xf>
    <xf numFmtId="0" fontId="14" fillId="6" borderId="4" xfId="0" applyFont="1" applyFill="1" applyBorder="1" applyAlignment="1">
      <alignment horizontal="right" vertical="center"/>
    </xf>
    <xf numFmtId="0" fontId="14" fillId="6" borderId="61" xfId="0" applyFont="1" applyFill="1" applyBorder="1" applyAlignment="1">
      <alignment horizontal="right" vertical="center"/>
    </xf>
    <xf numFmtId="0" fontId="14" fillId="0" borderId="61" xfId="0" applyFont="1" applyBorder="1" applyAlignment="1" applyProtection="1">
      <alignment horizontal="center" vertical="center"/>
      <protection locked="0"/>
    </xf>
    <xf numFmtId="0" fontId="14" fillId="0" borderId="62" xfId="0" applyFont="1" applyBorder="1" applyAlignment="1" applyProtection="1">
      <alignment horizontal="center" vertical="center"/>
      <protection locked="0"/>
    </xf>
    <xf numFmtId="0" fontId="14" fillId="6" borderId="16" xfId="0" applyFont="1" applyFill="1" applyBorder="1" applyAlignment="1">
      <alignment horizontal="center"/>
    </xf>
    <xf numFmtId="0" fontId="14" fillId="6" borderId="64" xfId="0" applyFont="1" applyFill="1" applyBorder="1" applyAlignment="1">
      <alignment horizontal="center"/>
    </xf>
    <xf numFmtId="0" fontId="14" fillId="0" borderId="16" xfId="0" applyFont="1" applyBorder="1" applyAlignment="1" applyProtection="1">
      <alignment horizontal="center"/>
      <protection locked="0"/>
    </xf>
    <xf numFmtId="0" fontId="14" fillId="0" borderId="64" xfId="0" applyFont="1" applyBorder="1" applyAlignment="1" applyProtection="1">
      <alignment horizontal="center"/>
      <protection locked="0"/>
    </xf>
    <xf numFmtId="0" fontId="14" fillId="6" borderId="18" xfId="0" applyFont="1" applyFill="1" applyBorder="1" applyAlignment="1">
      <alignment horizontal="center"/>
    </xf>
    <xf numFmtId="0" fontId="14" fillId="6" borderId="15" xfId="0" applyFont="1" applyFill="1" applyBorder="1" applyAlignment="1">
      <alignment horizontal="center"/>
    </xf>
    <xf numFmtId="0" fontId="14" fillId="0" borderId="76" xfId="0" applyFont="1" applyBorder="1" applyAlignment="1" applyProtection="1">
      <alignment horizontal="center" vertical="center"/>
      <protection locked="0"/>
    </xf>
    <xf numFmtId="0" fontId="14" fillId="0" borderId="75" xfId="0" applyFont="1" applyBorder="1" applyAlignment="1" applyProtection="1">
      <alignment horizontal="center" vertical="center"/>
      <protection locked="0"/>
    </xf>
    <xf numFmtId="0" fontId="14" fillId="0" borderId="11" xfId="0" applyFont="1" applyBorder="1" applyAlignment="1" applyProtection="1">
      <alignment horizontal="left" vertical="center"/>
      <protection locked="0"/>
    </xf>
    <xf numFmtId="0" fontId="14" fillId="0" borderId="18" xfId="0" applyFont="1" applyBorder="1" applyAlignment="1" applyProtection="1">
      <alignment horizontal="left" vertical="center"/>
      <protection locked="0"/>
    </xf>
    <xf numFmtId="0" fontId="14" fillId="6" borderId="18" xfId="0" applyFont="1" applyFill="1" applyBorder="1" applyAlignment="1">
      <alignment horizontal="center" vertical="center"/>
    </xf>
    <xf numFmtId="0" fontId="14" fillId="5" borderId="19" xfId="0" applyFont="1" applyFill="1" applyBorder="1" applyAlignment="1">
      <alignment horizontal="left" vertical="center"/>
    </xf>
    <xf numFmtId="0" fontId="14" fillId="5" borderId="65" xfId="0" applyFont="1" applyFill="1" applyBorder="1" applyAlignment="1">
      <alignment horizontal="left" vertical="center"/>
    </xf>
    <xf numFmtId="0" fontId="14" fillId="5" borderId="15" xfId="0" applyFont="1" applyFill="1" applyBorder="1" applyAlignment="1">
      <alignment horizontal="left" vertical="center"/>
    </xf>
    <xf numFmtId="0" fontId="14" fillId="5" borderId="12" xfId="0" applyFont="1" applyFill="1" applyBorder="1" applyAlignment="1">
      <alignment horizontal="left" vertical="center"/>
    </xf>
    <xf numFmtId="0" fontId="14" fillId="0" borderId="18" xfId="0" applyFont="1" applyBorder="1" applyAlignment="1" applyProtection="1">
      <alignment horizontal="center"/>
      <protection locked="0"/>
    </xf>
    <xf numFmtId="0" fontId="14" fillId="0" borderId="15" xfId="0" applyFont="1" applyBorder="1" applyAlignment="1" applyProtection="1">
      <alignment horizontal="center"/>
      <protection locked="0"/>
    </xf>
    <xf numFmtId="0" fontId="14" fillId="0" borderId="49" xfId="0" applyFont="1" applyBorder="1" applyAlignment="1" applyProtection="1">
      <alignment horizontal="center"/>
      <protection locked="0"/>
    </xf>
    <xf numFmtId="0" fontId="14" fillId="0" borderId="0" xfId="0" applyFont="1" applyAlignment="1" applyProtection="1">
      <alignment horizontal="center"/>
      <protection locked="0"/>
    </xf>
    <xf numFmtId="0" fontId="14" fillId="0" borderId="63" xfId="0" applyFont="1" applyBorder="1" applyAlignment="1" applyProtection="1">
      <alignment horizontal="center"/>
      <protection locked="0"/>
    </xf>
    <xf numFmtId="0" fontId="14" fillId="6" borderId="0" xfId="0" applyFont="1" applyFill="1" applyAlignment="1">
      <alignment horizontal="center"/>
    </xf>
    <xf numFmtId="0" fontId="14" fillId="6" borderId="63" xfId="0" applyFont="1" applyFill="1" applyBorder="1" applyAlignment="1">
      <alignment horizontal="center"/>
    </xf>
    <xf numFmtId="0" fontId="14" fillId="6" borderId="44" xfId="0" applyFont="1" applyFill="1" applyBorder="1" applyAlignment="1">
      <alignment horizontal="right" vertical="center"/>
    </xf>
    <xf numFmtId="0" fontId="14" fillId="0" borderId="51" xfId="0" applyFont="1" applyBorder="1" applyAlignment="1" applyProtection="1">
      <alignment horizontal="center" vertical="center"/>
      <protection locked="0"/>
    </xf>
    <xf numFmtId="0" fontId="14" fillId="6" borderId="15" xfId="0" applyFont="1" applyFill="1" applyBorder="1" applyAlignment="1">
      <alignment horizontal="right"/>
    </xf>
    <xf numFmtId="0" fontId="29" fillId="4" borderId="67" xfId="3" applyFont="1" applyFill="1" applyBorder="1" applyAlignment="1">
      <alignment horizontal="center" vertical="center" textRotation="90"/>
    </xf>
    <xf numFmtId="0" fontId="29" fillId="4" borderId="68" xfId="3" applyFont="1" applyFill="1" applyBorder="1" applyAlignment="1">
      <alignment horizontal="center" vertical="center" textRotation="90"/>
    </xf>
    <xf numFmtId="0" fontId="29" fillId="4" borderId="69" xfId="3" applyFont="1" applyFill="1" applyBorder="1" applyAlignment="1">
      <alignment horizontal="center" vertical="center" textRotation="90"/>
    </xf>
    <xf numFmtId="0" fontId="14" fillId="6" borderId="64" xfId="0" applyFont="1" applyFill="1" applyBorder="1" applyAlignment="1">
      <alignment horizontal="right"/>
    </xf>
    <xf numFmtId="0" fontId="14" fillId="6" borderId="65" xfId="0" applyFont="1" applyFill="1" applyBorder="1" applyAlignment="1">
      <alignment horizontal="right"/>
    </xf>
    <xf numFmtId="0" fontId="14" fillId="6" borderId="43" xfId="0" applyFont="1" applyFill="1" applyBorder="1" applyAlignment="1">
      <alignment horizontal="right"/>
    </xf>
    <xf numFmtId="0" fontId="14" fillId="0" borderId="47" xfId="0" applyFont="1" applyBorder="1" applyAlignment="1" applyProtection="1">
      <alignment horizontal="center"/>
      <protection locked="0"/>
    </xf>
    <xf numFmtId="0" fontId="14" fillId="0" borderId="13" xfId="0" applyFont="1" applyBorder="1" applyAlignment="1" applyProtection="1">
      <alignment horizontal="center"/>
      <protection locked="0"/>
    </xf>
    <xf numFmtId="0" fontId="29" fillId="4" borderId="5" xfId="3" applyFont="1" applyFill="1" applyBorder="1" applyAlignment="1">
      <alignment horizontal="center" vertical="center" textRotation="90" wrapText="1"/>
    </xf>
    <xf numFmtId="0" fontId="29" fillId="4" borderId="9" xfId="3" applyFont="1" applyFill="1" applyBorder="1" applyAlignment="1">
      <alignment horizontal="center" vertical="center" textRotation="90" wrapText="1"/>
    </xf>
    <xf numFmtId="0" fontId="29" fillId="4" borderId="10" xfId="3" applyFont="1" applyFill="1" applyBorder="1" applyAlignment="1">
      <alignment horizontal="center" vertical="center" textRotation="90" wrapText="1"/>
    </xf>
    <xf numFmtId="0" fontId="14" fillId="5" borderId="45" xfId="0" applyFont="1" applyFill="1" applyBorder="1" applyAlignment="1">
      <alignment horizontal="left" vertical="center"/>
    </xf>
    <xf numFmtId="0" fontId="14" fillId="5" borderId="32" xfId="0" applyFont="1" applyFill="1" applyBorder="1" applyAlignment="1">
      <alignment horizontal="left" vertical="center"/>
    </xf>
    <xf numFmtId="0" fontId="14" fillId="0" borderId="47" xfId="0" applyFont="1" applyBorder="1" applyAlignment="1" applyProtection="1">
      <alignment horizontal="center" vertical="center"/>
      <protection locked="0"/>
    </xf>
    <xf numFmtId="0" fontId="14" fillId="6" borderId="47" xfId="0" applyFont="1" applyFill="1" applyBorder="1" applyAlignment="1">
      <alignment horizontal="right" vertical="center"/>
    </xf>
    <xf numFmtId="0" fontId="14" fillId="0" borderId="55" xfId="0" applyFont="1" applyBorder="1" applyAlignment="1" applyProtection="1">
      <alignment horizontal="center" vertical="center"/>
      <protection locked="0"/>
    </xf>
    <xf numFmtId="0" fontId="29" fillId="4" borderId="5" xfId="3" applyFont="1" applyFill="1" applyBorder="1" applyAlignment="1">
      <alignment horizontal="center" vertical="center" textRotation="90"/>
    </xf>
    <xf numFmtId="0" fontId="29" fillId="4" borderId="9" xfId="3" applyFont="1" applyFill="1" applyBorder="1" applyAlignment="1">
      <alignment horizontal="center" vertical="center" textRotation="90"/>
    </xf>
    <xf numFmtId="0" fontId="29" fillId="4" borderId="10" xfId="3" applyFont="1" applyFill="1" applyBorder="1" applyAlignment="1">
      <alignment horizontal="center" vertical="center" textRotation="90"/>
    </xf>
    <xf numFmtId="0" fontId="14" fillId="6" borderId="39" xfId="0" applyFont="1" applyFill="1" applyBorder="1" applyAlignment="1">
      <alignment horizontal="right" vertical="center"/>
    </xf>
    <xf numFmtId="0" fontId="14" fillId="6" borderId="43" xfId="0" applyFont="1" applyFill="1" applyBorder="1" applyAlignment="1">
      <alignment horizontal="right" vertical="center"/>
    </xf>
    <xf numFmtId="0" fontId="14" fillId="0" borderId="61" xfId="0" applyFont="1" applyBorder="1" applyAlignment="1" applyProtection="1">
      <alignment horizontal="center"/>
      <protection locked="0"/>
    </xf>
    <xf numFmtId="0" fontId="0" fillId="0" borderId="49" xfId="0" applyBorder="1" applyAlignment="1" applyProtection="1">
      <alignment horizontal="center"/>
      <protection locked="0"/>
    </xf>
    <xf numFmtId="0" fontId="0" fillId="0" borderId="0" xfId="0" applyAlignment="1" applyProtection="1">
      <alignment horizontal="center"/>
      <protection locked="0"/>
    </xf>
    <xf numFmtId="0" fontId="13" fillId="2" borderId="17" xfId="0" applyFont="1" applyFill="1" applyBorder="1" applyAlignment="1">
      <alignment horizontal="left" vertical="center" wrapText="1"/>
    </xf>
    <xf numFmtId="0" fontId="13" fillId="2" borderId="16" xfId="0" applyFont="1" applyFill="1" applyBorder="1" applyAlignment="1">
      <alignment horizontal="left" vertical="center" wrapText="1"/>
    </xf>
    <xf numFmtId="0" fontId="13" fillId="2" borderId="64" xfId="0" applyFont="1" applyFill="1" applyBorder="1" applyAlignment="1">
      <alignment horizontal="left" vertical="center" wrapText="1"/>
    </xf>
    <xf numFmtId="0" fontId="16" fillId="0" borderId="17"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16" fillId="0" borderId="64" xfId="0" applyFont="1" applyBorder="1" applyAlignment="1" applyProtection="1">
      <alignment horizontal="center" vertical="center"/>
      <protection locked="0"/>
    </xf>
    <xf numFmtId="0" fontId="13" fillId="2" borderId="17" xfId="0" applyFont="1" applyFill="1" applyBorder="1" applyAlignment="1">
      <alignment horizontal="left" vertical="center"/>
    </xf>
    <xf numFmtId="0" fontId="13" fillId="2" borderId="16" xfId="0" applyFont="1" applyFill="1" applyBorder="1" applyAlignment="1">
      <alignment horizontal="left" vertical="center"/>
    </xf>
    <xf numFmtId="0" fontId="13" fillId="2" borderId="22" xfId="0" applyFont="1" applyFill="1" applyBorder="1" applyAlignment="1">
      <alignment horizontal="left" vertical="center"/>
    </xf>
    <xf numFmtId="0" fontId="16" fillId="0" borderId="39"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43" xfId="0" applyFont="1" applyBorder="1" applyAlignment="1" applyProtection="1">
      <alignment horizontal="center" vertical="center"/>
      <protection locked="0"/>
    </xf>
    <xf numFmtId="0" fontId="13" fillId="2" borderId="1" xfId="0" applyFont="1" applyFill="1" applyBorder="1" applyAlignment="1">
      <alignment horizontal="left" vertical="center" wrapText="1"/>
    </xf>
    <xf numFmtId="0" fontId="13" fillId="2" borderId="2" xfId="0" applyFont="1" applyFill="1" applyBorder="1" applyAlignment="1">
      <alignment horizontal="left" vertical="center" wrapText="1"/>
    </xf>
    <xf numFmtId="0" fontId="13" fillId="2" borderId="71" xfId="0" applyFont="1" applyFill="1" applyBorder="1" applyAlignment="1">
      <alignment horizontal="left" vertical="center" wrapText="1"/>
    </xf>
    <xf numFmtId="0" fontId="16" fillId="0" borderId="73"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71" xfId="0" applyFont="1" applyBorder="1" applyAlignment="1" applyProtection="1">
      <alignment horizontal="center" vertical="center"/>
      <protection locked="0"/>
    </xf>
    <xf numFmtId="0" fontId="4" fillId="2" borderId="73" xfId="0" applyFont="1" applyFill="1" applyBorder="1" applyAlignment="1">
      <alignment horizontal="center" vertical="top"/>
    </xf>
    <xf numFmtId="0" fontId="4" fillId="2" borderId="2" xfId="0" applyFont="1" applyFill="1" applyBorder="1" applyAlignment="1">
      <alignment horizontal="center" vertical="top"/>
    </xf>
    <xf numFmtId="0" fontId="4" fillId="2" borderId="3" xfId="0" applyFont="1" applyFill="1" applyBorder="1" applyAlignment="1">
      <alignment horizontal="center" vertical="top"/>
    </xf>
    <xf numFmtId="0" fontId="13" fillId="2" borderId="24" xfId="0" applyFont="1" applyFill="1" applyBorder="1" applyAlignment="1">
      <alignment horizontal="left" vertical="center" wrapText="1"/>
    </xf>
    <xf numFmtId="0" fontId="13" fillId="2" borderId="30" xfId="0" applyFont="1" applyFill="1" applyBorder="1" applyAlignment="1">
      <alignment horizontal="left" vertical="center" wrapText="1"/>
    </xf>
    <xf numFmtId="0" fontId="13" fillId="2" borderId="45" xfId="0" applyFont="1" applyFill="1" applyBorder="1" applyAlignment="1">
      <alignment horizontal="left" vertical="center" wrapText="1"/>
    </xf>
    <xf numFmtId="0" fontId="16" fillId="0" borderId="46"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3" fillId="2" borderId="46" xfId="0" applyFont="1" applyFill="1" applyBorder="1" applyAlignment="1">
      <alignment horizontal="left" vertical="center"/>
    </xf>
    <xf numFmtId="0" fontId="13" fillId="2" borderId="30" xfId="0" applyFont="1" applyFill="1" applyBorder="1" applyAlignment="1">
      <alignment horizontal="left" vertical="center"/>
    </xf>
    <xf numFmtId="0" fontId="13" fillId="2" borderId="45" xfId="0" applyFont="1" applyFill="1" applyBorder="1" applyAlignment="1">
      <alignment horizontal="left" vertical="center"/>
    </xf>
    <xf numFmtId="0" fontId="13" fillId="2" borderId="46" xfId="0" applyFont="1" applyFill="1" applyBorder="1" applyAlignment="1">
      <alignment horizontal="left" vertical="center" wrapText="1"/>
    </xf>
    <xf numFmtId="0" fontId="14" fillId="6" borderId="56" xfId="0" applyFont="1" applyFill="1" applyBorder="1" applyAlignment="1">
      <alignment horizontal="center" vertical="center"/>
    </xf>
    <xf numFmtId="0" fontId="14" fillId="6" borderId="70" xfId="0" applyFont="1" applyFill="1" applyBorder="1" applyAlignment="1">
      <alignment horizontal="center" vertical="center"/>
    </xf>
    <xf numFmtId="0" fontId="9" fillId="6" borderId="59" xfId="3" applyFont="1" applyFill="1" applyBorder="1" applyAlignment="1">
      <alignment horizontal="right" vertical="center"/>
    </xf>
    <xf numFmtId="0" fontId="9" fillId="6" borderId="58" xfId="3" applyFont="1" applyFill="1" applyBorder="1" applyAlignment="1">
      <alignment horizontal="right" vertical="center"/>
    </xf>
    <xf numFmtId="0" fontId="9" fillId="6" borderId="60" xfId="3" applyFont="1" applyFill="1" applyBorder="1" applyAlignment="1">
      <alignment horizontal="right" vertical="center"/>
    </xf>
    <xf numFmtId="0" fontId="9" fillId="6" borderId="57" xfId="3" applyFont="1" applyFill="1" applyBorder="1" applyAlignment="1">
      <alignment horizontal="right" vertical="center"/>
    </xf>
    <xf numFmtId="0" fontId="9" fillId="6" borderId="61" xfId="3" applyFont="1" applyFill="1" applyBorder="1" applyAlignment="1">
      <alignment horizontal="right" vertical="center"/>
    </xf>
    <xf numFmtId="0" fontId="9" fillId="6" borderId="62" xfId="3" applyFont="1" applyFill="1" applyBorder="1" applyAlignment="1">
      <alignment horizontal="right" vertical="center"/>
    </xf>
    <xf numFmtId="0" fontId="9" fillId="6" borderId="47" xfId="3" applyFont="1" applyFill="1" applyBorder="1" applyAlignment="1">
      <alignment horizontal="right" vertical="center"/>
    </xf>
    <xf numFmtId="0" fontId="9" fillId="6" borderId="55" xfId="3" applyFont="1" applyFill="1" applyBorder="1" applyAlignment="1">
      <alignment horizontal="right" vertical="center"/>
    </xf>
    <xf numFmtId="0" fontId="14" fillId="6" borderId="45" xfId="0" applyFont="1" applyFill="1" applyBorder="1" applyAlignment="1">
      <alignment horizontal="right"/>
    </xf>
    <xf numFmtId="0" fontId="13" fillId="2" borderId="42" xfId="0" applyFont="1" applyFill="1" applyBorder="1" applyAlignment="1">
      <alignment horizontal="left" vertical="center" wrapText="1"/>
    </xf>
    <xf numFmtId="0" fontId="13" fillId="2" borderId="28" xfId="0" applyFont="1" applyFill="1" applyBorder="1" applyAlignment="1">
      <alignment horizontal="left" vertical="center" wrapText="1"/>
    </xf>
    <xf numFmtId="0" fontId="13" fillId="2" borderId="43" xfId="0" applyFont="1" applyFill="1" applyBorder="1" applyAlignment="1">
      <alignment horizontal="left" vertical="center" wrapText="1"/>
    </xf>
    <xf numFmtId="0" fontId="25" fillId="4" borderId="5" xfId="0" applyFont="1" applyFill="1" applyBorder="1" applyAlignment="1">
      <alignment horizontal="center" vertical="center" wrapText="1"/>
    </xf>
    <xf numFmtId="0" fontId="25" fillId="4" borderId="7" xfId="0" applyFont="1" applyFill="1" applyBorder="1" applyAlignment="1">
      <alignment horizontal="center" vertical="center" wrapText="1"/>
    </xf>
    <xf numFmtId="0" fontId="25" fillId="4" borderId="10" xfId="0" applyFont="1" applyFill="1" applyBorder="1" applyAlignment="1">
      <alignment horizontal="center" vertical="center" wrapText="1"/>
    </xf>
    <xf numFmtId="0" fontId="25" fillId="4" borderId="14" xfId="0" applyFont="1" applyFill="1" applyBorder="1" applyAlignment="1">
      <alignment horizontal="center" vertical="center" wrapText="1"/>
    </xf>
    <xf numFmtId="0" fontId="0" fillId="0" borderId="18"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13" fillId="2" borderId="23" xfId="0" applyFont="1" applyFill="1" applyBorder="1" applyAlignment="1">
      <alignment horizontal="left" vertical="center"/>
    </xf>
    <xf numFmtId="0" fontId="13" fillId="2" borderId="73" xfId="0" applyFont="1" applyFill="1" applyBorder="1" applyAlignment="1">
      <alignment horizontal="left" vertical="center"/>
    </xf>
    <xf numFmtId="0" fontId="13" fillId="2" borderId="2" xfId="0" applyFont="1" applyFill="1" applyBorder="1" applyAlignment="1">
      <alignment horizontal="left" vertical="center"/>
    </xf>
    <xf numFmtId="0" fontId="13" fillId="2" borderId="71" xfId="0" applyFont="1" applyFill="1" applyBorder="1" applyAlignment="1">
      <alignment horizontal="left" vertical="center"/>
    </xf>
    <xf numFmtId="0" fontId="14" fillId="0" borderId="41" xfId="0" applyFont="1" applyBorder="1" applyAlignment="1" applyProtection="1">
      <alignment horizontal="center" vertical="center"/>
      <protection locked="0"/>
    </xf>
    <xf numFmtId="0" fontId="14" fillId="0" borderId="28" xfId="0" applyFont="1" applyBorder="1" applyAlignment="1" applyProtection="1">
      <alignment horizontal="center" vertical="center"/>
      <protection locked="0"/>
    </xf>
    <xf numFmtId="0" fontId="14" fillId="0" borderId="43" xfId="0" applyFont="1" applyBorder="1" applyAlignment="1" applyProtection="1">
      <alignment horizontal="center" vertical="center"/>
      <protection locked="0"/>
    </xf>
    <xf numFmtId="0" fontId="14" fillId="6" borderId="28" xfId="0" applyFont="1" applyFill="1" applyBorder="1" applyAlignment="1">
      <alignment horizontal="right" vertical="center"/>
    </xf>
    <xf numFmtId="0" fontId="14" fillId="0" borderId="74" xfId="0" applyFont="1" applyBorder="1" applyAlignment="1" applyProtection="1">
      <alignment horizontal="left" vertical="center"/>
      <protection locked="0"/>
    </xf>
    <xf numFmtId="0" fontId="14" fillId="0" borderId="56" xfId="0" applyFont="1" applyBorder="1" applyAlignment="1" applyProtection="1">
      <alignment horizontal="left" vertical="center"/>
      <protection locked="0"/>
    </xf>
    <xf numFmtId="0" fontId="14" fillId="0" borderId="63" xfId="0" applyFont="1" applyBorder="1" applyAlignment="1" applyProtection="1">
      <alignment horizontal="center" vertical="center"/>
      <protection locked="0"/>
    </xf>
    <xf numFmtId="0" fontId="14" fillId="0" borderId="66" xfId="0" applyFont="1" applyBorder="1" applyAlignment="1" applyProtection="1">
      <alignment horizontal="center" vertical="center"/>
      <protection locked="0"/>
    </xf>
    <xf numFmtId="0" fontId="14" fillId="6" borderId="66" xfId="0" applyFont="1" applyFill="1" applyBorder="1" applyAlignment="1">
      <alignment horizontal="right" vertical="center"/>
    </xf>
    <xf numFmtId="0" fontId="14" fillId="6" borderId="28" xfId="0" applyFont="1" applyFill="1" applyBorder="1" applyAlignment="1">
      <alignment horizontal="center" vertical="center"/>
    </xf>
    <xf numFmtId="0" fontId="29" fillId="4" borderId="67" xfId="3" applyFont="1" applyFill="1" applyBorder="1" applyAlignment="1">
      <alignment horizontal="center" vertical="center" textRotation="90" wrapText="1"/>
    </xf>
    <xf numFmtId="0" fontId="29" fillId="4" borderId="68" xfId="3" applyFont="1" applyFill="1" applyBorder="1" applyAlignment="1">
      <alignment horizontal="center" vertical="center" textRotation="90" wrapText="1"/>
    </xf>
    <xf numFmtId="0" fontId="29" fillId="4" borderId="69" xfId="3" applyFont="1" applyFill="1" applyBorder="1" applyAlignment="1">
      <alignment horizontal="center" vertical="center" textRotation="90" wrapText="1"/>
    </xf>
    <xf numFmtId="0" fontId="14" fillId="5" borderId="67" xfId="0" applyFont="1" applyFill="1" applyBorder="1" applyAlignment="1">
      <alignment horizontal="center" vertical="center" textRotation="90" wrapText="1"/>
    </xf>
    <xf numFmtId="0" fontId="14" fillId="5" borderId="68" xfId="0" applyFont="1" applyFill="1" applyBorder="1" applyAlignment="1">
      <alignment horizontal="center" vertical="center" textRotation="90" wrapText="1"/>
    </xf>
    <xf numFmtId="0" fontId="14" fillId="5" borderId="69" xfId="0" applyFont="1" applyFill="1" applyBorder="1" applyAlignment="1">
      <alignment horizontal="center" vertical="center" textRotation="90" wrapText="1"/>
    </xf>
    <xf numFmtId="0" fontId="14" fillId="0" borderId="5" xfId="0" applyFont="1" applyBorder="1" applyAlignment="1" applyProtection="1">
      <alignment horizontal="center" vertical="center"/>
      <protection locked="0"/>
    </xf>
    <xf numFmtId="0" fontId="14" fillId="0" borderId="6" xfId="0" applyFont="1" applyBorder="1" applyAlignment="1" applyProtection="1">
      <alignment horizontal="center" vertical="center"/>
      <protection locked="0"/>
    </xf>
    <xf numFmtId="0" fontId="14" fillId="0" borderId="7" xfId="0" applyFont="1" applyBorder="1" applyAlignment="1" applyProtection="1">
      <alignment horizontal="center" vertical="center"/>
      <protection locked="0"/>
    </xf>
    <xf numFmtId="0" fontId="14" fillId="0" borderId="9" xfId="0" applyFont="1" applyBorder="1" applyAlignment="1" applyProtection="1">
      <alignment horizontal="center" vertical="center"/>
      <protection locked="0"/>
    </xf>
    <xf numFmtId="0" fontId="14" fillId="0" borderId="8"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0" fillId="0" borderId="15" xfId="0" applyBorder="1" applyAlignment="1" applyProtection="1">
      <alignment horizontal="center"/>
      <protection locked="0"/>
    </xf>
    <xf numFmtId="0" fontId="14" fillId="0" borderId="11" xfId="0" applyFont="1" applyBorder="1" applyAlignment="1">
      <alignment horizontal="center"/>
    </xf>
    <xf numFmtId="0" fontId="14" fillId="0" borderId="18" xfId="0" applyFont="1" applyBorder="1" applyAlignment="1">
      <alignment horizontal="center"/>
    </xf>
    <xf numFmtId="0" fontId="14" fillId="0" borderId="15" xfId="0" applyFont="1" applyBorder="1" applyAlignment="1">
      <alignment horizontal="center"/>
    </xf>
    <xf numFmtId="1" fontId="0" fillId="0" borderId="11" xfId="0" applyNumberFormat="1" applyBorder="1" applyAlignment="1" applyProtection="1">
      <alignment horizontal="center"/>
      <protection locked="0"/>
    </xf>
    <xf numFmtId="1" fontId="0" fillId="0" borderId="15" xfId="0" applyNumberFormat="1" applyBorder="1" applyAlignment="1" applyProtection="1">
      <alignment horizontal="center"/>
      <protection locked="0"/>
    </xf>
    <xf numFmtId="0" fontId="7" fillId="0" borderId="10" xfId="3" applyFont="1" applyBorder="1" applyAlignment="1" applyProtection="1">
      <alignment horizontal="left" vertical="top" wrapText="1"/>
      <protection locked="0"/>
    </xf>
    <xf numFmtId="0" fontId="7" fillId="0" borderId="4" xfId="3" applyFont="1" applyBorder="1" applyAlignment="1" applyProtection="1">
      <alignment horizontal="left" vertical="top" wrapText="1"/>
      <protection locked="0"/>
    </xf>
    <xf numFmtId="0" fontId="7" fillId="0" borderId="14" xfId="3" applyFont="1" applyBorder="1" applyAlignment="1" applyProtection="1">
      <alignment horizontal="left" vertical="top" wrapText="1"/>
      <protection locked="0"/>
    </xf>
    <xf numFmtId="0" fontId="8" fillId="6" borderId="12" xfId="0" applyFont="1" applyFill="1" applyBorder="1" applyAlignment="1">
      <alignment horizontal="right"/>
    </xf>
    <xf numFmtId="0" fontId="8" fillId="0" borderId="12" xfId="0" applyFont="1" applyBorder="1" applyAlignment="1" applyProtection="1">
      <alignment horizontal="center"/>
      <protection locked="0"/>
    </xf>
    <xf numFmtId="0" fontId="14" fillId="6" borderId="11" xfId="0" applyFont="1" applyFill="1" applyBorder="1" applyAlignment="1">
      <alignment horizontal="right"/>
    </xf>
    <xf numFmtId="0" fontId="14" fillId="6" borderId="18" xfId="0" applyFont="1" applyFill="1" applyBorder="1" applyAlignment="1">
      <alignment horizontal="right"/>
    </xf>
    <xf numFmtId="0" fontId="6" fillId="0" borderId="11" xfId="3" applyFont="1" applyBorder="1" applyAlignment="1" applyProtection="1">
      <alignment horizontal="center"/>
      <protection locked="0"/>
    </xf>
    <xf numFmtId="0" fontId="6" fillId="0" borderId="18" xfId="3" applyFont="1" applyBorder="1" applyAlignment="1" applyProtection="1">
      <alignment horizontal="center"/>
      <protection locked="0"/>
    </xf>
    <xf numFmtId="0" fontId="6" fillId="0" borderId="15" xfId="3" applyFont="1" applyBorder="1" applyAlignment="1" applyProtection="1">
      <alignment horizontal="center"/>
      <protection locked="0"/>
    </xf>
    <xf numFmtId="0" fontId="6" fillId="6" borderId="12" xfId="3" applyFont="1" applyFill="1" applyBorder="1" applyAlignment="1">
      <alignment horizontal="right"/>
    </xf>
    <xf numFmtId="0" fontId="6" fillId="6" borderId="37" xfId="3" applyFont="1" applyFill="1" applyBorder="1" applyAlignment="1">
      <alignment horizontal="right"/>
    </xf>
    <xf numFmtId="0" fontId="7" fillId="5" borderId="5" xfId="3" applyFont="1" applyFill="1" applyBorder="1" applyAlignment="1">
      <alignment horizontal="left" vertical="top"/>
    </xf>
    <xf numFmtId="0" fontId="7" fillId="5" borderId="6" xfId="3" applyFont="1" applyFill="1" applyBorder="1" applyAlignment="1">
      <alignment horizontal="left" vertical="top"/>
    </xf>
    <xf numFmtId="0" fontId="7" fillId="5" borderId="7" xfId="3" applyFont="1" applyFill="1" applyBorder="1" applyAlignment="1">
      <alignment horizontal="left" vertical="top"/>
    </xf>
    <xf numFmtId="0" fontId="14" fillId="0" borderId="38" xfId="0" applyFont="1" applyBorder="1" applyAlignment="1" applyProtection="1">
      <alignment horizontal="center"/>
      <protection locked="0"/>
    </xf>
    <xf numFmtId="0" fontId="8" fillId="6" borderId="37" xfId="0" applyFont="1" applyFill="1" applyBorder="1" applyAlignment="1">
      <alignment horizontal="right"/>
    </xf>
    <xf numFmtId="0" fontId="8" fillId="0" borderId="37" xfId="0" applyFont="1" applyBorder="1" applyAlignment="1" applyProtection="1">
      <alignment horizontal="center"/>
      <protection locked="0"/>
    </xf>
    <xf numFmtId="0" fontId="14" fillId="0" borderId="35" xfId="0" applyFont="1" applyBorder="1" applyAlignment="1" applyProtection="1">
      <alignment horizontal="center"/>
      <protection locked="0"/>
    </xf>
    <xf numFmtId="0" fontId="14" fillId="6" borderId="39" xfId="0" applyFont="1" applyFill="1" applyBorder="1" applyAlignment="1">
      <alignment horizontal="right"/>
    </xf>
    <xf numFmtId="0" fontId="14" fillId="6" borderId="28" xfId="0" applyFont="1" applyFill="1" applyBorder="1" applyAlignment="1">
      <alignment horizontal="right"/>
    </xf>
    <xf numFmtId="0" fontId="0" fillId="2" borderId="25" xfId="0" applyFill="1" applyBorder="1" applyAlignment="1">
      <alignment horizontal="right" vertical="center"/>
    </xf>
    <xf numFmtId="0" fontId="0" fillId="2" borderId="16" xfId="0" applyFill="1" applyBorder="1" applyAlignment="1">
      <alignment horizontal="right" vertical="center"/>
    </xf>
    <xf numFmtId="0" fontId="0" fillId="2" borderId="64" xfId="0" applyFill="1" applyBorder="1" applyAlignment="1">
      <alignment horizontal="right" vertical="center"/>
    </xf>
    <xf numFmtId="0" fontId="5" fillId="5" borderId="34" xfId="3" applyFont="1" applyFill="1" applyBorder="1" applyAlignment="1">
      <alignment horizontal="left"/>
    </xf>
    <xf numFmtId="0" fontId="5" fillId="5" borderId="12" xfId="3" applyFont="1" applyFill="1" applyBorder="1" applyAlignment="1">
      <alignment horizontal="left"/>
    </xf>
    <xf numFmtId="0" fontId="8" fillId="0" borderId="46" xfId="0" applyFont="1" applyBorder="1" applyAlignment="1" applyProtection="1">
      <alignment horizontal="center"/>
      <protection locked="0"/>
    </xf>
    <xf numFmtId="0" fontId="8" fillId="0" borderId="30" xfId="0" applyFont="1" applyBorder="1" applyAlignment="1" applyProtection="1">
      <alignment horizontal="center"/>
      <protection locked="0"/>
    </xf>
    <xf numFmtId="0" fontId="8" fillId="0" borderId="45" xfId="0" applyFont="1" applyBorder="1" applyAlignment="1" applyProtection="1">
      <alignment horizontal="center"/>
      <protection locked="0"/>
    </xf>
    <xf numFmtId="0" fontId="8" fillId="0" borderId="39" xfId="0" applyFont="1" applyBorder="1" applyAlignment="1" applyProtection="1">
      <alignment horizontal="center"/>
      <protection locked="0"/>
    </xf>
    <xf numFmtId="0" fontId="8" fillId="0" borderId="28" xfId="0" applyFont="1" applyBorder="1" applyAlignment="1" applyProtection="1">
      <alignment horizontal="center"/>
      <protection locked="0"/>
    </xf>
    <xf numFmtId="0" fontId="8" fillId="0" borderId="43" xfId="0" applyFont="1" applyBorder="1" applyAlignment="1" applyProtection="1">
      <alignment horizontal="center"/>
      <protection locked="0"/>
    </xf>
    <xf numFmtId="0" fontId="8" fillId="6" borderId="46" xfId="0" applyFont="1" applyFill="1" applyBorder="1" applyAlignment="1">
      <alignment horizontal="right"/>
    </xf>
    <xf numFmtId="0" fontId="8" fillId="6" borderId="30" xfId="0" applyFont="1" applyFill="1" applyBorder="1" applyAlignment="1">
      <alignment horizontal="right"/>
    </xf>
    <xf numFmtId="0" fontId="8" fillId="6" borderId="45" xfId="0" applyFont="1" applyFill="1" applyBorder="1" applyAlignment="1">
      <alignment horizontal="right"/>
    </xf>
    <xf numFmtId="0" fontId="31" fillId="4" borderId="59" xfId="0" applyFont="1" applyFill="1" applyBorder="1" applyAlignment="1">
      <alignment horizontal="left"/>
    </xf>
    <xf numFmtId="0" fontId="31" fillId="4" borderId="58" xfId="0" applyFont="1" applyFill="1" applyBorder="1" applyAlignment="1">
      <alignment horizontal="left"/>
    </xf>
    <xf numFmtId="0" fontId="31" fillId="4" borderId="60" xfId="0" applyFont="1" applyFill="1" applyBorder="1" applyAlignment="1">
      <alignment horizontal="left"/>
    </xf>
    <xf numFmtId="0" fontId="7" fillId="6" borderId="31" xfId="3" applyFont="1" applyFill="1" applyBorder="1" applyAlignment="1">
      <alignment horizontal="right"/>
    </xf>
    <xf numFmtId="0" fontId="7" fillId="6" borderId="32" xfId="3" applyFont="1" applyFill="1" applyBorder="1" applyAlignment="1">
      <alignment horizontal="right"/>
    </xf>
    <xf numFmtId="0" fontId="30" fillId="4" borderId="31" xfId="0" applyFont="1" applyFill="1" applyBorder="1" applyAlignment="1">
      <alignment horizontal="left" vertical="center"/>
    </xf>
    <xf numFmtId="0" fontId="30" fillId="4" borderId="32" xfId="0" applyFont="1" applyFill="1" applyBorder="1" applyAlignment="1">
      <alignment horizontal="left" vertical="center"/>
    </xf>
    <xf numFmtId="0" fontId="30" fillId="4" borderId="33" xfId="0" applyFont="1" applyFill="1" applyBorder="1" applyAlignment="1">
      <alignment horizontal="left" vertical="center"/>
    </xf>
    <xf numFmtId="0" fontId="30" fillId="4" borderId="36" xfId="0" applyFont="1" applyFill="1" applyBorder="1" applyAlignment="1">
      <alignment horizontal="left" vertical="center"/>
    </xf>
    <xf numFmtId="0" fontId="30" fillId="4" borderId="37" xfId="0" applyFont="1" applyFill="1" applyBorder="1" applyAlignment="1">
      <alignment horizontal="left" vertical="center"/>
    </xf>
    <xf numFmtId="0" fontId="30" fillId="4" borderId="38" xfId="0" applyFont="1" applyFill="1" applyBorder="1" applyAlignment="1">
      <alignment horizontal="left" vertical="center"/>
    </xf>
    <xf numFmtId="0" fontId="8" fillId="6" borderId="41" xfId="0" applyFont="1" applyFill="1" applyBorder="1" applyAlignment="1">
      <alignment horizontal="right"/>
    </xf>
    <xf numFmtId="0" fontId="8" fillId="6" borderId="44" xfId="0" applyFont="1" applyFill="1" applyBorder="1" applyAlignment="1">
      <alignment horizontal="right"/>
    </xf>
    <xf numFmtId="0" fontId="14" fillId="0" borderId="51" xfId="0" applyFont="1" applyBorder="1" applyAlignment="1" applyProtection="1">
      <alignment horizontal="center"/>
      <protection locked="0"/>
    </xf>
    <xf numFmtId="0" fontId="6" fillId="6" borderId="12" xfId="3" applyFont="1" applyFill="1" applyBorder="1" applyAlignment="1">
      <alignment horizontal="left"/>
    </xf>
    <xf numFmtId="0" fontId="7" fillId="0" borderId="32" xfId="3" applyFont="1" applyBorder="1" applyAlignment="1" applyProtection="1">
      <alignment horizontal="center"/>
      <protection locked="0"/>
    </xf>
    <xf numFmtId="0" fontId="7" fillId="2" borderId="32" xfId="3" applyFont="1" applyFill="1" applyBorder="1" applyAlignment="1">
      <alignment horizontal="left"/>
    </xf>
    <xf numFmtId="0" fontId="7" fillId="2" borderId="33" xfId="3" applyFont="1" applyFill="1" applyBorder="1" applyAlignment="1">
      <alignment horizontal="left"/>
    </xf>
    <xf numFmtId="0" fontId="8" fillId="6" borderId="36" xfId="0" applyFont="1" applyFill="1" applyBorder="1" applyAlignment="1">
      <alignment horizontal="right"/>
    </xf>
    <xf numFmtId="0" fontId="8" fillId="6" borderId="37" xfId="0" applyFont="1" applyFill="1" applyBorder="1" applyAlignment="1">
      <alignment horizontal="center"/>
    </xf>
    <xf numFmtId="0" fontId="8" fillId="6" borderId="38" xfId="0" applyFont="1" applyFill="1" applyBorder="1" applyAlignment="1">
      <alignment horizontal="center"/>
    </xf>
    <xf numFmtId="0" fontId="6" fillId="0" borderId="39" xfId="3" applyFont="1" applyBorder="1" applyAlignment="1" applyProtection="1">
      <alignment horizontal="center"/>
      <protection locked="0"/>
    </xf>
    <xf numFmtId="0" fontId="6" fillId="0" borderId="28" xfId="3" applyFont="1" applyBorder="1" applyAlignment="1" applyProtection="1">
      <alignment horizontal="center"/>
      <protection locked="0"/>
    </xf>
    <xf numFmtId="0" fontId="6" fillId="0" borderId="43" xfId="3" applyFont="1" applyBorder="1" applyAlignment="1" applyProtection="1">
      <alignment horizontal="center"/>
      <protection locked="0"/>
    </xf>
    <xf numFmtId="0" fontId="5" fillId="6" borderId="12" xfId="3" applyFont="1" applyFill="1" applyBorder="1" applyAlignment="1">
      <alignment horizontal="right"/>
    </xf>
    <xf numFmtId="0" fontId="7" fillId="6" borderId="25" xfId="3" applyFont="1" applyFill="1" applyBorder="1" applyAlignment="1">
      <alignment horizontal="right" vertical="center"/>
    </xf>
    <xf numFmtId="0" fontId="7" fillId="6" borderId="16" xfId="3" applyFont="1" applyFill="1" applyBorder="1" applyAlignment="1">
      <alignment horizontal="right" vertical="center"/>
    </xf>
    <xf numFmtId="0" fontId="7" fillId="6" borderId="64" xfId="3" applyFont="1" applyFill="1" applyBorder="1" applyAlignment="1">
      <alignment horizontal="right" vertical="center"/>
    </xf>
    <xf numFmtId="0" fontId="7" fillId="0" borderId="46" xfId="3" applyFont="1" applyBorder="1" applyAlignment="1" applyProtection="1">
      <alignment horizontal="center" vertical="center"/>
      <protection locked="0"/>
    </xf>
    <xf numFmtId="0" fontId="7" fillId="0" borderId="30" xfId="3" applyFont="1" applyBorder="1" applyAlignment="1" applyProtection="1">
      <alignment horizontal="center" vertical="center"/>
      <protection locked="0"/>
    </xf>
    <xf numFmtId="0" fontId="7" fillId="6" borderId="46" xfId="3" applyFont="1" applyFill="1" applyBorder="1" applyAlignment="1">
      <alignment horizontal="right" vertical="center"/>
    </xf>
    <xf numFmtId="0" fontId="7" fillId="6" borderId="30" xfId="3" applyFont="1" applyFill="1" applyBorder="1" applyAlignment="1">
      <alignment horizontal="right" vertical="center"/>
    </xf>
    <xf numFmtId="0" fontId="7" fillId="6" borderId="45" xfId="3" applyFont="1" applyFill="1" applyBorder="1" applyAlignment="1">
      <alignment horizontal="right" vertical="center"/>
    </xf>
    <xf numFmtId="0" fontId="7" fillId="0" borderId="46" xfId="3" applyFont="1" applyBorder="1" applyAlignment="1" applyProtection="1">
      <alignment horizontal="center"/>
      <protection locked="0"/>
    </xf>
    <xf numFmtId="0" fontId="7" fillId="0" borderId="30" xfId="3" applyFont="1" applyBorder="1" applyAlignment="1" applyProtection="1">
      <alignment horizontal="center"/>
      <protection locked="0"/>
    </xf>
    <xf numFmtId="0" fontId="7" fillId="0" borderId="45" xfId="3" applyFont="1" applyBorder="1" applyAlignment="1" applyProtection="1">
      <alignment horizontal="center"/>
      <protection locked="0"/>
    </xf>
    <xf numFmtId="0" fontId="7" fillId="0" borderId="23" xfId="3" applyFont="1" applyBorder="1" applyAlignment="1" applyProtection="1">
      <alignment horizontal="center" vertical="center"/>
      <protection locked="0"/>
    </xf>
    <xf numFmtId="0" fontId="7" fillId="0" borderId="17" xfId="3" applyFont="1" applyBorder="1" applyAlignment="1" applyProtection="1">
      <alignment horizontal="center"/>
      <protection locked="0"/>
    </xf>
    <xf numFmtId="0" fontId="7" fillId="0" borderId="16" xfId="3" applyFont="1" applyBorder="1" applyAlignment="1" applyProtection="1">
      <alignment horizontal="center"/>
      <protection locked="0"/>
    </xf>
    <xf numFmtId="0" fontId="7" fillId="0" borderId="22" xfId="3" applyFont="1" applyBorder="1" applyAlignment="1" applyProtection="1">
      <alignment horizontal="center"/>
      <protection locked="0"/>
    </xf>
    <xf numFmtId="0" fontId="8" fillId="0" borderId="17" xfId="0" applyFont="1" applyBorder="1" applyAlignment="1" applyProtection="1">
      <alignment horizontal="center" vertical="center"/>
      <protection locked="0"/>
    </xf>
    <xf numFmtId="0" fontId="8" fillId="0" borderId="16" xfId="0" applyFont="1" applyBorder="1" applyAlignment="1" applyProtection="1">
      <alignment horizontal="center" vertical="center"/>
      <protection locked="0"/>
    </xf>
    <xf numFmtId="0" fontId="8" fillId="0" borderId="22" xfId="0" applyFont="1" applyBorder="1" applyAlignment="1" applyProtection="1">
      <alignment horizontal="center" vertical="center"/>
      <protection locked="0"/>
    </xf>
    <xf numFmtId="0" fontId="8" fillId="6" borderId="17" xfId="0" applyFont="1" applyFill="1" applyBorder="1" applyAlignment="1">
      <alignment horizontal="right" vertical="center"/>
    </xf>
    <xf numFmtId="0" fontId="8" fillId="6" borderId="16" xfId="0" applyFont="1" applyFill="1" applyBorder="1" applyAlignment="1">
      <alignment horizontal="right" vertical="center"/>
    </xf>
    <xf numFmtId="0" fontId="8" fillId="6" borderId="64" xfId="0" applyFont="1" applyFill="1" applyBorder="1" applyAlignment="1">
      <alignment horizontal="right" vertical="center"/>
    </xf>
    <xf numFmtId="0" fontId="8" fillId="3" borderId="17" xfId="0" applyFont="1" applyFill="1" applyBorder="1" applyAlignment="1" applyProtection="1">
      <alignment horizontal="center" vertical="center"/>
      <protection locked="0"/>
    </xf>
    <xf numFmtId="0" fontId="8" fillId="3" borderId="16" xfId="0" applyFont="1" applyFill="1" applyBorder="1" applyAlignment="1" applyProtection="1">
      <alignment horizontal="center" vertical="center"/>
      <protection locked="0"/>
    </xf>
    <xf numFmtId="0" fontId="8" fillId="3" borderId="64" xfId="0" applyFont="1" applyFill="1" applyBorder="1" applyAlignment="1" applyProtection="1">
      <alignment horizontal="center" vertical="center"/>
      <protection locked="0"/>
    </xf>
    <xf numFmtId="0" fontId="32" fillId="5" borderId="34" xfId="0" applyFont="1" applyFill="1" applyBorder="1" applyAlignment="1">
      <alignment horizontal="left"/>
    </xf>
    <xf numFmtId="0" fontId="32" fillId="5" borderId="12" xfId="0" applyFont="1" applyFill="1" applyBorder="1" applyAlignment="1">
      <alignment horizontal="left"/>
    </xf>
    <xf numFmtId="0" fontId="32" fillId="5" borderId="35" xfId="0" applyFont="1" applyFill="1" applyBorder="1" applyAlignment="1">
      <alignment horizontal="left"/>
    </xf>
    <xf numFmtId="0" fontId="7" fillId="6" borderId="24" xfId="3" applyFont="1" applyFill="1" applyBorder="1" applyAlignment="1">
      <alignment horizontal="right" vertical="center"/>
    </xf>
    <xf numFmtId="0" fontId="7" fillId="0" borderId="34" xfId="3" applyFont="1" applyBorder="1" applyAlignment="1" applyProtection="1">
      <alignment horizontal="center"/>
      <protection locked="0"/>
    </xf>
    <xf numFmtId="0" fontId="7" fillId="0" borderId="12" xfId="3" applyFont="1" applyBorder="1" applyAlignment="1" applyProtection="1">
      <alignment horizontal="center"/>
      <protection locked="0"/>
    </xf>
    <xf numFmtId="0" fontId="7" fillId="0" borderId="36" xfId="3" applyFont="1" applyBorder="1" applyAlignment="1" applyProtection="1">
      <alignment horizontal="center"/>
      <protection locked="0"/>
    </xf>
    <xf numFmtId="0" fontId="7" fillId="0" borderId="37" xfId="3" applyFont="1" applyBorder="1" applyAlignment="1" applyProtection="1">
      <alignment horizontal="center"/>
      <protection locked="0"/>
    </xf>
    <xf numFmtId="0" fontId="6" fillId="6" borderId="12" xfId="3" applyFont="1" applyFill="1" applyBorder="1" applyAlignment="1">
      <alignment horizontal="center" vertical="center"/>
    </xf>
    <xf numFmtId="0" fontId="6" fillId="6" borderId="35" xfId="3" applyFont="1" applyFill="1" applyBorder="1" applyAlignment="1">
      <alignment horizontal="center" vertical="center"/>
    </xf>
    <xf numFmtId="0" fontId="7" fillId="0" borderId="38" xfId="3" applyFont="1" applyBorder="1" applyAlignment="1" applyProtection="1">
      <alignment horizontal="center"/>
      <protection locked="0"/>
    </xf>
    <xf numFmtId="0" fontId="8" fillId="0" borderId="39" xfId="0" applyFont="1" applyBorder="1" applyAlignment="1" applyProtection="1">
      <alignment horizontal="center" vertical="center"/>
      <protection locked="0"/>
    </xf>
    <xf numFmtId="0" fontId="8" fillId="0" borderId="28" xfId="0" applyFont="1" applyBorder="1" applyAlignment="1" applyProtection="1">
      <alignment horizontal="center" vertical="center"/>
      <protection locked="0"/>
    </xf>
    <xf numFmtId="0" fontId="8" fillId="0" borderId="29" xfId="0" applyFont="1" applyBorder="1" applyAlignment="1" applyProtection="1">
      <alignment horizontal="center" vertical="center"/>
      <protection locked="0"/>
    </xf>
    <xf numFmtId="0" fontId="8" fillId="6" borderId="39" xfId="0" applyFont="1" applyFill="1" applyBorder="1" applyAlignment="1">
      <alignment horizontal="right" vertical="center"/>
    </xf>
    <xf numFmtId="0" fontId="8" fillId="6" borderId="28" xfId="0" applyFont="1" applyFill="1" applyBorder="1" applyAlignment="1">
      <alignment horizontal="right" vertical="center"/>
    </xf>
    <xf numFmtId="0" fontId="8" fillId="6" borderId="43" xfId="0" applyFont="1" applyFill="1" applyBorder="1" applyAlignment="1">
      <alignment horizontal="right" vertical="center"/>
    </xf>
    <xf numFmtId="0" fontId="8" fillId="3" borderId="39" xfId="0" applyFont="1" applyFill="1" applyBorder="1" applyAlignment="1" applyProtection="1">
      <alignment horizontal="center" vertical="center"/>
      <protection locked="0"/>
    </xf>
    <xf numFmtId="0" fontId="8" fillId="3" borderId="28" xfId="0" applyFont="1" applyFill="1" applyBorder="1" applyAlignment="1" applyProtection="1">
      <alignment horizontal="center" vertical="center"/>
      <protection locked="0"/>
    </xf>
    <xf numFmtId="0" fontId="8" fillId="3" borderId="43" xfId="0" applyFont="1" applyFill="1" applyBorder="1" applyAlignment="1" applyProtection="1">
      <alignment horizontal="center" vertical="center"/>
      <protection locked="0"/>
    </xf>
    <xf numFmtId="0" fontId="7" fillId="0" borderId="35" xfId="3" applyFont="1" applyBorder="1" applyAlignment="1" applyProtection="1">
      <alignment horizontal="center"/>
      <protection locked="0"/>
    </xf>
    <xf numFmtId="0" fontId="7" fillId="0" borderId="48" xfId="3" applyFont="1" applyBorder="1" applyAlignment="1" applyProtection="1">
      <alignment horizontal="center"/>
      <protection locked="0"/>
    </xf>
    <xf numFmtId="0" fontId="7" fillId="0" borderId="50" xfId="3" applyFont="1" applyBorder="1" applyAlignment="1" applyProtection="1">
      <alignment horizontal="center"/>
      <protection locked="0"/>
    </xf>
    <xf numFmtId="0" fontId="6" fillId="6" borderId="41" xfId="3" applyFont="1" applyFill="1" applyBorder="1" applyAlignment="1">
      <alignment horizontal="center" vertical="center"/>
    </xf>
    <xf numFmtId="0" fontId="6" fillId="6" borderId="44" xfId="3" applyFont="1" applyFill="1" applyBorder="1" applyAlignment="1">
      <alignment horizontal="center" vertical="center"/>
    </xf>
    <xf numFmtId="0" fontId="7" fillId="6" borderId="31" xfId="3" applyFont="1" applyFill="1" applyBorder="1" applyAlignment="1">
      <alignment horizontal="left" vertical="center"/>
    </xf>
    <xf numFmtId="0" fontId="7" fillId="6" borderId="32" xfId="3" applyFont="1" applyFill="1" applyBorder="1" applyAlignment="1">
      <alignment horizontal="left" vertical="center"/>
    </xf>
    <xf numFmtId="0" fontId="7" fillId="6" borderId="33" xfId="3" applyFont="1" applyFill="1" applyBorder="1" applyAlignment="1">
      <alignment horizontal="left" vertical="center"/>
    </xf>
    <xf numFmtId="0" fontId="7" fillId="0" borderId="36" xfId="3" applyFont="1" applyBorder="1" applyAlignment="1" applyProtection="1">
      <alignment horizontal="left" vertical="top" wrapText="1"/>
      <protection locked="0"/>
    </xf>
    <xf numFmtId="0" fontId="7" fillId="0" borderId="37" xfId="3" applyFont="1" applyBorder="1" applyAlignment="1" applyProtection="1">
      <alignment horizontal="left" vertical="top" wrapText="1"/>
      <protection locked="0"/>
    </xf>
    <xf numFmtId="0" fontId="7" fillId="0" borderId="38" xfId="3" applyFont="1" applyBorder="1" applyAlignment="1" applyProtection="1">
      <alignment horizontal="left" vertical="top" wrapText="1"/>
      <protection locked="0"/>
    </xf>
    <xf numFmtId="0" fontId="6" fillId="6" borderId="51" xfId="3" applyFont="1" applyFill="1" applyBorder="1" applyAlignment="1">
      <alignment horizontal="center" vertical="center"/>
    </xf>
    <xf numFmtId="0" fontId="7" fillId="0" borderId="20" xfId="3" applyFont="1" applyBorder="1" applyAlignment="1" applyProtection="1">
      <alignment horizontal="center"/>
      <protection locked="0"/>
    </xf>
    <xf numFmtId="0" fontId="7" fillId="0" borderId="19" xfId="3" applyFont="1" applyBorder="1" applyAlignment="1" applyProtection="1">
      <alignment horizontal="center"/>
      <protection locked="0"/>
    </xf>
    <xf numFmtId="0" fontId="7" fillId="0" borderId="65" xfId="3" applyFont="1" applyBorder="1" applyAlignment="1" applyProtection="1">
      <alignment horizontal="center"/>
      <protection locked="0"/>
    </xf>
    <xf numFmtId="0" fontId="7" fillId="6" borderId="49" xfId="3" applyFont="1" applyFill="1" applyBorder="1" applyAlignment="1">
      <alignment horizontal="right" vertical="center"/>
    </xf>
    <xf numFmtId="0" fontId="7" fillId="6" borderId="0" xfId="3" applyFont="1" applyFill="1" applyAlignment="1">
      <alignment horizontal="right" vertical="center"/>
    </xf>
    <xf numFmtId="0" fontId="7" fillId="0" borderId="49" xfId="3" applyFont="1" applyBorder="1" applyAlignment="1" applyProtection="1">
      <alignment horizontal="center" vertical="center"/>
      <protection locked="0"/>
    </xf>
    <xf numFmtId="0" fontId="7" fillId="0" borderId="0" xfId="3" applyFont="1" applyAlignment="1" applyProtection="1">
      <alignment horizontal="center" vertical="center"/>
      <protection locked="0"/>
    </xf>
    <xf numFmtId="0" fontId="7" fillId="0" borderId="8" xfId="3" applyFont="1" applyBorder="1" applyAlignment="1" applyProtection="1">
      <alignment horizontal="center" vertical="center"/>
      <protection locked="0"/>
    </xf>
    <xf numFmtId="0" fontId="7" fillId="0" borderId="40" xfId="3" applyFont="1" applyBorder="1" applyAlignment="1" applyProtection="1">
      <alignment horizontal="center"/>
      <protection locked="0"/>
    </xf>
    <xf numFmtId="0" fontId="31" fillId="4" borderId="31" xfId="0" applyFont="1" applyFill="1" applyBorder="1" applyAlignment="1">
      <alignment horizontal="left"/>
    </xf>
    <xf numFmtId="0" fontId="31" fillId="4" borderId="32" xfId="0" applyFont="1" applyFill="1" applyBorder="1" applyAlignment="1">
      <alignment horizontal="left"/>
    </xf>
    <xf numFmtId="0" fontId="31" fillId="4" borderId="33" xfId="0" applyFont="1" applyFill="1" applyBorder="1" applyAlignment="1">
      <alignment horizontal="left"/>
    </xf>
    <xf numFmtId="0" fontId="5" fillId="6" borderId="18" xfId="3" applyFont="1" applyFill="1" applyBorder="1" applyAlignment="1">
      <alignment horizontal="right"/>
    </xf>
    <xf numFmtId="0" fontId="5" fillId="6" borderId="15" xfId="3" applyFont="1" applyFill="1" applyBorder="1" applyAlignment="1">
      <alignment horizontal="right"/>
    </xf>
    <xf numFmtId="0" fontId="5" fillId="6" borderId="11" xfId="3" applyFont="1" applyFill="1" applyBorder="1" applyAlignment="1">
      <alignment horizontal="right"/>
    </xf>
    <xf numFmtId="0" fontId="7" fillId="6" borderId="59" xfId="3" applyFont="1" applyFill="1" applyBorder="1" applyAlignment="1">
      <alignment horizontal="right" vertical="center"/>
    </xf>
    <xf numFmtId="0" fontId="7" fillId="6" borderId="58" xfId="3" applyFont="1" applyFill="1" applyBorder="1" applyAlignment="1">
      <alignment horizontal="right" vertical="center"/>
    </xf>
    <xf numFmtId="0" fontId="8" fillId="0" borderId="73"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0" fillId="2" borderId="1" xfId="0" applyFill="1" applyBorder="1" applyAlignment="1">
      <alignment horizontal="right" vertical="center"/>
    </xf>
    <xf numFmtId="0" fontId="0" fillId="2" borderId="2" xfId="0" applyFill="1" applyBorder="1" applyAlignment="1">
      <alignment horizontal="right" vertical="center"/>
    </xf>
    <xf numFmtId="0" fontId="31" fillId="4" borderId="52" xfId="0" applyFont="1" applyFill="1" applyBorder="1" applyAlignment="1">
      <alignment horizontal="left"/>
    </xf>
    <xf numFmtId="0" fontId="31" fillId="4" borderId="74" xfId="0" applyFont="1" applyFill="1" applyBorder="1" applyAlignment="1">
      <alignment horizontal="left"/>
    </xf>
    <xf numFmtId="0" fontId="31" fillId="4" borderId="53" xfId="0" applyFont="1" applyFill="1" applyBorder="1" applyAlignment="1">
      <alignment horizontal="left"/>
    </xf>
    <xf numFmtId="0" fontId="7" fillId="6" borderId="12" xfId="3" applyFont="1" applyFill="1" applyBorder="1" applyAlignment="1">
      <alignment horizontal="right" vertical="center"/>
    </xf>
    <xf numFmtId="0" fontId="0" fillId="0" borderId="12"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7" fillId="6" borderId="12" xfId="3" applyFont="1" applyFill="1" applyBorder="1" applyAlignment="1">
      <alignment horizontal="center" vertical="center" wrapText="1"/>
    </xf>
    <xf numFmtId="0" fontId="7" fillId="6" borderId="12" xfId="3" applyFont="1" applyFill="1" applyBorder="1" applyAlignment="1">
      <alignment horizontal="center" vertical="center"/>
    </xf>
    <xf numFmtId="0" fontId="7" fillId="6" borderId="34" xfId="3" applyFont="1" applyFill="1" applyBorder="1" applyAlignment="1">
      <alignment horizontal="center" vertical="center"/>
    </xf>
    <xf numFmtId="0" fontId="7" fillId="6" borderId="35" xfId="3" applyFont="1" applyFill="1" applyBorder="1" applyAlignment="1">
      <alignment horizontal="center" vertical="center"/>
    </xf>
    <xf numFmtId="0" fontId="41" fillId="6" borderId="37" xfId="0" applyFont="1" applyFill="1" applyBorder="1" applyAlignment="1">
      <alignment horizontal="right" vertical="center"/>
    </xf>
    <xf numFmtId="0" fontId="8" fillId="0" borderId="37" xfId="0" applyFont="1" applyBorder="1" applyAlignment="1" applyProtection="1">
      <alignment horizontal="center" vertical="center"/>
      <protection locked="0"/>
    </xf>
    <xf numFmtId="0" fontId="8" fillId="0" borderId="38" xfId="0" applyFont="1" applyBorder="1" applyAlignment="1" applyProtection="1">
      <alignment horizontal="center" vertical="center"/>
      <protection locked="0"/>
    </xf>
    <xf numFmtId="0" fontId="7" fillId="6" borderId="24" xfId="3" applyFont="1" applyFill="1" applyBorder="1" applyAlignment="1">
      <alignment horizontal="left" vertical="center"/>
    </xf>
    <xf numFmtId="0" fontId="7" fillId="6" borderId="30" xfId="3" applyFont="1" applyFill="1" applyBorder="1" applyAlignment="1">
      <alignment horizontal="left" vertical="center"/>
    </xf>
    <xf numFmtId="0" fontId="7" fillId="6" borderId="45" xfId="3" applyFont="1" applyFill="1" applyBorder="1" applyAlignment="1">
      <alignment horizontal="left" vertical="center"/>
    </xf>
    <xf numFmtId="0" fontId="41" fillId="6" borderId="46" xfId="0" applyFont="1" applyFill="1" applyBorder="1" applyAlignment="1">
      <alignment horizontal="right" vertical="center"/>
    </xf>
    <xf numFmtId="0" fontId="41" fillId="6" borderId="30" xfId="0" applyFont="1" applyFill="1" applyBorder="1" applyAlignment="1">
      <alignment horizontal="right" vertical="center"/>
    </xf>
    <xf numFmtId="0" fontId="41" fillId="6" borderId="45" xfId="0" applyFont="1" applyFill="1" applyBorder="1" applyAlignment="1">
      <alignment horizontal="right" vertical="center"/>
    </xf>
    <xf numFmtId="0" fontId="8" fillId="0" borderId="46" xfId="0" applyFont="1" applyBorder="1" applyAlignment="1" applyProtection="1">
      <alignment horizontal="center" vertical="center"/>
      <protection locked="0"/>
    </xf>
    <xf numFmtId="0" fontId="8" fillId="0" borderId="30"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7" fillId="6" borderId="41" xfId="3" applyFont="1" applyFill="1" applyBorder="1" applyAlignment="1">
      <alignment horizontal="right" vertical="center"/>
    </xf>
    <xf numFmtId="0" fontId="7" fillId="6" borderId="44" xfId="3" applyFont="1" applyFill="1" applyBorder="1" applyAlignment="1">
      <alignment horizontal="right" vertical="center"/>
    </xf>
    <xf numFmtId="0" fontId="8" fillId="3" borderId="17" xfId="0" applyFont="1" applyFill="1" applyBorder="1" applyAlignment="1" applyProtection="1">
      <alignment horizontal="center" vertical="center" wrapText="1"/>
      <protection locked="0"/>
    </xf>
    <xf numFmtId="0" fontId="8" fillId="3" borderId="16" xfId="0" applyFont="1" applyFill="1" applyBorder="1" applyAlignment="1" applyProtection="1">
      <alignment horizontal="center" vertical="center" wrapText="1"/>
      <protection locked="0"/>
    </xf>
    <xf numFmtId="0" fontId="8" fillId="3" borderId="18" xfId="0" applyFont="1" applyFill="1" applyBorder="1" applyAlignment="1" applyProtection="1">
      <alignment horizontal="center" vertical="center" wrapText="1"/>
      <protection locked="0"/>
    </xf>
    <xf numFmtId="0" fontId="8" fillId="3" borderId="27" xfId="0" applyFont="1" applyFill="1" applyBorder="1" applyAlignment="1" applyProtection="1">
      <alignment horizontal="center" vertical="center" wrapText="1"/>
      <protection locked="0"/>
    </xf>
    <xf numFmtId="0" fontId="7" fillId="6" borderId="31" xfId="3" applyFont="1" applyFill="1" applyBorder="1" applyAlignment="1">
      <alignment horizontal="right" vertical="center"/>
    </xf>
    <xf numFmtId="0" fontId="7" fillId="6" borderId="32" xfId="3" applyFont="1" applyFill="1" applyBorder="1" applyAlignment="1">
      <alignment horizontal="right" vertical="center"/>
    </xf>
    <xf numFmtId="0" fontId="41" fillId="6" borderId="32" xfId="0" applyFont="1" applyFill="1" applyBorder="1" applyAlignment="1">
      <alignment horizontal="right" vertical="center"/>
    </xf>
    <xf numFmtId="0" fontId="8" fillId="0" borderId="32" xfId="0" applyFont="1" applyBorder="1" applyAlignment="1" applyProtection="1">
      <alignment horizontal="center" vertical="center"/>
      <protection locked="0"/>
    </xf>
    <xf numFmtId="0" fontId="8" fillId="0" borderId="33" xfId="0" applyFont="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14" fontId="0" fillId="0" borderId="17" xfId="0" applyNumberFormat="1" applyBorder="1" applyAlignment="1">
      <alignment horizontal="center"/>
    </xf>
    <xf numFmtId="0" fontId="0" fillId="0" borderId="16" xfId="0" applyBorder="1" applyAlignment="1">
      <alignment horizontal="center"/>
    </xf>
    <xf numFmtId="0" fontId="0" fillId="0" borderId="64" xfId="0" applyBorder="1" applyAlignment="1">
      <alignment horizontal="center"/>
    </xf>
    <xf numFmtId="0" fontId="7" fillId="6" borderId="36" xfId="3" applyFont="1" applyFill="1" applyBorder="1" applyAlignment="1">
      <alignment horizontal="right" vertical="center"/>
    </xf>
    <xf numFmtId="0" fontId="7" fillId="6" borderId="37" xfId="3" applyFont="1" applyFill="1" applyBorder="1" applyAlignment="1">
      <alignment horizontal="right" vertical="center"/>
    </xf>
    <xf numFmtId="14" fontId="8" fillId="3" borderId="39" xfId="0" applyNumberFormat="1" applyFont="1" applyFill="1" applyBorder="1" applyAlignment="1" applyProtection="1">
      <alignment horizontal="center" vertical="center"/>
      <protection locked="0"/>
    </xf>
    <xf numFmtId="0" fontId="0" fillId="0" borderId="11" xfId="0" applyBorder="1" applyAlignment="1">
      <alignment horizontal="center"/>
    </xf>
    <xf numFmtId="0" fontId="0" fillId="0" borderId="18" xfId="0" applyBorder="1" applyAlignment="1">
      <alignment horizontal="center"/>
    </xf>
    <xf numFmtId="0" fontId="0" fillId="0" borderId="15" xfId="0" applyBorder="1" applyAlignment="1">
      <alignment horizontal="center"/>
    </xf>
    <xf numFmtId="0" fontId="7" fillId="6" borderId="26" xfId="3" applyFont="1" applyFill="1" applyBorder="1" applyAlignment="1">
      <alignment horizontal="left" vertical="center" wrapText="1"/>
    </xf>
    <xf numFmtId="0" fontId="7" fillId="6" borderId="18" xfId="3" applyFont="1" applyFill="1" applyBorder="1" applyAlignment="1">
      <alignment horizontal="left" vertical="center" wrapText="1"/>
    </xf>
    <xf numFmtId="0" fontId="8" fillId="3" borderId="12" xfId="0" applyFont="1" applyFill="1" applyBorder="1" applyAlignment="1" applyProtection="1">
      <alignment horizontal="center" vertical="center" wrapText="1"/>
      <protection locked="0"/>
    </xf>
    <xf numFmtId="0" fontId="8" fillId="3" borderId="35" xfId="0" applyFont="1" applyFill="1" applyBorder="1" applyAlignment="1" applyProtection="1">
      <alignment horizontal="center" vertical="center" wrapText="1"/>
      <protection locked="0"/>
    </xf>
    <xf numFmtId="0" fontId="8" fillId="3" borderId="11" xfId="0" applyFont="1" applyFill="1" applyBorder="1" applyAlignment="1" applyProtection="1">
      <alignment horizontal="center" vertical="center" wrapText="1"/>
      <protection locked="0"/>
    </xf>
    <xf numFmtId="14" fontId="0" fillId="2" borderId="2" xfId="0" applyNumberFormat="1" applyFill="1" applyBorder="1" applyAlignment="1">
      <alignment horizontal="center" vertical="center"/>
    </xf>
    <xf numFmtId="14" fontId="0" fillId="2" borderId="3" xfId="0" applyNumberFormat="1" applyFill="1" applyBorder="1" applyAlignment="1">
      <alignment horizontal="center" vertical="center"/>
    </xf>
    <xf numFmtId="0" fontId="0" fillId="2" borderId="2" xfId="0" applyFill="1" applyBorder="1" applyAlignment="1">
      <alignment horizontal="left" vertical="center"/>
    </xf>
    <xf numFmtId="0" fontId="8" fillId="3" borderId="46" xfId="0" applyFont="1" applyFill="1" applyBorder="1" applyAlignment="1" applyProtection="1">
      <alignment horizontal="center" vertical="center"/>
      <protection locked="0"/>
    </xf>
    <xf numFmtId="0" fontId="8" fillId="3" borderId="30" xfId="0" applyFont="1" applyFill="1" applyBorder="1" applyAlignment="1" applyProtection="1">
      <alignment horizontal="center" vertical="center"/>
      <protection locked="0"/>
    </xf>
    <xf numFmtId="0" fontId="8" fillId="3" borderId="45" xfId="0" applyFont="1" applyFill="1" applyBorder="1" applyAlignment="1" applyProtection="1">
      <alignment horizontal="center" vertical="center"/>
      <protection locked="0"/>
    </xf>
    <xf numFmtId="0" fontId="0" fillId="0" borderId="11" xfId="0" applyBorder="1" applyAlignment="1">
      <alignment horizontal="left" wrapText="1"/>
    </xf>
    <xf numFmtId="0" fontId="0" fillId="0" borderId="18" xfId="0" applyBorder="1" applyAlignment="1">
      <alignment horizontal="left" wrapText="1"/>
    </xf>
    <xf numFmtId="0" fontId="0" fillId="0" borderId="15" xfId="0" applyBorder="1" applyAlignment="1">
      <alignment horizontal="left" wrapText="1"/>
    </xf>
    <xf numFmtId="0" fontId="6" fillId="6" borderId="31" xfId="3" applyFont="1" applyFill="1" applyBorder="1" applyAlignment="1">
      <alignment horizontal="center" vertical="center"/>
    </xf>
    <xf numFmtId="0" fontId="6" fillId="6" borderId="32" xfId="3" applyFont="1" applyFill="1" applyBorder="1" applyAlignment="1">
      <alignment horizontal="center" vertical="center"/>
    </xf>
    <xf numFmtId="0" fontId="6" fillId="6" borderId="33" xfId="3" applyFont="1" applyFill="1" applyBorder="1" applyAlignment="1">
      <alignment horizontal="center" vertical="center"/>
    </xf>
    <xf numFmtId="14" fontId="7" fillId="0" borderId="34" xfId="3" applyNumberFormat="1" applyFont="1" applyBorder="1" applyAlignment="1" applyProtection="1">
      <alignment horizontal="center"/>
      <protection locked="0"/>
    </xf>
    <xf numFmtId="0" fontId="7" fillId="6" borderId="11" xfId="3" applyFont="1" applyFill="1" applyBorder="1" applyAlignment="1">
      <alignment horizontal="right" vertical="center"/>
    </xf>
    <xf numFmtId="0" fontId="7" fillId="6" borderId="18" xfId="3" applyFont="1" applyFill="1" applyBorder="1" applyAlignment="1">
      <alignment horizontal="right" vertical="center"/>
    </xf>
    <xf numFmtId="0" fontId="7" fillId="6" borderId="15" xfId="3" applyFont="1" applyFill="1" applyBorder="1" applyAlignment="1">
      <alignment horizontal="right" vertical="center"/>
    </xf>
    <xf numFmtId="0" fontId="7" fillId="6" borderId="41" xfId="3" applyFont="1" applyFill="1" applyBorder="1" applyAlignment="1">
      <alignment horizontal="right" vertical="center" wrapText="1"/>
    </xf>
    <xf numFmtId="0" fontId="7" fillId="6" borderId="44" xfId="3" applyFont="1" applyFill="1" applyBorder="1" applyAlignment="1">
      <alignment horizontal="right" vertical="center" wrapText="1"/>
    </xf>
    <xf numFmtId="0" fontId="0" fillId="0" borderId="4" xfId="0" applyBorder="1" applyAlignment="1">
      <alignment horizontal="left" vertical="top"/>
    </xf>
    <xf numFmtId="0" fontId="0" fillId="0" borderId="14" xfId="0" applyBorder="1" applyAlignment="1">
      <alignment horizontal="left" vertical="top"/>
    </xf>
    <xf numFmtId="0" fontId="14" fillId="0" borderId="5" xfId="0" applyFont="1" applyBorder="1" applyAlignment="1">
      <alignment horizontal="left" vertical="top" wrapText="1"/>
    </xf>
    <xf numFmtId="0" fontId="14" fillId="0" borderId="6" xfId="0" applyFont="1" applyBorder="1" applyAlignment="1">
      <alignment horizontal="left" vertical="top" wrapText="1"/>
    </xf>
    <xf numFmtId="0" fontId="14" fillId="0" borderId="70" xfId="0" applyFont="1" applyBorder="1" applyAlignment="1">
      <alignment horizontal="left" vertical="top" wrapText="1"/>
    </xf>
    <xf numFmtId="0" fontId="14" fillId="0" borderId="9" xfId="0" applyFont="1" applyBorder="1" applyAlignment="1">
      <alignment horizontal="left" vertical="top" wrapText="1"/>
    </xf>
    <xf numFmtId="0" fontId="14" fillId="0" borderId="0" xfId="0" applyFont="1" applyAlignment="1">
      <alignment horizontal="left" vertical="top" wrapText="1"/>
    </xf>
    <xf numFmtId="0" fontId="14" fillId="0" borderId="63" xfId="0" applyFont="1" applyBorder="1" applyAlignment="1">
      <alignment horizontal="left" vertical="top" wrapText="1"/>
    </xf>
    <xf numFmtId="0" fontId="0" fillId="0" borderId="10" xfId="0" applyBorder="1" applyAlignment="1">
      <alignment horizontal="left" vertical="top"/>
    </xf>
    <xf numFmtId="14"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13" xfId="0" applyBorder="1" applyAlignment="1">
      <alignment horizontal="left" vertical="top"/>
    </xf>
    <xf numFmtId="0" fontId="0" fillId="0" borderId="49"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17" xfId="0" applyBorder="1" applyAlignment="1">
      <alignment horizontal="center"/>
    </xf>
    <xf numFmtId="0" fontId="0" fillId="0" borderId="22" xfId="0" applyBorder="1" applyAlignment="1">
      <alignment horizontal="center"/>
    </xf>
    <xf numFmtId="0" fontId="0" fillId="0" borderId="49" xfId="0" applyBorder="1" applyAlignment="1">
      <alignment horizontal="left" vertical="top"/>
    </xf>
    <xf numFmtId="0" fontId="0" fillId="0" borderId="0" xfId="0" applyAlignment="1">
      <alignment horizontal="left" vertical="top"/>
    </xf>
    <xf numFmtId="0" fontId="0" fillId="0" borderId="8" xfId="0" applyBorder="1" applyAlignment="1">
      <alignment horizontal="left" vertical="top"/>
    </xf>
    <xf numFmtId="0" fontId="0" fillId="0" borderId="17" xfId="0" applyBorder="1" applyAlignment="1">
      <alignment horizontal="left" vertical="top"/>
    </xf>
    <xf numFmtId="0" fontId="0" fillId="0" borderId="16" xfId="0" applyBorder="1" applyAlignment="1">
      <alignment horizontal="left" vertical="top"/>
    </xf>
    <xf numFmtId="0" fontId="0" fillId="0" borderId="22" xfId="0" applyBorder="1" applyAlignment="1">
      <alignment horizontal="left" vertical="top"/>
    </xf>
    <xf numFmtId="0" fontId="0" fillId="0" borderId="49" xfId="0" applyBorder="1" applyAlignment="1">
      <alignment horizontal="left"/>
    </xf>
    <xf numFmtId="0" fontId="0" fillId="0" borderId="0" xfId="0" applyAlignment="1">
      <alignment horizontal="left"/>
    </xf>
    <xf numFmtId="0" fontId="0" fillId="0" borderId="8" xfId="0" applyBorder="1" applyAlignment="1">
      <alignment horizontal="left"/>
    </xf>
    <xf numFmtId="0" fontId="0" fillId="0" borderId="56"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9" xfId="0" applyBorder="1" applyAlignment="1">
      <alignment horizontal="left"/>
    </xf>
    <xf numFmtId="0" fontId="40" fillId="0" borderId="59" xfId="0" applyFont="1" applyBorder="1" applyAlignment="1">
      <alignment horizontal="center" vertical="center"/>
    </xf>
    <xf numFmtId="0" fontId="40" fillId="0" borderId="58" xfId="0" applyFont="1" applyBorder="1" applyAlignment="1">
      <alignment horizontal="center" vertical="center"/>
    </xf>
    <xf numFmtId="0" fontId="0" fillId="0" borderId="73" xfId="0" applyBorder="1" applyAlignment="1">
      <alignment horizontal="center" vertical="center" wrapText="1"/>
    </xf>
    <xf numFmtId="0" fontId="0" fillId="0" borderId="2" xfId="0" applyBorder="1" applyAlignment="1">
      <alignment horizontal="center" vertical="center" wrapText="1"/>
    </xf>
    <xf numFmtId="0" fontId="0" fillId="0" borderId="71" xfId="0" applyBorder="1" applyAlignment="1">
      <alignment horizontal="center" vertical="center" wrapText="1"/>
    </xf>
    <xf numFmtId="0" fontId="0" fillId="0" borderId="30" xfId="0" applyBorder="1" applyAlignment="1">
      <alignment horizontal="center"/>
    </xf>
    <xf numFmtId="0" fontId="0" fillId="0" borderId="25" xfId="0" applyBorder="1" applyAlignment="1">
      <alignment horizontal="left"/>
    </xf>
    <xf numFmtId="0" fontId="0" fillId="0" borderId="16" xfId="0" applyBorder="1" applyAlignment="1">
      <alignment horizontal="left"/>
    </xf>
    <xf numFmtId="0" fontId="0" fillId="0" borderId="24" xfId="0" applyBorder="1" applyAlignment="1">
      <alignment horizontal="left"/>
    </xf>
    <xf numFmtId="0" fontId="0" fillId="0" borderId="30" xfId="0" applyBorder="1" applyAlignment="1">
      <alignment horizontal="left"/>
    </xf>
    <xf numFmtId="0" fontId="0" fillId="0" borderId="73" xfId="0" applyBorder="1" applyAlignment="1">
      <alignment horizontal="center"/>
    </xf>
    <xf numFmtId="0" fontId="0" fillId="0" borderId="2" xfId="0" applyBorder="1" applyAlignment="1">
      <alignment horizontal="center"/>
    </xf>
    <xf numFmtId="0" fontId="0" fillId="0" borderId="71" xfId="0" applyBorder="1" applyAlignment="1">
      <alignment horizontal="center"/>
    </xf>
    <xf numFmtId="0" fontId="0" fillId="0" borderId="58" xfId="0" applyBorder="1" applyAlignment="1">
      <alignment horizontal="right" vertical="center" wrapText="1"/>
    </xf>
    <xf numFmtId="0" fontId="0" fillId="0" borderId="58" xfId="0" applyBorder="1" applyAlignment="1">
      <alignment horizontal="center"/>
    </xf>
    <xf numFmtId="0" fontId="0" fillId="0" borderId="73" xfId="0" applyBorder="1" applyAlignment="1">
      <alignment horizontal="center" vertical="center"/>
    </xf>
    <xf numFmtId="0" fontId="0" fillId="0" borderId="2" xfId="0" applyBorder="1" applyAlignment="1">
      <alignment horizontal="center" vertical="center"/>
    </xf>
    <xf numFmtId="0" fontId="0" fillId="0" borderId="71" xfId="0" applyBorder="1" applyAlignment="1">
      <alignment horizontal="center" vertical="center"/>
    </xf>
    <xf numFmtId="0" fontId="0" fillId="5" borderId="37" xfId="0" applyFill="1" applyBorder="1" applyAlignment="1">
      <alignment horizontal="center"/>
    </xf>
    <xf numFmtId="0" fontId="0" fillId="0" borderId="39" xfId="0" applyBorder="1" applyAlignment="1">
      <alignment horizontal="center"/>
    </xf>
    <xf numFmtId="0" fontId="0" fillId="0" borderId="28" xfId="0" applyBorder="1" applyAlignment="1">
      <alignment horizontal="center"/>
    </xf>
    <xf numFmtId="0" fontId="0" fillId="0" borderId="43" xfId="0" applyBorder="1" applyAlignment="1">
      <alignment horizontal="center"/>
    </xf>
    <xf numFmtId="0" fontId="0" fillId="6" borderId="39" xfId="0" applyFill="1" applyBorder="1" applyAlignment="1">
      <alignment horizontal="right" vertical="center"/>
    </xf>
    <xf numFmtId="0" fontId="0" fillId="5" borderId="12" xfId="0" applyFill="1" applyBorder="1" applyAlignment="1">
      <alignment horizontal="center"/>
    </xf>
    <xf numFmtId="0" fontId="0" fillId="6" borderId="11" xfId="0" applyFill="1" applyBorder="1" applyAlignment="1">
      <alignment horizontal="right" vertical="center"/>
    </xf>
    <xf numFmtId="0" fontId="35" fillId="5" borderId="5" xfId="0" applyFont="1" applyFill="1" applyBorder="1" applyAlignment="1">
      <alignment horizontal="center" vertical="center" wrapText="1"/>
    </xf>
    <xf numFmtId="0" fontId="35" fillId="5" borderId="6" xfId="0" applyFont="1" applyFill="1" applyBorder="1" applyAlignment="1">
      <alignment horizontal="center" vertical="center" wrapText="1"/>
    </xf>
    <xf numFmtId="0" fontId="35" fillId="5" borderId="70" xfId="0" applyFont="1" applyFill="1" applyBorder="1" applyAlignment="1">
      <alignment horizontal="center" vertical="center" wrapText="1"/>
    </xf>
    <xf numFmtId="166" fontId="0" fillId="0" borderId="12" xfId="0" applyNumberFormat="1" applyBorder="1" applyAlignment="1">
      <alignment horizontal="right" vertical="center"/>
    </xf>
    <xf numFmtId="167" fontId="0" fillId="0" borderId="12" xfId="0" applyNumberFormat="1" applyBorder="1" applyAlignment="1">
      <alignment horizontal="right" vertical="center"/>
    </xf>
    <xf numFmtId="167" fontId="0" fillId="0" borderId="35" xfId="0" applyNumberFormat="1" applyBorder="1" applyAlignment="1">
      <alignment horizontal="right" vertical="center"/>
    </xf>
    <xf numFmtId="0" fontId="0" fillId="6" borderId="37" xfId="0" applyFill="1" applyBorder="1" applyAlignment="1">
      <alignment horizontal="center" vertical="center"/>
    </xf>
    <xf numFmtId="0" fontId="0" fillId="6" borderId="12" xfId="0" applyFill="1" applyBorder="1" applyAlignment="1">
      <alignment horizontal="center" vertical="center" textRotation="90" wrapText="1"/>
    </xf>
    <xf numFmtId="0" fontId="0" fillId="6" borderId="35" xfId="0" applyFill="1" applyBorder="1" applyAlignment="1">
      <alignment horizontal="center" vertical="center"/>
    </xf>
    <xf numFmtId="0" fontId="0" fillId="5" borderId="5" xfId="0" applyFill="1" applyBorder="1" applyAlignment="1">
      <alignment horizontal="center" vertical="center" textRotation="90" wrapText="1"/>
    </xf>
    <xf numFmtId="0" fontId="0" fillId="5" borderId="70" xfId="0" applyFill="1" applyBorder="1" applyAlignment="1">
      <alignment horizontal="center" vertical="center" textRotation="90" wrapText="1"/>
    </xf>
    <xf numFmtId="0" fontId="0" fillId="5" borderId="9" xfId="0" applyFill="1" applyBorder="1" applyAlignment="1">
      <alignment horizontal="center" vertical="center" textRotation="90" wrapText="1"/>
    </xf>
    <xf numFmtId="0" fontId="0" fillId="5" borderId="63" xfId="0" applyFill="1" applyBorder="1" applyAlignment="1">
      <alignment horizontal="center" vertical="center" textRotation="90" wrapText="1"/>
    </xf>
    <xf numFmtId="0" fontId="0" fillId="5" borderId="10" xfId="0" applyFill="1" applyBorder="1" applyAlignment="1">
      <alignment horizontal="center" vertical="center" textRotation="90" wrapText="1"/>
    </xf>
    <xf numFmtId="0" fontId="0" fillId="5" borderId="66" xfId="0" applyFill="1" applyBorder="1" applyAlignment="1">
      <alignment horizontal="center" vertical="center" textRotation="90" wrapText="1"/>
    </xf>
    <xf numFmtId="0" fontId="0" fillId="6" borderId="32" xfId="0" applyFill="1" applyBorder="1" applyAlignment="1">
      <alignment horizontal="right" vertical="center"/>
    </xf>
    <xf numFmtId="0" fontId="0" fillId="0" borderId="32" xfId="0" applyBorder="1" applyAlignment="1">
      <alignment horizont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15" xfId="0" applyBorder="1" applyAlignment="1">
      <alignment horizontal="center" vertical="center"/>
    </xf>
    <xf numFmtId="0" fontId="0" fillId="6" borderId="11" xfId="0" applyFill="1" applyBorder="1" applyAlignment="1">
      <alignment horizontal="center" vertical="center"/>
    </xf>
    <xf numFmtId="0" fontId="0" fillId="6" borderId="18" xfId="0" applyFill="1" applyBorder="1" applyAlignment="1">
      <alignment horizontal="center" vertical="center"/>
    </xf>
    <xf numFmtId="0" fontId="0" fillId="6" borderId="15" xfId="0" applyFill="1" applyBorder="1" applyAlignment="1">
      <alignment horizontal="center" vertical="center"/>
    </xf>
    <xf numFmtId="0" fontId="0" fillId="6" borderId="39" xfId="0" applyFill="1" applyBorder="1" applyAlignment="1">
      <alignment horizontal="center" vertical="center"/>
    </xf>
    <xf numFmtId="0" fontId="0" fillId="6" borderId="28" xfId="0" applyFill="1" applyBorder="1" applyAlignment="1">
      <alignment horizontal="center" vertical="center"/>
    </xf>
    <xf numFmtId="0" fontId="0" fillId="6" borderId="43" xfId="0" applyFill="1" applyBorder="1" applyAlignment="1">
      <alignment horizontal="center" vertical="center"/>
    </xf>
    <xf numFmtId="0" fontId="0" fillId="0" borderId="43" xfId="0" applyBorder="1" applyAlignment="1">
      <alignment horizontal="center" vertical="center"/>
    </xf>
    <xf numFmtId="0" fontId="0" fillId="5" borderId="6" xfId="0" applyFill="1" applyBorder="1" applyAlignment="1">
      <alignment horizontal="center" vertical="center" textRotation="90" wrapText="1"/>
    </xf>
    <xf numFmtId="0" fontId="0" fillId="5" borderId="0" xfId="0" applyFill="1" applyAlignment="1">
      <alignment horizontal="center" vertical="center" textRotation="90" wrapText="1"/>
    </xf>
    <xf numFmtId="0" fontId="0" fillId="5" borderId="4" xfId="0" applyFill="1" applyBorder="1" applyAlignment="1">
      <alignment horizontal="center" vertical="center" textRotation="90" wrapText="1"/>
    </xf>
    <xf numFmtId="0" fontId="0" fillId="6" borderId="46" xfId="0" applyFill="1" applyBorder="1" applyAlignment="1">
      <alignment horizontal="center" vertical="center"/>
    </xf>
    <xf numFmtId="0" fontId="0" fillId="6" borderId="30" xfId="0" applyFill="1" applyBorder="1" applyAlignment="1">
      <alignment horizontal="center" vertical="center"/>
    </xf>
    <xf numFmtId="0" fontId="0" fillId="6" borderId="45" xfId="0" applyFill="1" applyBorder="1" applyAlignment="1">
      <alignment horizontal="center" vertical="center"/>
    </xf>
    <xf numFmtId="0" fontId="0" fillId="0" borderId="45" xfId="0" applyBorder="1" applyAlignment="1">
      <alignment horizontal="center" vertical="center"/>
    </xf>
    <xf numFmtId="0" fontId="8" fillId="5" borderId="54" xfId="0" applyFont="1" applyFill="1" applyBorder="1" applyAlignment="1">
      <alignment horizontal="center" vertical="center" wrapText="1"/>
    </xf>
    <xf numFmtId="0" fontId="8" fillId="5" borderId="47" xfId="0" applyFont="1" applyFill="1" applyBorder="1" applyAlignment="1">
      <alignment horizontal="center" vertical="center" wrapText="1"/>
    </xf>
    <xf numFmtId="0" fontId="8" fillId="5" borderId="55" xfId="0" applyFont="1" applyFill="1" applyBorder="1" applyAlignment="1">
      <alignment horizontal="center" vertical="center" wrapText="1"/>
    </xf>
    <xf numFmtId="0" fontId="7" fillId="2" borderId="9" xfId="3" applyFont="1" applyFill="1" applyBorder="1" applyAlignment="1">
      <alignment horizontal="right" vertical="center"/>
    </xf>
    <xf numFmtId="0" fontId="7" fillId="2" borderId="0" xfId="3" applyFont="1" applyFill="1" applyAlignment="1">
      <alignment horizontal="right" vertical="center"/>
    </xf>
    <xf numFmtId="0" fontId="7" fillId="2" borderId="63" xfId="3" applyFont="1" applyFill="1" applyBorder="1" applyAlignment="1">
      <alignment horizontal="right" vertical="center"/>
    </xf>
    <xf numFmtId="0" fontId="7" fillId="0" borderId="49" xfId="3" applyFont="1" applyBorder="1" applyAlignment="1">
      <alignment horizontal="center" vertical="center"/>
    </xf>
    <xf numFmtId="0" fontId="7" fillId="0" borderId="0" xfId="3" applyFont="1" applyAlignment="1">
      <alignment horizontal="center" vertical="center"/>
    </xf>
    <xf numFmtId="0" fontId="7" fillId="2" borderId="49" xfId="3" applyFont="1" applyFill="1" applyBorder="1" applyAlignment="1">
      <alignment horizontal="right" vertical="center"/>
    </xf>
    <xf numFmtId="0" fontId="7" fillId="0" borderId="49" xfId="3" applyFont="1" applyBorder="1" applyAlignment="1">
      <alignment horizontal="center"/>
    </xf>
    <xf numFmtId="0" fontId="7" fillId="0" borderId="0" xfId="3" applyFont="1" applyAlignment="1">
      <alignment horizontal="center"/>
    </xf>
    <xf numFmtId="0" fontId="7" fillId="0" borderId="63" xfId="3" applyFont="1" applyBorder="1" applyAlignment="1">
      <alignment horizontal="center"/>
    </xf>
    <xf numFmtId="0" fontId="7" fillId="0" borderId="8" xfId="3" applyFont="1" applyBorder="1" applyAlignment="1">
      <alignment horizontal="center" vertical="center"/>
    </xf>
    <xf numFmtId="0" fontId="0" fillId="2" borderId="5" xfId="0" applyFill="1" applyBorder="1" applyAlignment="1">
      <alignment horizontal="right" vertical="center"/>
    </xf>
    <xf numFmtId="0" fontId="0" fillId="2" borderId="6" xfId="0" applyFill="1" applyBorder="1" applyAlignment="1">
      <alignment horizontal="right" vertical="center"/>
    </xf>
    <xf numFmtId="0" fontId="0" fillId="2" borderId="70" xfId="0" applyFill="1" applyBorder="1" applyAlignment="1">
      <alignment horizontal="right" vertical="center"/>
    </xf>
    <xf numFmtId="0" fontId="0" fillId="2" borderId="26" xfId="0" applyFill="1" applyBorder="1" applyAlignment="1">
      <alignment horizontal="center" vertical="center" wrapText="1"/>
    </xf>
    <xf numFmtId="0" fontId="0" fillId="2" borderId="18" xfId="0" applyFill="1" applyBorder="1" applyAlignment="1">
      <alignment horizontal="center" vertical="center" wrapText="1"/>
    </xf>
    <xf numFmtId="0" fontId="0" fillId="2" borderId="15" xfId="0" applyFill="1" applyBorder="1" applyAlignment="1">
      <alignment horizontal="center" vertical="center" wrapText="1"/>
    </xf>
    <xf numFmtId="0" fontId="31" fillId="4" borderId="52" xfId="0" applyFont="1" applyFill="1" applyBorder="1" applyAlignment="1">
      <alignment horizontal="center" vertical="center" wrapText="1"/>
    </xf>
    <xf numFmtId="0" fontId="31" fillId="4" borderId="74" xfId="0" applyFont="1" applyFill="1" applyBorder="1" applyAlignment="1">
      <alignment horizontal="center" vertical="center"/>
    </xf>
    <xf numFmtId="0" fontId="31" fillId="4" borderId="53" xfId="0" applyFont="1" applyFill="1" applyBorder="1" applyAlignment="1">
      <alignment horizontal="center" vertical="center"/>
    </xf>
    <xf numFmtId="0" fontId="0" fillId="0" borderId="0" xfId="0" applyAlignment="1">
      <alignment horizontal="right"/>
    </xf>
    <xf numFmtId="0" fontId="0" fillId="6" borderId="32" xfId="0" applyFill="1" applyBorder="1" applyAlignment="1">
      <alignment horizontal="center" vertical="center"/>
    </xf>
    <xf numFmtId="0" fontId="0" fillId="6" borderId="44" xfId="0" applyFill="1" applyBorder="1" applyAlignment="1">
      <alignment horizontal="center" vertical="center"/>
    </xf>
    <xf numFmtId="0" fontId="0" fillId="0" borderId="27" xfId="0" applyBorder="1" applyAlignment="1">
      <alignment horizontal="center"/>
    </xf>
    <xf numFmtId="49" fontId="0" fillId="0" borderId="17" xfId="0" applyNumberFormat="1" applyBorder="1" applyAlignment="1">
      <alignment horizontal="center" vertical="center"/>
    </xf>
    <xf numFmtId="49" fontId="0" fillId="0" borderId="16" xfId="0" applyNumberFormat="1" applyBorder="1" applyAlignment="1">
      <alignment horizontal="center" vertical="center"/>
    </xf>
    <xf numFmtId="49" fontId="0" fillId="0" borderId="64" xfId="0" applyNumberFormat="1" applyBorder="1" applyAlignment="1">
      <alignment horizontal="center" vertical="center"/>
    </xf>
    <xf numFmtId="0" fontId="0" fillId="0" borderId="17" xfId="0" applyBorder="1" applyAlignment="1">
      <alignment horizontal="center" vertical="center"/>
    </xf>
    <xf numFmtId="0" fontId="0" fillId="0" borderId="64" xfId="0" applyBorder="1" applyAlignment="1">
      <alignment horizontal="center" vertical="center"/>
    </xf>
    <xf numFmtId="0" fontId="0" fillId="6" borderId="46" xfId="0" applyFill="1" applyBorder="1" applyAlignment="1">
      <alignment horizontal="right" vertical="center"/>
    </xf>
    <xf numFmtId="0" fontId="0" fillId="0" borderId="27" xfId="0" applyBorder="1" applyAlignment="1" applyProtection="1">
      <alignment horizontal="center"/>
      <protection locked="0"/>
    </xf>
    <xf numFmtId="0" fontId="0" fillId="0" borderId="46" xfId="0" applyBorder="1" applyAlignment="1">
      <alignment horizontal="center"/>
    </xf>
  </cellXfs>
  <cellStyles count="10">
    <cellStyle name="Euro" xfId="2" xr:uid="{A85B7523-541F-4682-B450-32AF19478C71}"/>
    <cellStyle name="Euro 2" xfId="4" xr:uid="{EFA66519-E8D6-4DE1-818A-5A688E479C1E}"/>
    <cellStyle name="Lien hypertexte" xfId="6" builtinId="8"/>
    <cellStyle name="Monétaire" xfId="5" builtinId="4"/>
    <cellStyle name="Normal" xfId="0" builtinId="0"/>
    <cellStyle name="Normal 2" xfId="1" xr:uid="{0A419CD2-2AB4-4DCF-8892-B209F5332F41}"/>
    <cellStyle name="Normal 3" xfId="3" xr:uid="{7E3D5ED0-2488-4E89-B9F7-93C63BE0AB1F}"/>
    <cellStyle name="Normal 4" xfId="7" xr:uid="{7F8BC0FF-54AE-4F03-86E8-8657737299A0}"/>
    <cellStyle name="Pourcentage" xfId="8" builtinId="5"/>
    <cellStyle name="Pourcentage 2" xfId="9" xr:uid="{3CD34791-B0C2-47D4-82C7-74C51380B5E1}"/>
  </cellStyles>
  <dxfs count="0"/>
  <tableStyles count="0" defaultTableStyle="TableStyleMedium2" defaultPivotStyle="PivotStyleLight16"/>
  <colors>
    <mruColors>
      <color rgb="FFA9AEBD"/>
      <color rgb="FFD5D6E8"/>
      <color rgb="FFC73B28"/>
      <color rgb="FF2A38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581025</xdr:colOff>
          <xdr:row>1</xdr:row>
          <xdr:rowOff>9525</xdr:rowOff>
        </xdr:from>
        <xdr:to>
          <xdr:col>33</xdr:col>
          <xdr:colOff>133350</xdr:colOff>
          <xdr:row>3</xdr:row>
          <xdr:rowOff>38100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dossier complet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6</xdr:row>
          <xdr:rowOff>161925</xdr:rowOff>
        </xdr:from>
        <xdr:to>
          <xdr:col>33</xdr:col>
          <xdr:colOff>133350</xdr:colOff>
          <xdr:row>8</xdr:row>
          <xdr:rowOff>133350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PV de réception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11</xdr:row>
          <xdr:rowOff>180975</xdr:rowOff>
        </xdr:from>
        <xdr:to>
          <xdr:col>33</xdr:col>
          <xdr:colOff>133350</xdr:colOff>
          <xdr:row>13</xdr:row>
          <xdr:rowOff>142875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4</xdr:row>
          <xdr:rowOff>0</xdr:rowOff>
        </xdr:from>
        <xdr:to>
          <xdr:col>33</xdr:col>
          <xdr:colOff>133350</xdr:colOff>
          <xdr:row>6</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Page de garde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9</xdr:row>
          <xdr:rowOff>76200</xdr:rowOff>
        </xdr:from>
        <xdr:to>
          <xdr:col>33</xdr:col>
          <xdr:colOff>133350</xdr:colOff>
          <xdr:row>11</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Remplir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xdr:twoCellAnchor editAs="oneCell">
    <xdr:from>
      <xdr:col>2</xdr:col>
      <xdr:colOff>0</xdr:colOff>
      <xdr:row>0</xdr:row>
      <xdr:rowOff>0</xdr:rowOff>
    </xdr:from>
    <xdr:to>
      <xdr:col>12</xdr:col>
      <xdr:colOff>132365</xdr:colOff>
      <xdr:row>3</xdr:row>
      <xdr:rowOff>167509</xdr:rowOff>
    </xdr:to>
    <xdr:pic>
      <xdr:nvPicPr>
        <xdr:cNvPr id="8" name="Imag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3552"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219074</xdr:colOff>
      <xdr:row>0</xdr:row>
      <xdr:rowOff>0</xdr:rowOff>
    </xdr:from>
    <xdr:to>
      <xdr:col>14</xdr:col>
      <xdr:colOff>209549</xdr:colOff>
      <xdr:row>3</xdr:row>
      <xdr:rowOff>152400</xdr:rowOff>
    </xdr:to>
    <xdr:pic>
      <xdr:nvPicPr>
        <xdr:cNvPr id="2" name="Imag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212481</xdr:colOff>
      <xdr:row>0</xdr:row>
      <xdr:rowOff>7327</xdr:rowOff>
    </xdr:from>
    <xdr:to>
      <xdr:col>16</xdr:col>
      <xdr:colOff>205887</xdr:colOff>
      <xdr:row>4</xdr:row>
      <xdr:rowOff>0</xdr:rowOff>
    </xdr:to>
    <xdr:pic>
      <xdr:nvPicPr>
        <xdr:cNvPr id="5" name="Imag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1135" y="7327"/>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180975</xdr:colOff>
          <xdr:row>3</xdr:row>
          <xdr:rowOff>85725</xdr:rowOff>
        </xdr:from>
        <xdr:to>
          <xdr:col>49</xdr:col>
          <xdr:colOff>161925</xdr:colOff>
          <xdr:row>5</xdr:row>
          <xdr:rowOff>104775</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Mettre à jour le PV de mise en service</a:t>
              </a:r>
            </a:p>
          </xdr:txBody>
        </xdr:sp>
        <xdr:clientData fPrintsWithSheet="0"/>
      </xdr:twoCellAnchor>
    </mc:Choice>
    <mc:Fallback/>
  </mc:AlternateContent>
  <xdr:twoCellAnchor editAs="oneCell">
    <xdr:from>
      <xdr:col>8</xdr:col>
      <xdr:colOff>0</xdr:colOff>
      <xdr:row>0</xdr:row>
      <xdr:rowOff>0</xdr:rowOff>
    </xdr:from>
    <xdr:to>
      <xdr:col>17</xdr:col>
      <xdr:colOff>0</xdr:colOff>
      <xdr:row>3</xdr:row>
      <xdr:rowOff>152400</xdr:rowOff>
    </xdr:to>
    <xdr:pic>
      <xdr:nvPicPr>
        <xdr:cNvPr id="4" name="Imag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0"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0</xdr:row>
      <xdr:rowOff>19050</xdr:rowOff>
    </xdr:from>
    <xdr:to>
      <xdr:col>12</xdr:col>
      <xdr:colOff>0</xdr:colOff>
      <xdr:row>4</xdr:row>
      <xdr:rowOff>0</xdr:rowOff>
    </xdr:to>
    <xdr:pic>
      <xdr:nvPicPr>
        <xdr:cNvPr id="3" name="Imag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1905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3" name="Imag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37</xdr:col>
          <xdr:colOff>571500</xdr:colOff>
          <xdr:row>17</xdr:row>
          <xdr:rowOff>95250</xdr:rowOff>
        </xdr:from>
        <xdr:to>
          <xdr:col>40</xdr:col>
          <xdr:colOff>466725</xdr:colOff>
          <xdr:row>19</xdr:row>
          <xdr:rowOff>133350</xdr:rowOff>
        </xdr:to>
        <xdr:sp macro="" textlink="">
          <xdr:nvSpPr>
            <xdr:cNvPr id="126999" name="Button 23" hidden="1">
              <a:extLst>
                <a:ext uri="{63B3BB69-23CF-44E3-9099-C40C66FF867C}">
                  <a14:compatExt spid="_x0000_s126999"/>
                </a:ext>
                <a:ext uri="{FF2B5EF4-FFF2-40B4-BE49-F238E27FC236}">
                  <a16:creationId xmlns:a16="http://schemas.microsoft.com/office/drawing/2014/main" id="{00000000-0008-0000-0700-000017F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Remettre les formules pour les adresses.</a:t>
              </a:r>
            </a:p>
            <a:p>
              <a:pPr algn="ctr" rtl="0">
                <a:defRPr sz="1000"/>
              </a:pPr>
              <a:r>
                <a:rPr lang="fr-FR" sz="1100" b="0" i="0" u="none" strike="noStrike" baseline="0">
                  <a:solidFill>
                    <a:srgbClr val="000000"/>
                  </a:solidFill>
                  <a:latin typeface="Calibri"/>
                  <a:cs typeface="Calibri"/>
                </a:rPr>
                <a:t>/!\ Ecrase les valeurs saisie en dur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14655</xdr:colOff>
      <xdr:row>0</xdr:row>
      <xdr:rowOff>124047</xdr:rowOff>
    </xdr:from>
    <xdr:to>
      <xdr:col>17</xdr:col>
      <xdr:colOff>241599</xdr:colOff>
      <xdr:row>0</xdr:row>
      <xdr:rowOff>361486</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741829" y="124047"/>
          <a:ext cx="723900" cy="237439"/>
        </a:xfrm>
        <a:prstGeom prst="rect">
          <a:avLst/>
        </a:prstGeom>
      </xdr:spPr>
    </xdr:pic>
    <xdr:clientData/>
  </xdr:twoCellAnchor>
  <xdr:twoCellAnchor editAs="oneCell">
    <xdr:from>
      <xdr:col>21</xdr:col>
      <xdr:colOff>181729</xdr:colOff>
      <xdr:row>7</xdr:row>
      <xdr:rowOff>28486</xdr:rowOff>
    </xdr:from>
    <xdr:to>
      <xdr:col>29</xdr:col>
      <xdr:colOff>101536</xdr:colOff>
      <xdr:row>12</xdr:row>
      <xdr:rowOff>66261</xdr:rowOff>
    </xdr:to>
    <xdr:pic>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399772" y="2024595"/>
          <a:ext cx="1907634" cy="1280166"/>
        </a:xfrm>
        <a:prstGeom prst="rect">
          <a:avLst/>
        </a:prstGeom>
      </xdr:spPr>
    </xdr:pic>
    <xdr:clientData/>
  </xdr:twoCellAnchor>
  <xdr:oneCellAnchor>
    <xdr:from>
      <xdr:col>21</xdr:col>
      <xdr:colOff>181729</xdr:colOff>
      <xdr:row>23</xdr:row>
      <xdr:rowOff>28486</xdr:rowOff>
    </xdr:from>
    <xdr:ext cx="1895293" cy="1271884"/>
    <xdr:pic>
      <xdr:nvPicPr>
        <xdr:cNvPr id="11" name="Imag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2"/>
        <a:stretch>
          <a:fillRect/>
        </a:stretch>
      </xdr:blipFill>
      <xdr:spPr>
        <a:xfrm>
          <a:off x="5399772" y="6464073"/>
          <a:ext cx="1895293" cy="1271884"/>
        </a:xfrm>
        <a:prstGeom prst="rect">
          <a:avLst/>
        </a:prstGeom>
      </xdr:spPr>
    </xdr:pic>
    <xdr:clientData/>
  </xdr:oneCellAnchor>
  <xdr:oneCellAnchor>
    <xdr:from>
      <xdr:col>21</xdr:col>
      <xdr:colOff>181729</xdr:colOff>
      <xdr:row>39</xdr:row>
      <xdr:rowOff>28486</xdr:rowOff>
    </xdr:from>
    <xdr:ext cx="1981688" cy="1329862"/>
    <xdr:pic>
      <xdr:nvPicPr>
        <xdr:cNvPr id="12" name="Imag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2"/>
        <a:stretch>
          <a:fillRect/>
        </a:stretch>
      </xdr:blipFill>
      <xdr:spPr>
        <a:xfrm>
          <a:off x="5399772" y="10837290"/>
          <a:ext cx="1981688" cy="13298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2" name="Imag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homas MATHIEU" id="{5014EF73-2909-4417-9FA9-05433BFD6A68}" userId="S::thomat@airflux.fr::dbe6166f-939d-4539-b51a-931ef9e870d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5" dT="2021-06-14T13:59:13.68" personId="{5014EF73-2909-4417-9FA9-05433BFD6A68}" id="{48C73C8D-1253-4C6F-A7C7-649B41B05606}">
    <text>Nom du client</text>
  </threadedComment>
  <threadedComment ref="U6" dT="2021-11-03T15:32:48.03" personId="{5014EF73-2909-4417-9FA9-05433BFD6A68}" id="{64CCCCB4-110E-4364-AC87-14F3E016284B}">
    <text>Numéro de devis Divalto ou devis Commercial pour suivi.</text>
  </threadedComment>
  <threadedComment ref="U7" dT="2021-06-14T13:59:25.61" personId="{5014EF73-2909-4417-9FA9-05433BFD6A68}" id="{C2CBF009-C811-4A5D-9186-7E3C6F80F7F3}">
    <text>Code C00xxxxx.
Si nouveau client, le signaler et préparer la fiche d'ouverture de compte client.</text>
  </threadedComment>
  <threadedComment ref="U8" dT="2021-06-14T13:59:36.52" personId="{5014EF73-2909-4417-9FA9-05433BFD6A68}" id="{92DBBE1E-C677-409C-9E05-4FEE316BAAE9}">
    <text>Numéro d'affaire 08xxxxxx</text>
  </threadedComment>
  <threadedComment ref="U9" dT="2021-06-17T06:55:04.15" personId="{5014EF73-2909-4417-9FA9-05433BFD6A68}" id="{7C187831-69F8-4D06-ACD2-BBE2992DAE4E}">
    <text>Code à 5 chiffres</text>
  </threadedComment>
  <threadedComment ref="A15" dT="2021-06-14T14:00:11.39" personId="{5014EF73-2909-4417-9FA9-05433BFD6A68}" id="{2EA74019-405E-4B96-891F-FF0570F04C05}">
    <text>Seulement si différent de l'adresse ci-dessus</text>
  </threadedComment>
  <threadedComment ref="P15" dT="2021-06-14T14:00:15.56" personId="{5014EF73-2909-4417-9FA9-05433BFD6A68}" id="{C2F5DD17-898D-4F24-AD1F-37479881DA2F}">
    <text>Seulement si différent de l'adresse ci-dessus</text>
  </threadedComment>
  <threadedComment ref="A23" dT="2021-06-14T14:02:33.94" personId="{5014EF73-2909-4417-9FA9-05433BFD6A68}" id="{BDF96282-D2FD-42F6-ABBD-3D3705A26D4C}">
    <text>Termes de paiement négociés avec le client</text>
  </threadedComment>
  <threadedComment ref="A24" dT="2021-06-14T14:00:43.21" personId="{5014EF73-2909-4417-9FA9-05433BFD6A68}" id="{9C49EE9D-3C2B-4E2C-9A1D-21E66E757B78}">
    <text>Nom du projet chez le client</text>
  </threadedComment>
  <threadedComment ref="A25" dT="2021-06-14T14:02:33.94" personId="{5014EF73-2909-4417-9FA9-05433BFD6A68}" id="{B041169B-34D2-46B9-91D6-D2E1318FDF35}">
    <text>Termes de paiement négociés avec le client</text>
  </threadedComment>
  <threadedComment ref="A26" dT="2021-06-14T14:00:43.21" personId="{5014EF73-2909-4417-9FA9-05433BFD6A68}" id="{D40CFF7E-5314-4265-AAF2-60FF8FC141BD}">
    <text>Nom du projet chez le client</text>
  </threadedComment>
  <threadedComment ref="A27" dT="2021-06-14T14:02:33.94" personId="{5014EF73-2909-4417-9FA9-05433BFD6A68}" id="{37DFBFC8-90D5-4386-8802-40CC3E3ECD01}">
    <text>Termes de paiement négociés avec le client</text>
  </threadedComment>
  <threadedComment ref="A28" dT="2021-06-14T14:00:43.21" personId="{5014EF73-2909-4417-9FA9-05433BFD6A68}" id="{D8720C31-FB82-403D-BD51-F2BC9CF5EA31}">
    <text>Nom du projet chez le client</text>
  </threadedComment>
  <threadedComment ref="G32" dT="2021-06-14T14:01:10.34" personId="{5014EF73-2909-4417-9FA9-05433BFD6A68}" id="{E5013C39-AA30-475D-AD63-8BA5EA559AE6}">
    <text>Numéro du devis divalto si existant ou statut du devis.</text>
  </threadedComment>
  <threadedComment ref="G33" dT="2021-06-14T14:01:21.62" personId="{5014EF73-2909-4417-9FA9-05433BFD6A68}" id="{598D800A-983B-4E29-8FA4-823C288F5C68}">
    <text>Estimation de la durée du chantier en jh</text>
  </threadedComment>
  <threadedComment ref="G34" dT="2021-06-14T14:01:32.92" personId="{5014EF73-2909-4417-9FA9-05433BFD6A68}" id="{D74F6FB1-DE6E-482C-A7BB-D9DD9EEA7E8F}">
    <text>Date de démarrage en production souhaité par le client.</text>
  </threadedComment>
  <threadedComment ref="V34" dT="2021-06-14T14:02:11.94" personId="{5014EF73-2909-4417-9FA9-05433BFD6A68}" id="{DFEF150F-BB49-42D2-9B42-9622AA4EE2C6}">
    <text>Montant total du projet HT</text>
  </threadedComment>
  <threadedComment ref="G35" dT="2021-06-14T14:01:54.10" personId="{5014EF73-2909-4417-9FA9-05433BFD6A68}" id="{752AE5D6-82B4-418B-8E15-E4573F2DCBEF}">
    <text>Valitation d'un représentannt BE</text>
  </threadedComment>
  <threadedComment ref="V35" dT="2021-06-14T14:02:04.62" personId="{5014EF73-2909-4417-9FA9-05433BFD6A68}" id="{144A290E-FE08-478D-B309-506E4F794B99}">
    <text>Validation CVR avant la rédaction finale de l'offre.</text>
  </threadedComment>
  <threadedComment ref="A39" dT="2021-06-14T14:02:33.94" personId="{5014EF73-2909-4417-9FA9-05433BFD6A68}" id="{C922B554-DBCE-4A6B-BA88-27DBF2F38F86}">
    <text>Termes de paiement négociés avec le client</text>
  </threadedComment>
  <threadedComment ref="P39" dT="2021-06-14T14:03:48.05" personId="{5014EF73-2909-4417-9FA9-05433BFD6A68}" id="{04C5BCC5-CC58-4788-ACA7-676BB5205C7E}">
    <text>Vérification à faire par Mélanie pour la SFAC, négociation avec la compta (Catherine).</text>
  </threadedComment>
  <threadedComment ref="F45" dT="2021-06-14T14:04:09.68" personId="{5014EF73-2909-4417-9FA9-05433BFD6A68}" id="{E7960981-4AF6-45FE-878F-B0DEE61782D5}">
    <text>Si organisme de financement, merci de mettre le nom.</text>
  </threadedComment>
  <threadedComment ref="F46" dT="2021-06-14T14:04:19.66" personId="{5014EF73-2909-4417-9FA9-05433BFD6A68}" id="{B6764F61-1F84-49CD-B908-87C702877381}">
    <text>Montant de la prime CEE</text>
  </threadedComment>
  <threadedComment ref="F47" dT="2021-06-14T14:04:46.39" personId="{5014EF73-2909-4417-9FA9-05433BFD6A68}" id="{23A8131E-B157-427A-A81A-5715DB43AEC1}">
    <text>Organisme de financement CEE</text>
  </threadedComment>
  <threadedComment ref="V47" dT="2021-06-17T06:57:06.08" personId="{5014EF73-2909-4417-9FA9-05433BFD6A68}" id="{5EC8D3F3-C638-493F-8ED4-5FD323030CB8}">
    <text>Validation du CVR / DR / Compta selon le cas.</text>
  </threadedComment>
  <threadedComment ref="F48" dT="2021-06-14T14:04:59.79" personId="{5014EF73-2909-4417-9FA9-05433BFD6A68}" id="{5AACEB12-3E98-463A-8AB3-5EE40E9A6251}">
    <text>Versement de la prime au client ou Airflux</text>
  </threadedComment>
  <threadedComment ref="A49" dT="2021-06-14T14:02:33.94" personId="{5014EF73-2909-4417-9FA9-05433BFD6A68}" id="{A82E2DE9-05E6-4BA6-995C-CBA84DAAF0CF}">
    <text>Termes de paiement négociés avec le client</text>
  </threadedComment>
  <threadedComment ref="A64" dT="2021-06-14T14:09:35.25" personId="{5014EF73-2909-4417-9FA9-05433BFD6A68}" id="{085F5364-2496-413B-8A86-087BA1A1D7EA}">
    <text>Merci d'ajouter tous les commentaires non prévu ci-dessus.</text>
  </threadedComment>
</ThreadedComments>
</file>

<file path=xl/threadedComments/threadedComment2.xml><?xml version="1.0" encoding="utf-8"?>
<ThreadedComments xmlns="http://schemas.microsoft.com/office/spreadsheetml/2018/threadedcomments" xmlns:x="http://schemas.openxmlformats.org/spreadsheetml/2006/main">
  <threadedComment ref="Y5" dT="2021-06-14T13:59:13.68" personId="{5014EF73-2909-4417-9FA9-05433BFD6A68}" id="{597034F6-F48E-4876-9FEB-68A171EF3A2F}">
    <text>Nom du client</text>
  </threadedComment>
  <threadedComment ref="Y6" dT="2021-11-03T15:32:48.03" personId="{5014EF73-2909-4417-9FA9-05433BFD6A68}" id="{4166572D-7958-4817-BB63-51D8B6AE692B}">
    <text>Numéro de devis Divalto ou devis Commercial pour suivi.</text>
  </threadedComment>
  <threadedComment ref="Y7" dT="2021-06-14T13:59:25.61" personId="{5014EF73-2909-4417-9FA9-05433BFD6A68}" id="{53DDD482-FE01-4C3B-9BC0-2BFE5FBB1F44}">
    <text>Code C00xxxxx.
Si nouveau client, le signaler et préparer la fiche d'ouverture de compte client.</text>
  </threadedComment>
  <threadedComment ref="Y8" dT="2021-06-14T13:59:36.52" personId="{5014EF73-2909-4417-9FA9-05433BFD6A68}" id="{44A20BEC-F8CA-42D4-8D43-E408EBDB27E5}">
    <text>Numéro d'affaire 08xxxxxx</text>
  </threadedComment>
  <threadedComment ref="Y9" dT="2021-06-17T06:55:04.15" personId="{5014EF73-2909-4417-9FA9-05433BFD6A68}" id="{8F9C13F7-0901-437D-931F-E5DC25322847}">
    <text>Code à 5 chiffres</text>
  </threadedComment>
  <threadedComment ref="T107" dT="2022-01-31T09:35:24.93" personId="{5014EF73-2909-4417-9FA9-05433BFD6A68}" id="{4C30EF6F-C462-4C52-BAB2-4A855901302A}">
    <text>Total des PV (Colonnes AH-AJ)</text>
  </threadedComment>
  <threadedComment ref="T108" dT="2022-01-31T09:36:59.77" personId="{5014EF73-2909-4417-9FA9-05433BFD6A68}" id="{30CCB22C-4D81-45D0-8F7E-6C2854247CA8}">
    <text>Montant de la vente</text>
  </threadedComment>
  <threadedComment ref="T109" dT="2022-01-31T09:36:26.75" personId="{5014EF73-2909-4417-9FA9-05433BFD6A68}" id="{EA7354F8-48D8-4BD2-A90B-3EA02F3E1299}">
    <text>Total PA (Colonnes AB-AD)</text>
  </threadedComment>
</ThreadedComments>
</file>

<file path=xl/threadedComments/threadedComment3.xml><?xml version="1.0" encoding="utf-8"?>
<ThreadedComments xmlns="http://schemas.microsoft.com/office/spreadsheetml/2018/threadedcomments" xmlns:x="http://schemas.openxmlformats.org/spreadsheetml/2006/main">
  <threadedComment ref="Z5" dT="2021-06-14T13:59:13.68" personId="{5014EF73-2909-4417-9FA9-05433BFD6A68}" id="{7A82EA3B-A85E-4E47-86C1-23D32228F528}">
    <text>Nom du client</text>
  </threadedComment>
  <threadedComment ref="Z6" dT="2021-11-03T15:32:48.03" personId="{5014EF73-2909-4417-9FA9-05433BFD6A68}" id="{CD7AB528-EFBD-40F1-A0AF-F93122160E2C}">
    <text>Numéro de devis Divalto ou devis Commercial pour suivi.</text>
  </threadedComment>
  <threadedComment ref="Z7" dT="2021-06-14T13:59:25.61" personId="{5014EF73-2909-4417-9FA9-05433BFD6A68}" id="{D20E56BD-CFDC-4B71-9120-BD2913CE0874}">
    <text>Code C00xxxxx.
Si nouveau client, le signaler et préparer la fiche d'ouverture de compte client.</text>
  </threadedComment>
  <threadedComment ref="Z8" dT="2021-06-14T13:59:36.52" personId="{5014EF73-2909-4417-9FA9-05433BFD6A68}" id="{4EB3E86E-0AD6-450A-8447-362254C7B9BA}">
    <text>Numéro d'affaire 08xxxxxx</text>
  </threadedComment>
  <threadedComment ref="Z9" dT="2021-06-17T06:55:04.15" personId="{5014EF73-2909-4417-9FA9-05433BFD6A68}" id="{FC2EA202-4258-4D0B-95D4-B7D9DF4BBC74}">
    <text>Code à 5 chiffres</text>
  </threadedComment>
  <threadedComment ref="F11" dT="2021-06-14T15:31:36.35" personId="{5014EF73-2909-4417-9FA9-05433BFD6A68}" id="{51CD7C1A-D9D6-441F-8456-C254721DF0AF}">
    <text>Fiche de Jérémy Versari</text>
  </threadedComment>
  <threadedComment ref="H28" dT="2021-06-14T14:06:26.61" personId="{5014EF73-2909-4417-9FA9-05433BFD6A68}" id="{5FF64506-2862-41F9-BB65-C61E6BE24290}">
    <text>Indiquer les matériels exitants à supprimier réutiliser et les matériels determinés à ajouter.</text>
  </threadedComment>
  <threadedComment ref="AK30" dT="2021-06-21T08:35:03.04" personId="{5014EF73-2909-4417-9FA9-05433BFD6A68}" id="{C92AA76E-FFAC-4D0C-9554-E3EE11B32859}">
    <text>Diamètre de raccordement</text>
  </threadedComment>
  <threadedComment ref="O40" dT="2021-06-21T08:36:06.45" personId="{5014EF73-2909-4417-9FA9-05433BFD6A68}" id="{A96BA3DE-FAEE-41DB-93F3-2E9784E30632}">
    <text>Hauteur manomètrique Totale</text>
  </threadedComment>
</ThreadedComments>
</file>

<file path=xl/threadedComments/threadedComment4.xml><?xml version="1.0" encoding="utf-8"?>
<ThreadedComments xmlns="http://schemas.microsoft.com/office/spreadsheetml/2018/threadedcomments" xmlns:x="http://schemas.openxmlformats.org/spreadsheetml/2006/main">
  <threadedComment ref="Z5" dT="2021-06-14T13:59:13.68" personId="{5014EF73-2909-4417-9FA9-05433BFD6A68}" id="{B2B00BAB-52FA-4E30-821A-0D3BB17F33F0}">
    <text>Nom du client</text>
  </threadedComment>
  <threadedComment ref="Z6" dT="2021-11-03T15:32:48.03" personId="{5014EF73-2909-4417-9FA9-05433BFD6A68}" id="{507F88D5-81A0-4C5C-808F-D41B67B2F751}">
    <text>Numéro de devis Divalto ou devis Commercial pour suivi.</text>
  </threadedComment>
  <threadedComment ref="Z7" dT="2021-06-14T13:59:25.61" personId="{5014EF73-2909-4417-9FA9-05433BFD6A68}" id="{9040DC1D-5E16-47F9-9108-7DABE9CE7E21}">
    <text>Code C00xxxxx.
Si nouveau client, le signaler et préparer la fiche d'ouverture de compte client.</text>
  </threadedComment>
  <threadedComment ref="Z8" dT="2021-06-14T13:59:36.52" personId="{5014EF73-2909-4417-9FA9-05433BFD6A68}" id="{36396C0F-E6B4-4529-8911-17E64F163327}">
    <text>Numéro d'affaire 08xxxxxx</text>
  </threadedComment>
  <threadedComment ref="Z9" dT="2021-06-17T06:55:04.15" personId="{5014EF73-2909-4417-9FA9-05433BFD6A68}" id="{F24582F3-F04E-4399-AF93-6838597ED3BC}">
    <text>Code à 5 chiffres</text>
  </threadedComment>
  <threadedComment ref="H21" dT="2021-06-14T14:06:26.61" personId="{5014EF73-2909-4417-9FA9-05433BFD6A68}" id="{884E92FE-49CD-4522-B3C7-771771F31E46}">
    <text>Indiquer les matériels exitants à supprimier réutiliser et les matériels determinés à ajouter.</text>
  </threadedComment>
  <threadedComment ref="AK23" dT="2021-06-21T08:39:18.02" personId="{5014EF73-2909-4417-9FA9-05433BFD6A68}" id="{4326CAA7-AD2F-4FD8-B1D5-4CD89178F00D}">
    <text>Raccordement</text>
  </threadedComment>
  <threadedComment ref="V56" dT="2021-06-14T14:07:26.92" personId="{5014EF73-2909-4417-9FA9-05433BFD6A68}" id="{D66F5670-74F2-487A-97D1-7AFDD3C03A9D}">
    <text>Doit-on prévoir un retour de compresseur ? A signaler à Chantal pour le sortir de l'affaire.</text>
  </threadedComment>
  <threadedComment ref="A57" dT="2021-06-14T14:08:05.12" personId="{5014EF73-2909-4417-9FA9-05433BFD6A68}" id="{643F4ABD-DA0E-4978-8FFA-B5A78A255485}">
    <text>Etude de récup calorie à réaliser.</text>
  </threadedComment>
  <threadedComment ref="V57" dT="2021-06-14T14:07:46.65" personId="{5014EF73-2909-4417-9FA9-05433BFD6A68}" id="{879E7B15-4586-4EFC-9523-4AE60F7E32C0}">
    <text>Le cas échéant remplir la feuille de reprise pour Second'Air.</text>
  </threadedComment>
</ThreadedComments>
</file>

<file path=xl/threadedComments/threadedComment5.xml><?xml version="1.0" encoding="utf-8"?>
<ThreadedComments xmlns="http://schemas.microsoft.com/office/spreadsheetml/2018/threadedcomments" xmlns:x="http://schemas.openxmlformats.org/spreadsheetml/2006/main">
  <threadedComment ref="U5" dT="2021-06-14T13:59:13.68" personId="{5014EF73-2909-4417-9FA9-05433BFD6A68}" id="{042D53B0-6A57-47E4-B311-81283265AE69}">
    <text>Nom du client</text>
  </threadedComment>
  <threadedComment ref="U6" dT="2021-11-03T15:32:48.03" personId="{5014EF73-2909-4417-9FA9-05433BFD6A68}" id="{A3EBD57D-DEFF-4ACC-8258-2CB55E0F8EBF}">
    <text>Numéro de devis Divalto ou devis Commercial pour suivi.</text>
  </threadedComment>
  <threadedComment ref="U7" dT="2021-06-14T13:59:25.61" personId="{5014EF73-2909-4417-9FA9-05433BFD6A68}" id="{632927AB-9C81-4AA5-A6DB-AC7C0887A988}">
    <text>Code C00xxxxx.
Si nouveau client, le signaler et préparer la fiche d'ouverture de compte client.</text>
  </threadedComment>
  <threadedComment ref="U8" dT="2021-06-14T13:59:36.52" personId="{5014EF73-2909-4417-9FA9-05433BFD6A68}" id="{7FB2B523-B38B-4529-9A9D-F6C59F0BD334}">
    <text>Numéro d'affaire 08xxxxxx</text>
  </threadedComment>
  <threadedComment ref="U9" dT="2021-06-17T06:55:04.15" personId="{5014EF73-2909-4417-9FA9-05433BFD6A68}" id="{1CEF8C32-E02A-4660-B720-E9BA31BDEE03}">
    <text>Code à 5 chiffres</text>
  </threadedComment>
  <threadedComment ref="A19" dT="2021-06-17T08:15:10.28" personId="{5014EF73-2909-4417-9FA9-05433BFD6A68}" id="{8C8A688D-385C-4AAF-8248-620B2A03A222}">
    <text>Moyen d'accès en hauteur, nécessite Casses</text>
  </threadedComment>
  <threadedComment ref="A27" dT="2021-06-14T14:09:35.25" personId="{5014EF73-2909-4417-9FA9-05433BFD6A68}" id="{72CA6EED-7964-4695-A96E-97057CA327EE}">
    <text>Merci d'ajouter tous les commentaires non prévu ci-dessus.</text>
  </threadedComment>
</ThreadedComments>
</file>

<file path=xl/threadedComments/threadedComment6.xml><?xml version="1.0" encoding="utf-8"?>
<ThreadedComments xmlns="http://schemas.microsoft.com/office/spreadsheetml/2018/threadedcomments" xmlns:x="http://schemas.openxmlformats.org/spreadsheetml/2006/main">
  <threadedComment ref="U5" dT="2021-06-14T13:59:13.68" personId="{5014EF73-2909-4417-9FA9-05433BFD6A68}" id="{C45F2740-1092-4206-9E6F-764AD3274BB2}">
    <text>Nom du client</text>
  </threadedComment>
  <threadedComment ref="U6" dT="2021-11-03T15:32:48.03" personId="{5014EF73-2909-4417-9FA9-05433BFD6A68}" id="{214DA2A0-1DD7-48EC-B3C7-B858C74EA5AF}">
    <text>Numéro de devis Divalto ou devis Commercial pour suivi.</text>
  </threadedComment>
  <threadedComment ref="U7" dT="2021-06-14T13:59:25.61" personId="{5014EF73-2909-4417-9FA9-05433BFD6A68}" id="{9FB2BF58-4C21-4AD4-AD5C-A135E00914B9}">
    <text>Code C00xxxxx.
Si nouveau client, le signaler et préparer la fiche d'ouverture de compte client.</text>
  </threadedComment>
  <threadedComment ref="U8" dT="2021-06-14T13:59:36.52" personId="{5014EF73-2909-4417-9FA9-05433BFD6A68}" id="{1EF9ACAD-4994-4253-95E9-73AC2359D52D}">
    <text>Numéro d'affaire 08xxxxxx</text>
  </threadedComment>
  <threadedComment ref="U9" dT="2021-06-17T06:55:04.15" personId="{5014EF73-2909-4417-9FA9-05433BFD6A68}" id="{D771AE50-B026-4869-A2A7-5ABEC22B1520}">
    <text>Code à 5 chiffres</text>
  </threadedComment>
</ThreadedComments>
</file>

<file path=xl/threadedComments/threadedComment7.xml><?xml version="1.0" encoding="utf-8"?>
<ThreadedComments xmlns="http://schemas.microsoft.com/office/spreadsheetml/2018/threadedcomments" xmlns:x="http://schemas.openxmlformats.org/spreadsheetml/2006/main">
  <threadedComment ref="U5" dT="2021-06-14T13:59:13.68" personId="{5014EF73-2909-4417-9FA9-05433BFD6A68}" id="{89924D3F-2DD3-4C08-A65F-A4343DFB4BBA}">
    <text>Nom du client</text>
  </threadedComment>
  <threadedComment ref="U6" dT="2021-11-03T15:32:48.03" personId="{5014EF73-2909-4417-9FA9-05433BFD6A68}" id="{341B20E2-03EF-424E-8DBF-1E03D7CD14C3}">
    <text>Numéro de devis Divalto ou devis Commercial pour suivi.</text>
  </threadedComment>
  <threadedComment ref="U7" dT="2021-06-14T13:59:25.61" personId="{5014EF73-2909-4417-9FA9-05433BFD6A68}" id="{2225187F-A6F5-4A29-978F-3F72766C6804}">
    <text>Code C00xxxxx.
Si nouveau client, le signaler et préparer la fiche d'ouverture de compte client.</text>
  </threadedComment>
  <threadedComment ref="U8" dT="2021-06-14T13:59:36.52" personId="{5014EF73-2909-4417-9FA9-05433BFD6A68}" id="{BF6B29C5-1118-4AEC-B91F-3DAAA981ACBD}">
    <text>Numéro d'affaire 08xxxxxx</text>
  </threadedComment>
  <threadedComment ref="U9" dT="2021-06-17T06:55:04.15" personId="{5014EF73-2909-4417-9FA9-05433BFD6A68}" id="{D983094A-A6F4-4DED-A2A7-D1924F472BB4}">
    <text>Code à 5 chiffres</text>
  </threadedComment>
</ThreadedComments>
</file>

<file path=xl/threadedComments/threadedComment8.xml><?xml version="1.0" encoding="utf-8"?>
<ThreadedComments xmlns="http://schemas.microsoft.com/office/spreadsheetml/2018/threadedcomments" xmlns:x="http://schemas.openxmlformats.org/spreadsheetml/2006/main">
  <threadedComment ref="U5" dT="2021-06-14T13:59:13.68" personId="{5014EF73-2909-4417-9FA9-05433BFD6A68}" id="{9F845057-08D4-4EF6-A239-BF40DB8535D2}">
    <text>Nom du client</text>
  </threadedComment>
  <threadedComment ref="U6" dT="2021-11-03T15:32:48.03" personId="{5014EF73-2909-4417-9FA9-05433BFD6A68}" id="{E9BBD9AF-41A8-478F-93B6-B441B05E87DD}">
    <text>Numéro de devis Divalto ou devis Commercial pour suivi.</text>
  </threadedComment>
  <threadedComment ref="U7" dT="2021-06-14T13:59:25.61" personId="{5014EF73-2909-4417-9FA9-05433BFD6A68}" id="{8F90C4A1-CA35-464B-BFAB-CF7591A19F09}">
    <text>Code C00xxxxx.
Si nouveau client, le signaler et préparer la fiche d'ouverture de compte client.</text>
  </threadedComment>
  <threadedComment ref="U8" dT="2021-06-14T13:59:36.52" personId="{5014EF73-2909-4417-9FA9-05433BFD6A68}" id="{7400772E-CAA9-4CAD-8773-6CF1FA92E2CB}">
    <text>Numéro d'affaire 08xxxxxx</text>
  </threadedComment>
  <threadedComment ref="U9" dT="2021-06-17T06:55:04.15" personId="{5014EF73-2909-4417-9FA9-05433BFD6A68}" id="{3635A72D-B4E7-4304-99A3-ECECEF26F983}">
    <text>Code à 5 chiffres</text>
  </threadedComment>
</ThreadedComments>
</file>

<file path=xl/threadedComments/threadedComment9.xml><?xml version="1.0" encoding="utf-8"?>
<ThreadedComments xmlns="http://schemas.microsoft.com/office/spreadsheetml/2018/threadedcomments" xmlns:x="http://schemas.openxmlformats.org/spreadsheetml/2006/main">
  <threadedComment ref="U5" dT="2021-06-14T13:59:13.68" personId="{5014EF73-2909-4417-9FA9-05433BFD6A68}" id="{D94C7AF5-DC69-44D6-92FE-1A9E5B1A83A6}">
    <text>Nom du client</text>
  </threadedComment>
  <threadedComment ref="U6" dT="2021-11-03T15:32:48.03" personId="{5014EF73-2909-4417-9FA9-05433BFD6A68}" id="{78EC980D-9313-420E-BCD4-EE089263E767}">
    <text>Numéro de devis Divalto ou devis Commercial pour suivi.</text>
  </threadedComment>
  <threadedComment ref="U7" dT="2021-06-14T13:59:25.61" personId="{5014EF73-2909-4417-9FA9-05433BFD6A68}" id="{D8679B24-585B-440A-96E6-1019C3A4B6F2}">
    <text>Code C00xxxxx.
Si nouveau client, le signaler et préparer la fiche d'ouverture de compte client.</text>
  </threadedComment>
  <threadedComment ref="U8" dT="2021-06-14T13:59:36.52" personId="{5014EF73-2909-4417-9FA9-05433BFD6A68}" id="{B0BCE266-1A69-4081-ACA6-9C6AA546C620}">
    <text>Numéro d'affaire 08xxxxxx</text>
  </threadedComment>
  <threadedComment ref="U9" dT="2021-06-17T06:55:04.15" personId="{5014EF73-2909-4417-9FA9-05433BFD6A68}" id="{3F65A82F-3C6D-4495-B02C-90A0270F68F2}">
    <text>Code à 5 chiffres</text>
  </threadedComment>
</ThreadedComments>
</file>

<file path=xl/threadedComments/threadedComment10.xml><?xml version="1.0" encoding="utf-8"?>
<ThreadedComments xmlns="http://schemas.microsoft.com/office/spreadsheetml/2018/threadedcomments" xmlns:x="http://schemas.openxmlformats.org/spreadsheetml/2006/main">
  <threadedComment ref="U5" dT="2021-06-14T13:59:13.68" personId="{5014EF73-2909-4417-9FA9-05433BFD6A68}" id="{19DEE1D8-F077-49BC-9AD7-6F5735FB5588}">
    <text>Nom du client</text>
  </threadedComment>
  <threadedComment ref="U7" dT="2021-06-14T13:59:25.61" personId="{5014EF73-2909-4417-9FA9-05433BFD6A68}" id="{84A043C3-9713-4CB6-B9E0-BF69FDEA5FFC}">
    <text>Code C00xxxxx</text>
  </threadedComment>
  <threadedComment ref="U8" dT="2021-06-14T13:59:36.52" personId="{5014EF73-2909-4417-9FA9-05433BFD6A68}" id="{E4C4D689-6D02-4951-BF5E-8677C27ACBF3}">
    <text>Numéro d'affaire 08xxxxxx</text>
  </threadedComment>
  <threadedComment ref="U9" dT="2021-06-17T06:55:04.15" personId="{5014EF73-2909-4417-9FA9-05433BFD6A68}" id="{F27F9C34-FE17-4663-B343-AFF3593AE5DD}">
    <text>Code à 5 chiffres</text>
  </threadedComment>
</ThreadedComments>
</file>

<file path=xl/threadedComments/threadedComment11.xml><?xml version="1.0" encoding="utf-8"?>
<ThreadedComments xmlns="http://schemas.microsoft.com/office/spreadsheetml/2018/threadedcomments" xmlns:x="http://schemas.openxmlformats.org/spreadsheetml/2006/main">
  <threadedComment ref="U5" dT="2021-06-14T13:59:13.68" personId="{5014EF73-2909-4417-9FA9-05433BFD6A68}" id="{B2911AE8-FBCD-4118-8AE3-0AEB546C0C32}">
    <text>Nom du client</text>
  </threadedComment>
  <threadedComment ref="U7" dT="2021-06-14T13:59:25.61" personId="{5014EF73-2909-4417-9FA9-05433BFD6A68}" id="{9D79CE1D-D8A2-4E14-A1FC-71A1C63950CD}">
    <text>Code C00xxxxx</text>
  </threadedComment>
  <threadedComment ref="U8" dT="2021-06-14T13:59:36.52" personId="{5014EF73-2909-4417-9FA9-05433BFD6A68}" id="{7FA4C144-CFF0-4410-A7C1-8B093F2B554B}">
    <text>Numéro d'affaire 08xxxxxx</text>
  </threadedComment>
  <threadedComment ref="U9" dT="2021-06-17T06:55:04.15" personId="{5014EF73-2909-4417-9FA9-05433BFD6A68}" id="{3BD079C2-85B2-4A8D-B670-5BF914748160}">
    <text>Code à 5 chiffres</text>
  </threadedComment>
</ThreadedComments>
</file>

<file path=xl/threadedComments/threadedComment12.xml><?xml version="1.0" encoding="utf-8"?>
<ThreadedComments xmlns="http://schemas.microsoft.com/office/spreadsheetml/2018/threadedcomments" xmlns:x="http://schemas.openxmlformats.org/spreadsheetml/2006/main">
  <threadedComment ref="O1" dT="2022-01-12T17:20:55.76" personId="{5014EF73-2909-4417-9FA9-05433BFD6A68}" id="{E0B1C3DB-57EA-457C-B510-1BD9B61C1020}">
    <text>Ex : CDS125</text>
  </threadedComment>
  <threadedComment ref="X3" dT="2022-01-12T17:21:06.97" personId="{5014EF73-2909-4417-9FA9-05433BFD6A68}" id="{9A2D3883-5900-4EE9-A9D0-3E8F3D1477E9}">
    <text>Ex : CSDX.3</text>
  </threadedComment>
  <threadedComment ref="J4" dT="2022-01-12T17:21:26.02" personId="{5014EF73-2909-4417-9FA9-05433BFD6A68}" id="{E2A45AC3-CBC7-4294-892B-34437791BB12}">
    <text>Ex : SIGMA 37</text>
  </threadedComment>
  <threadedComment ref="J5" dT="2022-01-12T17:21:36.69" personId="{5014EF73-2909-4417-9FA9-05433BFD6A68}" id="{35D8D53A-5773-4F2F-9AC5-99DF8A09A3E4}">
    <text>Ex : UCxxxxxx</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17/10/relationships/threadedComment" Target="../threadedComments/threadedComment1.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10.xml"/><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11.xml"/><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4" Type="http://schemas.microsoft.com/office/2017/10/relationships/threadedComment" Target="../threadedComments/threadedComment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3BFAF-D7DE-4B0C-8E06-E33AC72ED00B}">
  <sheetPr codeName="Feuil1">
    <tabColor theme="5" tint="0.59999389629810485"/>
    <pageSetUpPr fitToPage="1"/>
  </sheetPr>
  <dimension ref="A1:AH76"/>
  <sheetViews>
    <sheetView view="pageBreakPreview" topLeftCell="A58" zoomScale="190" zoomScaleNormal="130" zoomScaleSheetLayoutView="190" workbookViewId="0">
      <selection activeCell="AF63" sqref="AF63"/>
    </sheetView>
  </sheetViews>
  <sheetFormatPr baseColWidth="10" defaultColWidth="11.42578125" defaultRowHeight="15"/>
  <cols>
    <col min="1" max="1" width="3.7109375" customWidth="1"/>
    <col min="2" max="15" width="2.7109375" customWidth="1"/>
    <col min="16" max="16" width="3.7109375" customWidth="1"/>
    <col min="17" max="30" width="2.7109375" customWidth="1"/>
  </cols>
  <sheetData>
    <row r="1" spans="1:33" ht="12.95" customHeight="1">
      <c r="P1" s="227" t="s">
        <v>0</v>
      </c>
      <c r="Q1" s="227"/>
      <c r="R1" s="227"/>
      <c r="S1" s="227"/>
      <c r="T1" s="227"/>
      <c r="U1" s="227"/>
      <c r="V1" s="227"/>
      <c r="W1" s="227"/>
      <c r="X1" s="227"/>
      <c r="Y1" s="227"/>
      <c r="Z1" s="227"/>
      <c r="AA1" s="227"/>
      <c r="AB1" s="227"/>
      <c r="AC1" s="227"/>
      <c r="AD1" s="227"/>
    </row>
    <row r="2" spans="1:33" ht="12.95" customHeight="1">
      <c r="P2" s="228"/>
      <c r="Q2" s="228"/>
      <c r="R2" s="228"/>
      <c r="S2" s="228"/>
      <c r="T2" s="228"/>
      <c r="U2" s="228"/>
      <c r="V2" s="228"/>
      <c r="W2" s="228"/>
      <c r="X2" s="228"/>
      <c r="Y2" s="228"/>
      <c r="Z2" s="228"/>
      <c r="AA2" s="228"/>
      <c r="AB2" s="228"/>
      <c r="AC2" s="228"/>
      <c r="AD2" s="228"/>
    </row>
    <row r="3" spans="1:33" ht="14.1" customHeight="1">
      <c r="P3" s="228"/>
      <c r="Q3" s="228"/>
      <c r="R3" s="228"/>
      <c r="S3" s="228"/>
      <c r="T3" s="228"/>
      <c r="U3" s="228"/>
      <c r="V3" s="228"/>
      <c r="W3" s="228"/>
      <c r="X3" s="228"/>
      <c r="Y3" s="228"/>
      <c r="Z3" s="228"/>
      <c r="AA3" s="228"/>
      <c r="AB3" s="228"/>
      <c r="AC3" s="228"/>
      <c r="AD3" s="228"/>
    </row>
    <row r="4" spans="1:33" ht="14.1" customHeight="1" thickBot="1">
      <c r="P4" s="229"/>
      <c r="Q4" s="229"/>
      <c r="R4" s="229"/>
      <c r="S4" s="229"/>
      <c r="T4" s="229"/>
      <c r="U4" s="229"/>
      <c r="V4" s="229"/>
      <c r="W4" s="229"/>
      <c r="X4" s="229"/>
      <c r="Y4" s="229"/>
      <c r="Z4" s="229"/>
      <c r="AA4" s="229"/>
      <c r="AB4" s="229"/>
      <c r="AC4" s="229"/>
      <c r="AD4" s="229"/>
    </row>
    <row r="5" spans="1:33" ht="14.1" customHeight="1">
      <c r="A5" s="139" t="s">
        <v>1</v>
      </c>
      <c r="B5" s="140"/>
      <c r="C5" s="140"/>
      <c r="D5" s="140"/>
      <c r="E5" s="140"/>
      <c r="F5" s="140"/>
      <c r="G5" s="140"/>
      <c r="H5" s="140"/>
      <c r="I5" s="140"/>
      <c r="J5" s="140"/>
      <c r="K5" s="140"/>
      <c r="L5" s="140"/>
      <c r="M5" s="140"/>
      <c r="N5" s="140"/>
      <c r="O5" s="141"/>
      <c r="P5" s="182" t="s">
        <v>2</v>
      </c>
      <c r="Q5" s="183"/>
      <c r="R5" s="183"/>
      <c r="S5" s="183"/>
      <c r="T5" s="184"/>
      <c r="U5" s="185"/>
      <c r="V5" s="186"/>
      <c r="W5" s="186"/>
      <c r="X5" s="186"/>
      <c r="Y5" s="186"/>
      <c r="Z5" s="186"/>
      <c r="AA5" s="186"/>
      <c r="AB5" s="186"/>
      <c r="AC5" s="186"/>
      <c r="AD5" s="187"/>
    </row>
    <row r="6" spans="1:33" ht="14.1" customHeight="1" thickBot="1">
      <c r="A6" s="142"/>
      <c r="B6" s="143"/>
      <c r="C6" s="143"/>
      <c r="D6" s="143"/>
      <c r="E6" s="143"/>
      <c r="F6" s="143"/>
      <c r="G6" s="143"/>
      <c r="H6" s="143"/>
      <c r="I6" s="143"/>
      <c r="J6" s="143"/>
      <c r="K6" s="143"/>
      <c r="L6" s="143"/>
      <c r="M6" s="143"/>
      <c r="N6" s="143"/>
      <c r="O6" s="144"/>
      <c r="P6" s="178" t="s">
        <v>3</v>
      </c>
      <c r="Q6" s="179"/>
      <c r="R6" s="179"/>
      <c r="S6" s="179"/>
      <c r="T6" s="180"/>
      <c r="U6" s="188"/>
      <c r="V6" s="189"/>
      <c r="W6" s="189"/>
      <c r="X6" s="189"/>
      <c r="Y6" s="189"/>
      <c r="Z6" s="189"/>
      <c r="AA6" s="189"/>
      <c r="AB6" s="189"/>
      <c r="AC6" s="189"/>
      <c r="AD6" s="190"/>
    </row>
    <row r="7" spans="1:33" ht="15.95" customHeight="1">
      <c r="A7" s="147" t="s">
        <v>4</v>
      </c>
      <c r="B7" s="148"/>
      <c r="C7" s="148"/>
      <c r="D7" s="148"/>
      <c r="E7" s="148"/>
      <c r="F7" s="148"/>
      <c r="G7" s="158"/>
      <c r="H7" s="158"/>
      <c r="I7" s="158"/>
      <c r="J7" s="158"/>
      <c r="K7" s="158"/>
      <c r="L7" s="158"/>
      <c r="M7" s="158"/>
      <c r="N7" s="158"/>
      <c r="O7" s="159"/>
      <c r="P7" s="256" t="s">
        <v>5</v>
      </c>
      <c r="Q7" s="257"/>
      <c r="R7" s="257"/>
      <c r="S7" s="257"/>
      <c r="T7" s="258"/>
      <c r="U7" s="188"/>
      <c r="V7" s="189"/>
      <c r="W7" s="189"/>
      <c r="X7" s="189"/>
      <c r="Y7" s="189"/>
      <c r="Z7" s="189"/>
      <c r="AA7" s="189"/>
      <c r="AB7" s="189"/>
      <c r="AC7" s="189"/>
      <c r="AD7" s="190"/>
    </row>
    <row r="8" spans="1:33" ht="15.95" customHeight="1">
      <c r="A8" s="147" t="s">
        <v>6</v>
      </c>
      <c r="B8" s="148"/>
      <c r="C8" s="148"/>
      <c r="D8" s="148"/>
      <c r="E8" s="148"/>
      <c r="F8" s="148"/>
      <c r="G8" s="158"/>
      <c r="H8" s="158"/>
      <c r="I8" s="158"/>
      <c r="J8" s="158"/>
      <c r="K8" s="158"/>
      <c r="L8" s="158"/>
      <c r="M8" s="158"/>
      <c r="N8" s="158"/>
      <c r="O8" s="159"/>
      <c r="P8" s="178" t="s">
        <v>7</v>
      </c>
      <c r="Q8" s="179"/>
      <c r="R8" s="179"/>
      <c r="S8" s="179"/>
      <c r="T8" s="180"/>
      <c r="U8" s="171"/>
      <c r="V8" s="172"/>
      <c r="W8" s="172"/>
      <c r="X8" s="172"/>
      <c r="Y8" s="172"/>
      <c r="Z8" s="172"/>
      <c r="AA8" s="172"/>
      <c r="AB8" s="172"/>
      <c r="AC8" s="172"/>
      <c r="AD8" s="173"/>
    </row>
    <row r="9" spans="1:33" ht="15.95" customHeight="1" thickBot="1">
      <c r="A9" s="145" t="s">
        <v>8</v>
      </c>
      <c r="B9" s="146"/>
      <c r="C9" s="146"/>
      <c r="D9" s="146"/>
      <c r="E9" s="146"/>
      <c r="F9" s="146"/>
      <c r="G9" s="166"/>
      <c r="H9" s="166"/>
      <c r="I9" s="166"/>
      <c r="J9" s="166"/>
      <c r="K9" s="166"/>
      <c r="L9" s="166"/>
      <c r="M9" s="166"/>
      <c r="N9" s="166"/>
      <c r="O9" s="167"/>
      <c r="P9" s="145" t="s">
        <v>9</v>
      </c>
      <c r="Q9" s="146"/>
      <c r="R9" s="146"/>
      <c r="S9" s="146"/>
      <c r="T9" s="146"/>
      <c r="U9" s="174"/>
      <c r="V9" s="174"/>
      <c r="W9" s="174"/>
      <c r="X9" s="174"/>
      <c r="Y9" s="174"/>
      <c r="Z9" s="174"/>
      <c r="AA9" s="174"/>
      <c r="AB9" s="174"/>
      <c r="AC9" s="174"/>
      <c r="AD9" s="175"/>
    </row>
    <row r="10" spans="1:33" ht="15.95" customHeight="1">
      <c r="A10" s="168" t="s">
        <v>10</v>
      </c>
      <c r="B10" s="169"/>
      <c r="C10" s="169"/>
      <c r="D10" s="169"/>
      <c r="E10" s="169"/>
      <c r="F10" s="169"/>
      <c r="G10" s="169"/>
      <c r="H10" s="169"/>
      <c r="I10" s="169"/>
      <c r="J10" s="169"/>
      <c r="K10" s="169"/>
      <c r="L10" s="169"/>
      <c r="M10" s="169"/>
      <c r="N10" s="169"/>
      <c r="O10" s="170"/>
      <c r="P10" s="168" t="s">
        <v>11</v>
      </c>
      <c r="Q10" s="169"/>
      <c r="R10" s="169"/>
      <c r="S10" s="169"/>
      <c r="T10" s="169"/>
      <c r="U10" s="169"/>
      <c r="V10" s="169"/>
      <c r="W10" s="169"/>
      <c r="X10" s="169"/>
      <c r="Y10" s="169"/>
      <c r="Z10" s="169"/>
      <c r="AA10" s="169"/>
      <c r="AB10" s="169"/>
      <c r="AC10" s="169"/>
      <c r="AD10" s="181"/>
    </row>
    <row r="11" spans="1:33" ht="15.95" customHeight="1">
      <c r="A11" s="160" t="s">
        <v>12</v>
      </c>
      <c r="B11" s="161"/>
      <c r="C11" s="161"/>
      <c r="D11" s="161"/>
      <c r="E11" s="161"/>
      <c r="F11" s="176"/>
      <c r="G11" s="176"/>
      <c r="H11" s="176"/>
      <c r="I11" s="176"/>
      <c r="J11" s="176"/>
      <c r="K11" s="176"/>
      <c r="L11" s="176"/>
      <c r="M11" s="176"/>
      <c r="N11" s="176"/>
      <c r="O11" s="188"/>
      <c r="P11" s="160" t="s">
        <v>13</v>
      </c>
      <c r="Q11" s="161"/>
      <c r="R11" s="176"/>
      <c r="S11" s="176"/>
      <c r="T11" s="176"/>
      <c r="U11" s="176"/>
      <c r="V11" s="176"/>
      <c r="W11" s="176"/>
      <c r="X11" s="176"/>
      <c r="Y11" s="176"/>
      <c r="Z11" s="176"/>
      <c r="AA11" s="176"/>
      <c r="AB11" s="176"/>
      <c r="AC11" s="176"/>
      <c r="AD11" s="177"/>
    </row>
    <row r="12" spans="1:33" ht="15.95" customHeight="1">
      <c r="A12" s="160" t="s">
        <v>14</v>
      </c>
      <c r="B12" s="161"/>
      <c r="C12" s="161"/>
      <c r="D12" s="161"/>
      <c r="E12" s="161"/>
      <c r="F12" s="176"/>
      <c r="G12" s="176"/>
      <c r="H12" s="176"/>
      <c r="I12" s="176"/>
      <c r="J12" s="176"/>
      <c r="K12" s="176"/>
      <c r="L12" s="176"/>
      <c r="M12" s="176"/>
      <c r="N12" s="176"/>
      <c r="O12" s="188"/>
      <c r="P12" s="160"/>
      <c r="Q12" s="161"/>
      <c r="R12" s="176"/>
      <c r="S12" s="176"/>
      <c r="T12" s="176"/>
      <c r="U12" s="176"/>
      <c r="V12" s="176"/>
      <c r="W12" s="176"/>
      <c r="X12" s="176"/>
      <c r="Y12" s="176"/>
      <c r="Z12" s="176"/>
      <c r="AA12" s="176"/>
      <c r="AB12" s="176"/>
      <c r="AC12" s="176"/>
      <c r="AD12" s="177"/>
    </row>
    <row r="13" spans="1:33" ht="15.95" customHeight="1">
      <c r="A13" s="160" t="s">
        <v>15</v>
      </c>
      <c r="B13" s="161"/>
      <c r="C13" s="161"/>
      <c r="D13" s="161"/>
      <c r="E13" s="161"/>
      <c r="F13" s="259"/>
      <c r="G13" s="176"/>
      <c r="H13" s="176"/>
      <c r="I13" s="176"/>
      <c r="J13" s="176"/>
      <c r="K13" s="176"/>
      <c r="L13" s="176"/>
      <c r="M13" s="176"/>
      <c r="N13" s="176"/>
      <c r="O13" s="188"/>
      <c r="P13" s="160"/>
      <c r="Q13" s="161"/>
      <c r="R13" s="176"/>
      <c r="S13" s="176"/>
      <c r="T13" s="176"/>
      <c r="U13" s="176"/>
      <c r="V13" s="176"/>
      <c r="W13" s="176"/>
      <c r="X13" s="176"/>
      <c r="Y13" s="176"/>
      <c r="Z13" s="176"/>
      <c r="AA13" s="176"/>
      <c r="AB13" s="176"/>
      <c r="AC13" s="176"/>
      <c r="AD13" s="177"/>
    </row>
    <row r="14" spans="1:33" ht="15.95" customHeight="1" thickBot="1">
      <c r="A14" s="145" t="s">
        <v>16</v>
      </c>
      <c r="B14" s="146"/>
      <c r="C14" s="146"/>
      <c r="D14" s="244"/>
      <c r="E14" s="174"/>
      <c r="F14" s="174"/>
      <c r="G14" s="174"/>
      <c r="H14" s="174"/>
      <c r="I14" s="174"/>
      <c r="J14" s="174"/>
      <c r="K14" s="174"/>
      <c r="L14" s="174"/>
      <c r="M14" s="174"/>
      <c r="N14" s="174"/>
      <c r="O14" s="207"/>
      <c r="P14" s="145" t="s">
        <v>17</v>
      </c>
      <c r="Q14" s="146"/>
      <c r="R14" s="174"/>
      <c r="S14" s="174"/>
      <c r="T14" s="174"/>
      <c r="U14" s="174"/>
      <c r="V14" s="264" t="s">
        <v>18</v>
      </c>
      <c r="W14" s="264"/>
      <c r="X14" s="174"/>
      <c r="Y14" s="174"/>
      <c r="Z14" s="174"/>
      <c r="AA14" s="174"/>
      <c r="AB14" s="174"/>
      <c r="AC14" s="174"/>
      <c r="AD14" s="175"/>
    </row>
    <row r="15" spans="1:33" ht="15.95" customHeight="1">
      <c r="A15" s="168" t="s">
        <v>19</v>
      </c>
      <c r="B15" s="169"/>
      <c r="C15" s="169"/>
      <c r="D15" s="169"/>
      <c r="E15" s="169"/>
      <c r="F15" s="169"/>
      <c r="G15" s="169"/>
      <c r="H15" s="169"/>
      <c r="I15" s="169"/>
      <c r="J15" s="169"/>
      <c r="K15" s="169"/>
      <c r="L15" s="169"/>
      <c r="M15" s="169"/>
      <c r="N15" s="169"/>
      <c r="O15" s="170"/>
      <c r="P15" s="168" t="s">
        <v>20</v>
      </c>
      <c r="Q15" s="169"/>
      <c r="R15" s="169"/>
      <c r="S15" s="169"/>
      <c r="T15" s="169"/>
      <c r="U15" s="169"/>
      <c r="V15" s="169"/>
      <c r="W15" s="169"/>
      <c r="X15" s="169"/>
      <c r="Y15" s="169"/>
      <c r="Z15" s="169"/>
      <c r="AA15" s="169"/>
      <c r="AB15" s="169"/>
      <c r="AC15" s="169"/>
      <c r="AD15" s="181"/>
    </row>
    <row r="16" spans="1:33" ht="15.95" customHeight="1">
      <c r="A16" s="160" t="s">
        <v>13</v>
      </c>
      <c r="B16" s="161"/>
      <c r="C16" s="162"/>
      <c r="D16" s="162"/>
      <c r="E16" s="162"/>
      <c r="F16" s="162"/>
      <c r="G16" s="162"/>
      <c r="H16" s="162"/>
      <c r="I16" s="162"/>
      <c r="J16" s="162"/>
      <c r="K16" s="162"/>
      <c r="L16" s="162"/>
      <c r="M16" s="162"/>
      <c r="N16" s="162"/>
      <c r="O16" s="163"/>
      <c r="P16" s="160" t="s">
        <v>13</v>
      </c>
      <c r="Q16" s="161"/>
      <c r="R16" s="162"/>
      <c r="S16" s="162"/>
      <c r="T16" s="162"/>
      <c r="U16" s="162"/>
      <c r="V16" s="162"/>
      <c r="W16" s="162"/>
      <c r="X16" s="162"/>
      <c r="Y16" s="162"/>
      <c r="Z16" s="162"/>
      <c r="AA16" s="162"/>
      <c r="AB16" s="162"/>
      <c r="AC16" s="162"/>
      <c r="AD16" s="263"/>
      <c r="AG16" t="s">
        <v>21</v>
      </c>
    </row>
    <row r="17" spans="1:34" ht="15.95" customHeight="1">
      <c r="A17" s="160"/>
      <c r="B17" s="161"/>
      <c r="C17" s="162"/>
      <c r="D17" s="162"/>
      <c r="E17" s="162"/>
      <c r="F17" s="162"/>
      <c r="G17" s="162"/>
      <c r="H17" s="162"/>
      <c r="I17" s="162"/>
      <c r="J17" s="162"/>
      <c r="K17" s="162"/>
      <c r="L17" s="162"/>
      <c r="M17" s="162"/>
      <c r="N17" s="162"/>
      <c r="O17" s="163"/>
      <c r="P17" s="160"/>
      <c r="Q17" s="161"/>
      <c r="R17" s="162"/>
      <c r="S17" s="162"/>
      <c r="T17" s="162"/>
      <c r="U17" s="162"/>
      <c r="V17" s="162"/>
      <c r="W17" s="162"/>
      <c r="X17" s="162"/>
      <c r="Y17" s="162"/>
      <c r="Z17" s="162"/>
      <c r="AA17" s="162"/>
      <c r="AB17" s="162"/>
      <c r="AC17" s="162"/>
      <c r="AD17" s="263"/>
      <c r="AG17" s="87" t="s">
        <v>22</v>
      </c>
      <c r="AH17" t="s">
        <v>23</v>
      </c>
    </row>
    <row r="18" spans="1:34" ht="15.95" customHeight="1">
      <c r="A18" s="160"/>
      <c r="B18" s="161"/>
      <c r="C18" s="162"/>
      <c r="D18" s="162"/>
      <c r="E18" s="162"/>
      <c r="F18" s="162"/>
      <c r="G18" s="162"/>
      <c r="H18" s="162"/>
      <c r="I18" s="162"/>
      <c r="J18" s="162"/>
      <c r="K18" s="162"/>
      <c r="L18" s="162"/>
      <c r="M18" s="162"/>
      <c r="N18" s="162"/>
      <c r="O18" s="163"/>
      <c r="P18" s="160"/>
      <c r="Q18" s="161"/>
      <c r="R18" s="162"/>
      <c r="S18" s="162"/>
      <c r="T18" s="162"/>
      <c r="U18" s="162"/>
      <c r="V18" s="162"/>
      <c r="W18" s="162"/>
      <c r="X18" s="162"/>
      <c r="Y18" s="162"/>
      <c r="Z18" s="162"/>
      <c r="AA18" s="162"/>
      <c r="AB18" s="162"/>
      <c r="AC18" s="162"/>
      <c r="AD18" s="263"/>
      <c r="AG18" t="s">
        <v>24</v>
      </c>
      <c r="AH18" t="s">
        <v>25</v>
      </c>
    </row>
    <row r="19" spans="1:34" ht="15.95" customHeight="1" thickBot="1">
      <c r="A19" s="145" t="s">
        <v>17</v>
      </c>
      <c r="B19" s="146"/>
      <c r="C19" s="164"/>
      <c r="D19" s="164"/>
      <c r="E19" s="164"/>
      <c r="F19" s="164"/>
      <c r="G19" s="146" t="s">
        <v>18</v>
      </c>
      <c r="H19" s="146"/>
      <c r="I19" s="164"/>
      <c r="J19" s="164"/>
      <c r="K19" s="164"/>
      <c r="L19" s="164"/>
      <c r="M19" s="164"/>
      <c r="N19" s="164"/>
      <c r="O19" s="165"/>
      <c r="P19" s="145" t="s">
        <v>17</v>
      </c>
      <c r="Q19" s="146"/>
      <c r="R19" s="164"/>
      <c r="S19" s="164"/>
      <c r="T19" s="164"/>
      <c r="U19" s="164"/>
      <c r="V19" s="264" t="s">
        <v>18</v>
      </c>
      <c r="W19" s="264"/>
      <c r="X19" s="164"/>
      <c r="Y19" s="164"/>
      <c r="Z19" s="164"/>
      <c r="AA19" s="164"/>
      <c r="AB19" s="164"/>
      <c r="AC19" s="164"/>
      <c r="AD19" s="265"/>
      <c r="AG19" t="s">
        <v>26</v>
      </c>
      <c r="AH19" t="s">
        <v>27</v>
      </c>
    </row>
    <row r="20" spans="1:34" ht="5.0999999999999996" customHeight="1" thickBot="1">
      <c r="A20" s="1"/>
      <c r="B20" s="24"/>
      <c r="C20" s="24"/>
      <c r="D20" s="24"/>
      <c r="E20" s="24"/>
      <c r="F20" s="24"/>
      <c r="G20" s="1"/>
      <c r="H20" s="24"/>
      <c r="I20" s="24"/>
      <c r="J20" s="24"/>
      <c r="K20" s="24"/>
      <c r="L20" s="24"/>
      <c r="M20" s="1"/>
      <c r="N20" s="1"/>
      <c r="O20" s="1"/>
      <c r="P20" s="1"/>
      <c r="Q20" s="1"/>
      <c r="R20" s="1"/>
      <c r="S20" s="1"/>
      <c r="T20" s="1"/>
      <c r="U20" s="1"/>
      <c r="V20" s="1"/>
      <c r="W20" s="1"/>
      <c r="X20" s="1"/>
      <c r="Y20" s="1"/>
      <c r="Z20" s="1"/>
      <c r="AA20" s="1"/>
      <c r="AB20" s="1"/>
      <c r="AC20" s="1"/>
      <c r="AD20" s="1"/>
    </row>
    <row r="21" spans="1:34" ht="11.1" customHeight="1">
      <c r="A21" s="149" t="s">
        <v>28</v>
      </c>
      <c r="B21" s="150"/>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50"/>
      <c r="AC21" s="150"/>
      <c r="AD21" s="151"/>
    </row>
    <row r="22" spans="1:34" ht="11.1" customHeight="1" thickBot="1">
      <c r="A22" s="152"/>
      <c r="B22" s="153"/>
      <c r="C22" s="153"/>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153"/>
      <c r="AB22" s="153"/>
      <c r="AC22" s="153"/>
      <c r="AD22" s="154"/>
    </row>
    <row r="23" spans="1:34" ht="15.95" customHeight="1">
      <c r="A23" s="155" t="s">
        <v>29</v>
      </c>
      <c r="B23" s="156"/>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7"/>
    </row>
    <row r="24" spans="1:34" ht="15.95" customHeight="1" thickBot="1">
      <c r="A24" s="282"/>
      <c r="B24" s="283"/>
      <c r="C24" s="283"/>
      <c r="D24" s="283"/>
      <c r="E24" s="283"/>
      <c r="F24" s="283"/>
      <c r="G24" s="283"/>
      <c r="H24" s="283"/>
      <c r="I24" s="283"/>
      <c r="J24" s="283"/>
      <c r="K24" s="283"/>
      <c r="L24" s="283"/>
      <c r="M24" s="283"/>
      <c r="N24" s="283"/>
      <c r="O24" s="283"/>
      <c r="P24" s="283"/>
      <c r="Q24" s="283"/>
      <c r="R24" s="283"/>
      <c r="S24" s="283"/>
      <c r="T24" s="283"/>
      <c r="U24" s="283"/>
      <c r="V24" s="283"/>
      <c r="W24" s="283"/>
      <c r="X24" s="283"/>
      <c r="Y24" s="283"/>
      <c r="Z24" s="283"/>
      <c r="AA24" s="283"/>
      <c r="AB24" s="283"/>
      <c r="AC24" s="283"/>
      <c r="AD24" s="284"/>
    </row>
    <row r="25" spans="1:34" ht="15.95" customHeight="1">
      <c r="A25" s="155" t="s">
        <v>30</v>
      </c>
      <c r="B25" s="156"/>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7"/>
    </row>
    <row r="26" spans="1:34" ht="45" customHeight="1" thickBot="1">
      <c r="A26" s="282"/>
      <c r="B26" s="283"/>
      <c r="C26" s="283"/>
      <c r="D26" s="283"/>
      <c r="E26" s="283"/>
      <c r="F26" s="283"/>
      <c r="G26" s="283"/>
      <c r="H26" s="283"/>
      <c r="I26" s="283"/>
      <c r="J26" s="283"/>
      <c r="K26" s="283"/>
      <c r="L26" s="283"/>
      <c r="M26" s="283"/>
      <c r="N26" s="283"/>
      <c r="O26" s="283"/>
      <c r="P26" s="283"/>
      <c r="Q26" s="283"/>
      <c r="R26" s="283"/>
      <c r="S26" s="283"/>
      <c r="T26" s="283"/>
      <c r="U26" s="283"/>
      <c r="V26" s="283"/>
      <c r="W26" s="283"/>
      <c r="X26" s="283"/>
      <c r="Y26" s="283"/>
      <c r="Z26" s="283"/>
      <c r="AA26" s="283"/>
      <c r="AB26" s="283"/>
      <c r="AC26" s="283"/>
      <c r="AD26" s="284"/>
    </row>
    <row r="27" spans="1:34" ht="15.95" customHeight="1">
      <c r="A27" s="155" t="s">
        <v>31</v>
      </c>
      <c r="B27" s="156"/>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7"/>
    </row>
    <row r="28" spans="1:34" ht="45" customHeight="1" thickBot="1">
      <c r="A28" s="282"/>
      <c r="B28" s="283"/>
      <c r="C28" s="283"/>
      <c r="D28" s="283"/>
      <c r="E28" s="283"/>
      <c r="F28" s="283"/>
      <c r="G28" s="283"/>
      <c r="H28" s="283"/>
      <c r="I28" s="283"/>
      <c r="J28" s="283"/>
      <c r="K28" s="283"/>
      <c r="L28" s="283"/>
      <c r="M28" s="283"/>
      <c r="N28" s="283"/>
      <c r="O28" s="283"/>
      <c r="P28" s="283"/>
      <c r="Q28" s="283"/>
      <c r="R28" s="283"/>
      <c r="S28" s="283"/>
      <c r="T28" s="283"/>
      <c r="U28" s="283"/>
      <c r="V28" s="283"/>
      <c r="W28" s="283"/>
      <c r="X28" s="283"/>
      <c r="Y28" s="283"/>
      <c r="Z28" s="283"/>
      <c r="AA28" s="283"/>
      <c r="AB28" s="283"/>
      <c r="AC28" s="283"/>
      <c r="AD28" s="284"/>
    </row>
    <row r="29" spans="1:34" ht="15.95" customHeight="1">
      <c r="A29" s="155" t="s">
        <v>32</v>
      </c>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7"/>
    </row>
    <row r="30" spans="1:34" ht="15.95" customHeight="1" thickBot="1">
      <c r="A30" s="285" t="s">
        <v>33</v>
      </c>
      <c r="B30" s="286"/>
      <c r="C30" s="287"/>
      <c r="D30" s="288"/>
      <c r="E30" s="289"/>
      <c r="F30" s="289"/>
      <c r="G30" s="289"/>
      <c r="H30" s="289"/>
      <c r="I30" s="289"/>
      <c r="J30" s="289"/>
      <c r="K30" s="289"/>
      <c r="L30" s="289"/>
      <c r="M30" s="289"/>
      <c r="N30" s="289"/>
      <c r="O30" s="289"/>
      <c r="P30" s="290" t="s">
        <v>34</v>
      </c>
      <c r="Q30" s="291"/>
      <c r="R30" s="291"/>
      <c r="S30" s="291"/>
      <c r="T30" s="291"/>
      <c r="U30" s="291"/>
      <c r="V30" s="292"/>
      <c r="W30" s="293"/>
      <c r="X30" s="293"/>
      <c r="Y30" s="293"/>
      <c r="Z30" s="293"/>
      <c r="AA30" s="293"/>
      <c r="AB30" s="293"/>
      <c r="AC30" s="293"/>
      <c r="AD30" s="294"/>
    </row>
    <row r="31" spans="1:34" ht="20.100000000000001" customHeight="1">
      <c r="A31" s="155" t="s">
        <v>35</v>
      </c>
      <c r="B31" s="156"/>
      <c r="C31" s="156"/>
      <c r="D31" s="156"/>
      <c r="E31" s="156"/>
      <c r="F31" s="156"/>
      <c r="G31" s="156"/>
      <c r="H31" s="156"/>
      <c r="I31" s="156"/>
      <c r="J31" s="156"/>
      <c r="K31" s="156"/>
      <c r="L31" s="156"/>
      <c r="M31" s="156"/>
      <c r="N31" s="156"/>
      <c r="O31" s="157"/>
      <c r="P31" s="155" t="s">
        <v>4</v>
      </c>
      <c r="Q31" s="156"/>
      <c r="R31" s="156"/>
      <c r="S31" s="156"/>
      <c r="T31" s="156"/>
      <c r="U31" s="156"/>
      <c r="V31" s="156"/>
      <c r="W31" s="156"/>
      <c r="X31" s="156"/>
      <c r="Y31" s="156"/>
      <c r="Z31" s="156"/>
      <c r="AA31" s="156"/>
      <c r="AB31" s="156"/>
      <c r="AC31" s="156"/>
      <c r="AD31" s="157"/>
    </row>
    <row r="32" spans="1:34" ht="15.95" customHeight="1">
      <c r="A32" s="178" t="s">
        <v>36</v>
      </c>
      <c r="B32" s="179"/>
      <c r="C32" s="179"/>
      <c r="D32" s="179"/>
      <c r="E32" s="179"/>
      <c r="F32" s="180"/>
      <c r="G32" s="300"/>
      <c r="H32" s="301"/>
      <c r="I32" s="301"/>
      <c r="J32" s="301"/>
      <c r="K32" s="301"/>
      <c r="L32" s="301"/>
      <c r="M32" s="301"/>
      <c r="N32" s="301"/>
      <c r="O32" s="302"/>
      <c r="P32" s="298" t="s">
        <v>37</v>
      </c>
      <c r="Q32" s="299"/>
      <c r="R32" s="299"/>
      <c r="S32" s="299"/>
      <c r="T32" s="299"/>
      <c r="U32" s="299"/>
      <c r="V32" s="260"/>
      <c r="W32" s="261"/>
      <c r="X32" s="261"/>
      <c r="Y32" s="261"/>
      <c r="Z32" s="261"/>
      <c r="AA32" s="261"/>
      <c r="AB32" s="261"/>
      <c r="AC32" s="261"/>
      <c r="AD32" s="262"/>
    </row>
    <row r="33" spans="1:30" ht="15.95" customHeight="1">
      <c r="A33" s="298" t="s">
        <v>38</v>
      </c>
      <c r="B33" s="299"/>
      <c r="C33" s="299"/>
      <c r="D33" s="299"/>
      <c r="E33" s="299"/>
      <c r="F33" s="299"/>
      <c r="G33" s="300"/>
      <c r="H33" s="301"/>
      <c r="I33" s="301"/>
      <c r="J33" s="301"/>
      <c r="K33" s="301"/>
      <c r="L33" s="301"/>
      <c r="M33" s="301"/>
      <c r="N33" s="301"/>
      <c r="O33" s="302"/>
      <c r="P33" s="178" t="s">
        <v>39</v>
      </c>
      <c r="Q33" s="179"/>
      <c r="R33" s="179"/>
      <c r="S33" s="179"/>
      <c r="T33" s="179"/>
      <c r="U33" s="179"/>
      <c r="V33" s="245" t="str">
        <f>'Offre commerciale'!AH107</f>
        <v/>
      </c>
      <c r="W33" s="246"/>
      <c r="X33" s="246"/>
      <c r="Y33" s="246"/>
      <c r="Z33" s="246"/>
      <c r="AA33" s="246"/>
      <c r="AB33" s="246"/>
      <c r="AC33" s="246"/>
      <c r="AD33" s="247"/>
    </row>
    <row r="34" spans="1:30" ht="34.5" customHeight="1">
      <c r="A34" s="256" t="s">
        <v>40</v>
      </c>
      <c r="B34" s="257"/>
      <c r="C34" s="257"/>
      <c r="D34" s="257"/>
      <c r="E34" s="257"/>
      <c r="F34" s="257"/>
      <c r="G34" s="303"/>
      <c r="H34" s="304"/>
      <c r="I34" s="304"/>
      <c r="J34" s="304"/>
      <c r="K34" s="304"/>
      <c r="L34" s="304"/>
      <c r="M34" s="304"/>
      <c r="N34" s="304"/>
      <c r="O34" s="305"/>
      <c r="P34" s="256" t="s">
        <v>41</v>
      </c>
      <c r="Q34" s="257"/>
      <c r="R34" s="257"/>
      <c r="S34" s="257"/>
      <c r="T34" s="257"/>
      <c r="U34" s="257"/>
      <c r="V34" s="248">
        <f>'Offre commerciale'!AB107</f>
        <v>0</v>
      </c>
      <c r="W34" s="249"/>
      <c r="X34" s="249"/>
      <c r="Y34" s="249"/>
      <c r="Z34" s="249"/>
      <c r="AA34" s="249"/>
      <c r="AB34" s="249"/>
      <c r="AC34" s="249"/>
      <c r="AD34" s="250"/>
    </row>
    <row r="35" spans="1:30" ht="15.95" customHeight="1" thickBot="1">
      <c r="A35" s="251" t="s">
        <v>42</v>
      </c>
      <c r="B35" s="252"/>
      <c r="C35" s="252"/>
      <c r="D35" s="252"/>
      <c r="E35" s="252"/>
      <c r="F35" s="252"/>
      <c r="G35" s="253"/>
      <c r="H35" s="254"/>
      <c r="I35" s="254"/>
      <c r="J35" s="254"/>
      <c r="K35" s="254"/>
      <c r="L35" s="254"/>
      <c r="M35" s="254"/>
      <c r="N35" s="254"/>
      <c r="O35" s="255"/>
      <c r="P35" s="251" t="s">
        <v>43</v>
      </c>
      <c r="Q35" s="252"/>
      <c r="R35" s="252"/>
      <c r="S35" s="252"/>
      <c r="T35" s="252"/>
      <c r="U35" s="252"/>
      <c r="V35" s="295"/>
      <c r="W35" s="296"/>
      <c r="X35" s="296"/>
      <c r="Y35" s="296"/>
      <c r="Z35" s="296"/>
      <c r="AA35" s="296"/>
      <c r="AB35" s="296"/>
      <c r="AC35" s="296"/>
      <c r="AD35" s="297"/>
    </row>
    <row r="36" spans="1:30" ht="5.0999999999999996" customHeight="1" thickBot="1">
      <c r="A36" s="1"/>
      <c r="B36" s="24"/>
      <c r="C36" s="24"/>
      <c r="D36" s="24"/>
      <c r="E36" s="24"/>
      <c r="F36" s="24"/>
      <c r="G36" s="1"/>
      <c r="H36" s="24"/>
      <c r="I36" s="24"/>
      <c r="J36" s="24"/>
      <c r="K36" s="24"/>
      <c r="L36" s="24"/>
      <c r="M36" s="1"/>
      <c r="N36" s="1"/>
      <c r="O36" s="1"/>
      <c r="P36" s="1"/>
      <c r="Q36" s="1"/>
      <c r="R36" s="1"/>
      <c r="S36" s="1"/>
      <c r="T36" s="1"/>
      <c r="U36" s="1"/>
      <c r="V36" s="1"/>
      <c r="W36" s="1"/>
      <c r="X36" s="1"/>
      <c r="Y36" s="1"/>
      <c r="Z36" s="1"/>
      <c r="AA36" s="1"/>
      <c r="AB36" s="1"/>
      <c r="AC36" s="1"/>
      <c r="AD36" s="1"/>
    </row>
    <row r="37" spans="1:30" ht="11.1" customHeight="1">
      <c r="A37" s="149" t="s">
        <v>44</v>
      </c>
      <c r="B37" s="150"/>
      <c r="C37" s="150"/>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150"/>
      <c r="AB37" s="150"/>
      <c r="AC37" s="150"/>
      <c r="AD37" s="151"/>
    </row>
    <row r="38" spans="1:30" ht="11.1" customHeight="1" thickBot="1">
      <c r="A38" s="152"/>
      <c r="B38" s="153"/>
      <c r="C38" s="153"/>
      <c r="D38" s="153"/>
      <c r="E38" s="153"/>
      <c r="F38" s="153"/>
      <c r="G38" s="153"/>
      <c r="H38" s="153"/>
      <c r="I38" s="153"/>
      <c r="J38" s="153"/>
      <c r="K38" s="153"/>
      <c r="L38" s="153"/>
      <c r="M38" s="153"/>
      <c r="N38" s="153"/>
      <c r="O38" s="153"/>
      <c r="P38" s="153"/>
      <c r="Q38" s="153"/>
      <c r="R38" s="153"/>
      <c r="S38" s="153"/>
      <c r="T38" s="153"/>
      <c r="U38" s="153"/>
      <c r="V38" s="153"/>
      <c r="W38" s="153"/>
      <c r="X38" s="153"/>
      <c r="Y38" s="153"/>
      <c r="Z38" s="153"/>
      <c r="AA38" s="153"/>
      <c r="AB38" s="153"/>
      <c r="AC38" s="153"/>
      <c r="AD38" s="154"/>
    </row>
    <row r="39" spans="1:30" ht="20.100000000000001" customHeight="1">
      <c r="A39" s="270" t="s">
        <v>45</v>
      </c>
      <c r="B39" s="271"/>
      <c r="C39" s="271"/>
      <c r="D39" s="271"/>
      <c r="E39" s="272"/>
      <c r="F39" s="273" t="s">
        <v>46</v>
      </c>
      <c r="G39" s="274"/>
      <c r="H39" s="274"/>
      <c r="I39" s="274"/>
      <c r="J39" s="274"/>
      <c r="K39" s="274"/>
      <c r="L39" s="274"/>
      <c r="M39" s="274"/>
      <c r="N39" s="274"/>
      <c r="O39" s="275"/>
      <c r="P39" s="168" t="s">
        <v>47</v>
      </c>
      <c r="Q39" s="169"/>
      <c r="R39" s="169"/>
      <c r="S39" s="169"/>
      <c r="T39" s="169"/>
      <c r="U39" s="169"/>
      <c r="V39" s="169"/>
      <c r="W39" s="169"/>
      <c r="X39" s="169"/>
      <c r="Y39" s="169"/>
      <c r="Z39" s="169"/>
      <c r="AA39" s="169"/>
      <c r="AB39" s="169"/>
      <c r="AC39" s="169"/>
      <c r="AD39" s="181"/>
    </row>
    <row r="40" spans="1:30" ht="15.95" customHeight="1">
      <c r="A40" s="92">
        <v>30</v>
      </c>
      <c r="B40" s="93" t="s">
        <v>48</v>
      </c>
      <c r="C40" s="208" t="s">
        <v>49</v>
      </c>
      <c r="D40" s="208"/>
      <c r="E40" s="208"/>
      <c r="F40" s="208"/>
      <c r="G40" s="208"/>
      <c r="H40" s="208"/>
      <c r="I40" s="208"/>
      <c r="J40" s="208"/>
      <c r="K40" s="208"/>
      <c r="L40" s="208"/>
      <c r="M40" s="208"/>
      <c r="N40" s="208"/>
      <c r="O40" s="209"/>
      <c r="P40" s="160" t="s">
        <v>50</v>
      </c>
      <c r="Q40" s="161"/>
      <c r="R40" s="161"/>
      <c r="S40" s="94"/>
      <c r="T40" s="266" t="s">
        <v>51</v>
      </c>
      <c r="U40" s="267"/>
      <c r="V40" s="267"/>
      <c r="W40" s="267"/>
      <c r="X40" s="269"/>
      <c r="Y40" s="94"/>
      <c r="Z40" s="266" t="s">
        <v>52</v>
      </c>
      <c r="AA40" s="267"/>
      <c r="AB40" s="267"/>
      <c r="AC40" s="267"/>
      <c r="AD40" s="268"/>
    </row>
    <row r="41" spans="1:30" ht="15.95" customHeight="1">
      <c r="A41" s="92">
        <v>50</v>
      </c>
      <c r="B41" s="93" t="s">
        <v>48</v>
      </c>
      <c r="C41" s="208" t="s">
        <v>53</v>
      </c>
      <c r="D41" s="208"/>
      <c r="E41" s="208"/>
      <c r="F41" s="208"/>
      <c r="G41" s="208"/>
      <c r="H41" s="208"/>
      <c r="I41" s="208"/>
      <c r="J41" s="208"/>
      <c r="K41" s="208"/>
      <c r="L41" s="208"/>
      <c r="M41" s="208"/>
      <c r="N41" s="208"/>
      <c r="O41" s="209"/>
      <c r="P41" s="194" t="s">
        <v>54</v>
      </c>
      <c r="Q41" s="195"/>
      <c r="R41" s="195"/>
      <c r="S41" s="201"/>
      <c r="T41" s="201"/>
      <c r="U41" s="201"/>
      <c r="V41" s="201"/>
      <c r="W41" s="201"/>
      <c r="X41" s="201"/>
      <c r="Y41" s="201"/>
      <c r="Z41" s="201"/>
      <c r="AA41" s="201"/>
      <c r="AB41" s="201"/>
      <c r="AC41" s="201"/>
      <c r="AD41" s="202"/>
    </row>
    <row r="42" spans="1:30" ht="15.95" customHeight="1">
      <c r="A42" s="92"/>
      <c r="B42" s="93" t="s">
        <v>48</v>
      </c>
      <c r="C42" s="208" t="s">
        <v>55</v>
      </c>
      <c r="D42" s="208"/>
      <c r="E42" s="208"/>
      <c r="F42" s="208"/>
      <c r="G42" s="208"/>
      <c r="H42" s="208"/>
      <c r="I42" s="208"/>
      <c r="J42" s="208"/>
      <c r="K42" s="208"/>
      <c r="L42" s="208"/>
      <c r="M42" s="208"/>
      <c r="N42" s="208"/>
      <c r="O42" s="209"/>
      <c r="P42" s="194"/>
      <c r="Q42" s="195"/>
      <c r="R42" s="195"/>
      <c r="S42" s="201"/>
      <c r="T42" s="201"/>
      <c r="U42" s="201"/>
      <c r="V42" s="201"/>
      <c r="W42" s="201"/>
      <c r="X42" s="201"/>
      <c r="Y42" s="201"/>
      <c r="Z42" s="201"/>
      <c r="AA42" s="201"/>
      <c r="AB42" s="201"/>
      <c r="AC42" s="201"/>
      <c r="AD42" s="202"/>
    </row>
    <row r="43" spans="1:30" ht="15.95" customHeight="1">
      <c r="A43" s="92"/>
      <c r="B43" s="93" t="s">
        <v>48</v>
      </c>
      <c r="C43" s="208" t="s">
        <v>56</v>
      </c>
      <c r="D43" s="208"/>
      <c r="E43" s="208"/>
      <c r="F43" s="208"/>
      <c r="G43" s="208"/>
      <c r="H43" s="208"/>
      <c r="I43" s="208"/>
      <c r="J43" s="208"/>
      <c r="K43" s="208"/>
      <c r="L43" s="208"/>
      <c r="M43" s="208"/>
      <c r="N43" s="208"/>
      <c r="O43" s="209"/>
      <c r="P43" s="160" t="s">
        <v>57</v>
      </c>
      <c r="Q43" s="161"/>
      <c r="R43" s="161"/>
      <c r="S43" s="198"/>
      <c r="T43" s="199"/>
      <c r="U43" s="199"/>
      <c r="V43" s="199"/>
      <c r="W43" s="199"/>
      <c r="X43" s="199"/>
      <c r="Y43" s="199"/>
      <c r="Z43" s="199"/>
      <c r="AA43" s="199"/>
      <c r="AB43" s="199"/>
      <c r="AC43" s="199"/>
      <c r="AD43" s="200"/>
    </row>
    <row r="44" spans="1:30" ht="15.95" customHeight="1">
      <c r="A44" s="22" t="s">
        <v>58</v>
      </c>
      <c r="B44" s="35"/>
      <c r="C44" s="208" t="s">
        <v>59</v>
      </c>
      <c r="D44" s="208"/>
      <c r="E44" s="208"/>
      <c r="F44" s="208"/>
      <c r="G44" s="208"/>
      <c r="H44" s="208"/>
      <c r="I44" s="208"/>
      <c r="J44" s="208"/>
      <c r="K44" s="208"/>
      <c r="L44" s="208"/>
      <c r="M44" s="208"/>
      <c r="N44" s="208"/>
      <c r="O44" s="209"/>
      <c r="P44" s="194" t="s">
        <v>60</v>
      </c>
      <c r="Q44" s="195"/>
      <c r="R44" s="195"/>
      <c r="S44" s="201"/>
      <c r="T44" s="201"/>
      <c r="U44" s="201"/>
      <c r="V44" s="201"/>
      <c r="W44" s="201"/>
      <c r="X44" s="201"/>
      <c r="Y44" s="201"/>
      <c r="Z44" s="201"/>
      <c r="AA44" s="201"/>
      <c r="AB44" s="201"/>
      <c r="AC44" s="201"/>
      <c r="AD44" s="202"/>
    </row>
    <row r="45" spans="1:30" ht="15.95" customHeight="1">
      <c r="A45" s="160" t="s">
        <v>61</v>
      </c>
      <c r="B45" s="161"/>
      <c r="C45" s="161"/>
      <c r="D45" s="161"/>
      <c r="E45" s="161"/>
      <c r="F45" s="176"/>
      <c r="G45" s="176"/>
      <c r="H45" s="176"/>
      <c r="I45" s="176"/>
      <c r="J45" s="176"/>
      <c r="K45" s="176"/>
      <c r="L45" s="176"/>
      <c r="M45" s="176"/>
      <c r="N45" s="176"/>
      <c r="O45" s="188"/>
      <c r="P45" s="194"/>
      <c r="Q45" s="195"/>
      <c r="R45" s="195"/>
      <c r="S45" s="201"/>
      <c r="T45" s="201"/>
      <c r="U45" s="201"/>
      <c r="V45" s="201"/>
      <c r="W45" s="201"/>
      <c r="X45" s="201"/>
      <c r="Y45" s="201"/>
      <c r="Z45" s="201"/>
      <c r="AA45" s="201"/>
      <c r="AB45" s="201"/>
      <c r="AC45" s="201"/>
      <c r="AD45" s="202"/>
    </row>
    <row r="46" spans="1:30" ht="15.95" customHeight="1">
      <c r="A46" s="203" t="s">
        <v>62</v>
      </c>
      <c r="B46" s="161" t="s">
        <v>63</v>
      </c>
      <c r="C46" s="161"/>
      <c r="D46" s="161"/>
      <c r="E46" s="161"/>
      <c r="F46" s="205"/>
      <c r="G46" s="205"/>
      <c r="H46" s="205"/>
      <c r="I46" s="205"/>
      <c r="J46" s="205"/>
      <c r="K46" s="205"/>
      <c r="L46" s="205"/>
      <c r="M46" s="205"/>
      <c r="N46" s="205"/>
      <c r="O46" s="206"/>
      <c r="P46" s="160" t="s">
        <v>57</v>
      </c>
      <c r="Q46" s="161"/>
      <c r="R46" s="161"/>
      <c r="S46" s="198"/>
      <c r="T46" s="199"/>
      <c r="U46" s="199"/>
      <c r="V46" s="199"/>
      <c r="W46" s="199"/>
      <c r="X46" s="199"/>
      <c r="Y46" s="199"/>
      <c r="Z46" s="199"/>
      <c r="AA46" s="199"/>
      <c r="AB46" s="199"/>
      <c r="AC46" s="199"/>
      <c r="AD46" s="200"/>
    </row>
    <row r="47" spans="1:30" ht="15.95" customHeight="1">
      <c r="A47" s="203"/>
      <c r="B47" s="161" t="s">
        <v>64</v>
      </c>
      <c r="C47" s="161"/>
      <c r="D47" s="161"/>
      <c r="E47" s="161"/>
      <c r="F47" s="176"/>
      <c r="G47" s="176"/>
      <c r="H47" s="176"/>
      <c r="I47" s="176"/>
      <c r="J47" s="176"/>
      <c r="K47" s="176"/>
      <c r="L47" s="176"/>
      <c r="M47" s="176"/>
      <c r="N47" s="176"/>
      <c r="O47" s="188"/>
      <c r="P47" s="194" t="s">
        <v>65</v>
      </c>
      <c r="Q47" s="195"/>
      <c r="R47" s="195"/>
      <c r="S47" s="195"/>
      <c r="T47" s="195"/>
      <c r="U47" s="195"/>
      <c r="V47" s="176"/>
      <c r="W47" s="176"/>
      <c r="X47" s="176"/>
      <c r="Y47" s="176"/>
      <c r="Z47" s="176"/>
      <c r="AA47" s="176"/>
      <c r="AB47" s="176"/>
      <c r="AC47" s="176"/>
      <c r="AD47" s="177"/>
    </row>
    <row r="48" spans="1:30" ht="15.95" customHeight="1" thickBot="1">
      <c r="A48" s="204"/>
      <c r="B48" s="146" t="s">
        <v>66</v>
      </c>
      <c r="C48" s="146"/>
      <c r="D48" s="146"/>
      <c r="E48" s="146"/>
      <c r="F48" s="174" t="s">
        <v>67</v>
      </c>
      <c r="G48" s="174"/>
      <c r="H48" s="174"/>
      <c r="I48" s="174"/>
      <c r="J48" s="174"/>
      <c r="K48" s="174"/>
      <c r="L48" s="174"/>
      <c r="M48" s="174"/>
      <c r="N48" s="174"/>
      <c r="O48" s="207"/>
      <c r="P48" s="196"/>
      <c r="Q48" s="197"/>
      <c r="R48" s="197"/>
      <c r="S48" s="197"/>
      <c r="T48" s="197"/>
      <c r="U48" s="197"/>
      <c r="V48" s="174"/>
      <c r="W48" s="174"/>
      <c r="X48" s="174"/>
      <c r="Y48" s="174"/>
      <c r="Z48" s="174"/>
      <c r="AA48" s="174"/>
      <c r="AB48" s="174"/>
      <c r="AC48" s="174"/>
      <c r="AD48" s="175"/>
    </row>
    <row r="49" spans="1:30" ht="15.95" customHeight="1">
      <c r="A49" s="155" t="s">
        <v>68</v>
      </c>
      <c r="B49" s="156"/>
      <c r="C49" s="156"/>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156"/>
      <c r="AB49" s="156"/>
      <c r="AC49" s="156"/>
      <c r="AD49" s="157"/>
    </row>
    <row r="50" spans="1:30" ht="15.95" customHeight="1">
      <c r="A50" s="235" t="s">
        <v>69</v>
      </c>
      <c r="B50" s="236"/>
      <c r="C50" s="236"/>
      <c r="D50" s="236"/>
      <c r="E50" s="236"/>
      <c r="F50" s="236"/>
      <c r="G50" s="236"/>
      <c r="H50" s="236"/>
      <c r="I50" s="236"/>
      <c r="J50" s="236"/>
      <c r="K50" s="236"/>
      <c r="L50" s="236"/>
      <c r="M50" s="236"/>
      <c r="N50" s="236"/>
      <c r="O50" s="236"/>
      <c r="P50" s="236" t="s">
        <v>70</v>
      </c>
      <c r="Q50" s="236"/>
      <c r="R50" s="236"/>
      <c r="S50" s="236"/>
      <c r="T50" s="236"/>
      <c r="U50" s="236"/>
      <c r="V50" s="236"/>
      <c r="W50" s="236"/>
      <c r="X50" s="236"/>
      <c r="Y50" s="236"/>
      <c r="Z50" s="236"/>
      <c r="AA50" s="236"/>
      <c r="AB50" s="236"/>
      <c r="AC50" s="236"/>
      <c r="AD50" s="237"/>
    </row>
    <row r="51" spans="1:30" ht="15.95" customHeight="1">
      <c r="A51" s="238" t="s">
        <v>71</v>
      </c>
      <c r="B51" s="239"/>
      <c r="C51" s="239"/>
      <c r="D51" s="239"/>
      <c r="E51" s="239"/>
      <c r="F51" s="239"/>
      <c r="G51" s="176"/>
      <c r="H51" s="176"/>
      <c r="I51" s="176"/>
      <c r="J51" s="176"/>
      <c r="K51" s="176"/>
      <c r="L51" s="240" t="s">
        <v>72</v>
      </c>
      <c r="M51" s="240"/>
      <c r="N51" s="240"/>
      <c r="O51" s="240"/>
      <c r="P51" s="239" t="s">
        <v>71</v>
      </c>
      <c r="Q51" s="239"/>
      <c r="R51" s="239"/>
      <c r="S51" s="239"/>
      <c r="T51" s="239"/>
      <c r="U51" s="239"/>
      <c r="V51" s="176"/>
      <c r="W51" s="176"/>
      <c r="X51" s="176"/>
      <c r="Y51" s="176"/>
      <c r="Z51" s="176"/>
      <c r="AA51" s="240" t="s">
        <v>72</v>
      </c>
      <c r="AB51" s="240"/>
      <c r="AC51" s="240"/>
      <c r="AD51" s="276"/>
    </row>
    <row r="52" spans="1:30" ht="15.95" customHeight="1">
      <c r="A52" s="238" t="s">
        <v>73</v>
      </c>
      <c r="B52" s="239"/>
      <c r="C52" s="239"/>
      <c r="D52" s="239"/>
      <c r="E52" s="239"/>
      <c r="F52" s="239"/>
      <c r="G52" s="176"/>
      <c r="H52" s="176"/>
      <c r="I52" s="176"/>
      <c r="J52" s="176"/>
      <c r="K52" s="176"/>
      <c r="L52" s="240" t="s">
        <v>74</v>
      </c>
      <c r="M52" s="240"/>
      <c r="N52" s="240"/>
      <c r="O52" s="240"/>
      <c r="P52" s="239" t="s">
        <v>73</v>
      </c>
      <c r="Q52" s="239"/>
      <c r="R52" s="239"/>
      <c r="S52" s="239"/>
      <c r="T52" s="239"/>
      <c r="U52" s="239"/>
      <c r="V52" s="176"/>
      <c r="W52" s="176"/>
      <c r="X52" s="176"/>
      <c r="Y52" s="176"/>
      <c r="Z52" s="176"/>
      <c r="AA52" s="240" t="s">
        <v>74</v>
      </c>
      <c r="AB52" s="240"/>
      <c r="AC52" s="240"/>
      <c r="AD52" s="276"/>
    </row>
    <row r="53" spans="1:30" ht="15.95" customHeight="1" thickBot="1">
      <c r="A53" s="277" t="s">
        <v>75</v>
      </c>
      <c r="B53" s="278"/>
      <c r="C53" s="278"/>
      <c r="D53" s="278"/>
      <c r="E53" s="278"/>
      <c r="F53" s="278"/>
      <c r="G53" s="174"/>
      <c r="H53" s="174"/>
      <c r="I53" s="174"/>
      <c r="J53" s="174"/>
      <c r="K53" s="174"/>
      <c r="L53" s="279" t="s">
        <v>76</v>
      </c>
      <c r="M53" s="279"/>
      <c r="N53" s="279"/>
      <c r="O53" s="279"/>
      <c r="P53" s="280"/>
      <c r="Q53" s="280"/>
      <c r="R53" s="280"/>
      <c r="S53" s="280"/>
      <c r="T53" s="280"/>
      <c r="U53" s="280"/>
      <c r="V53" s="280"/>
      <c r="W53" s="280"/>
      <c r="X53" s="280"/>
      <c r="Y53" s="280"/>
      <c r="Z53" s="280"/>
      <c r="AA53" s="280"/>
      <c r="AB53" s="280"/>
      <c r="AC53" s="280"/>
      <c r="AD53" s="281"/>
    </row>
    <row r="54" spans="1:30" ht="5.0999999999999996" customHeight="1" thickBot="1">
      <c r="A54" s="83"/>
      <c r="B54" s="84"/>
      <c r="C54" s="84"/>
      <c r="D54" s="84"/>
      <c r="E54" s="84"/>
      <c r="F54" s="24"/>
      <c r="G54" s="24"/>
      <c r="H54" s="24"/>
      <c r="I54" s="24"/>
      <c r="J54" s="24"/>
      <c r="K54" s="24"/>
      <c r="L54" s="24"/>
      <c r="M54" s="24"/>
      <c r="N54" s="24"/>
      <c r="O54" s="24"/>
      <c r="P54" s="85"/>
      <c r="Q54" s="85"/>
      <c r="R54" s="85"/>
      <c r="S54" s="85"/>
      <c r="T54" s="85"/>
      <c r="U54" s="85"/>
      <c r="V54" s="24"/>
      <c r="W54" s="24"/>
      <c r="X54" s="24"/>
      <c r="Y54" s="24"/>
      <c r="Z54" s="24"/>
      <c r="AA54" s="24"/>
      <c r="AB54" s="24"/>
      <c r="AC54" s="24"/>
      <c r="AD54" s="24"/>
    </row>
    <row r="55" spans="1:30" ht="20.100000000000001" customHeight="1" thickBot="1">
      <c r="A55" s="241" t="s">
        <v>77</v>
      </c>
      <c r="B55" s="242"/>
      <c r="C55" s="242"/>
      <c r="D55" s="242"/>
      <c r="E55" s="242"/>
      <c r="F55" s="242"/>
      <c r="G55" s="242"/>
      <c r="H55" s="242"/>
      <c r="I55" s="242"/>
      <c r="J55" s="242"/>
      <c r="K55" s="242"/>
      <c r="L55" s="242"/>
      <c r="M55" s="242"/>
      <c r="N55" s="242"/>
      <c r="O55" s="242"/>
      <c r="P55" s="242"/>
      <c r="Q55" s="242"/>
      <c r="R55" s="242"/>
      <c r="S55" s="242"/>
      <c r="T55" s="242"/>
      <c r="U55" s="242"/>
      <c r="V55" s="242"/>
      <c r="W55" s="242"/>
      <c r="X55" s="242"/>
      <c r="Y55" s="242"/>
      <c r="Z55" s="242"/>
      <c r="AA55" s="242"/>
      <c r="AB55" s="242"/>
      <c r="AC55" s="242"/>
      <c r="AD55" s="243"/>
    </row>
    <row r="56" spans="1:30" ht="15.95" customHeight="1">
      <c r="A56" s="210" t="s">
        <v>78</v>
      </c>
      <c r="B56" s="211"/>
      <c r="C56" s="211"/>
      <c r="D56" s="211"/>
      <c r="E56" s="211"/>
      <c r="F56" s="211"/>
      <c r="G56" s="211"/>
      <c r="H56" s="95"/>
      <c r="I56" s="212" t="s">
        <v>79</v>
      </c>
      <c r="J56" s="213"/>
      <c r="K56" s="213"/>
      <c r="L56" s="213"/>
      <c r="M56" s="213"/>
      <c r="N56" s="213"/>
      <c r="O56" s="213"/>
      <c r="P56" s="213"/>
      <c r="Q56" s="213"/>
      <c r="R56" s="213"/>
      <c r="S56" s="213"/>
      <c r="T56" s="213"/>
      <c r="U56" s="213"/>
      <c r="V56" s="213"/>
      <c r="W56" s="213"/>
      <c r="X56" s="214"/>
      <c r="Y56" s="95"/>
      <c r="Z56" s="212" t="s">
        <v>52</v>
      </c>
      <c r="AA56" s="213"/>
      <c r="AB56" s="213"/>
      <c r="AC56" s="213"/>
      <c r="AD56" s="226"/>
    </row>
    <row r="57" spans="1:30" ht="15.95" customHeight="1">
      <c r="A57" s="218" t="s">
        <v>80</v>
      </c>
      <c r="B57" s="219"/>
      <c r="C57" s="219"/>
      <c r="D57" s="219"/>
      <c r="E57" s="219"/>
      <c r="F57" s="219"/>
      <c r="G57" s="219"/>
      <c r="H57" s="96"/>
      <c r="I57" s="223" t="s">
        <v>81</v>
      </c>
      <c r="J57" s="223"/>
      <c r="K57" s="223"/>
      <c r="L57" s="223"/>
      <c r="M57" s="223"/>
      <c r="N57" s="223"/>
      <c r="O57" s="223"/>
      <c r="P57" s="223"/>
      <c r="Q57" s="223"/>
      <c r="R57" s="223"/>
      <c r="S57" s="223"/>
      <c r="T57" s="223"/>
      <c r="U57" s="223"/>
      <c r="V57" s="223"/>
      <c r="W57" s="223"/>
      <c r="X57" s="223"/>
      <c r="Y57" s="96"/>
      <c r="Z57" s="224" t="s">
        <v>82</v>
      </c>
      <c r="AA57" s="224"/>
      <c r="AB57" s="224"/>
      <c r="AC57" s="224"/>
      <c r="AD57" s="225"/>
    </row>
    <row r="58" spans="1:30" ht="15.95" customHeight="1">
      <c r="A58" s="218" t="s">
        <v>83</v>
      </c>
      <c r="B58" s="219"/>
      <c r="C58" s="219"/>
      <c r="D58" s="219"/>
      <c r="E58" s="219"/>
      <c r="F58" s="219"/>
      <c r="G58" s="219"/>
      <c r="H58" s="96"/>
      <c r="I58" s="223" t="s">
        <v>84</v>
      </c>
      <c r="J58" s="223"/>
      <c r="K58" s="223"/>
      <c r="L58" s="223"/>
      <c r="M58" s="223"/>
      <c r="N58" s="223"/>
      <c r="O58" s="223"/>
      <c r="P58" s="223"/>
      <c r="Q58" s="223"/>
      <c r="R58" s="223"/>
      <c r="S58" s="223"/>
      <c r="T58" s="223"/>
      <c r="U58" s="223"/>
      <c r="V58" s="223"/>
      <c r="W58" s="223"/>
      <c r="X58" s="223"/>
      <c r="Y58" s="98"/>
      <c r="Z58" s="224" t="s">
        <v>82</v>
      </c>
      <c r="AA58" s="224"/>
      <c r="AB58" s="224"/>
      <c r="AC58" s="224"/>
      <c r="AD58" s="225"/>
    </row>
    <row r="59" spans="1:30" ht="15.95" customHeight="1">
      <c r="A59" s="218" t="s">
        <v>85</v>
      </c>
      <c r="B59" s="219"/>
      <c r="C59" s="219"/>
      <c r="D59" s="219"/>
      <c r="E59" s="219"/>
      <c r="F59" s="219"/>
      <c r="G59" s="219"/>
      <c r="H59" s="96"/>
      <c r="I59" s="223" t="s">
        <v>86</v>
      </c>
      <c r="J59" s="223"/>
      <c r="K59" s="223"/>
      <c r="L59" s="223"/>
      <c r="M59" s="223"/>
      <c r="N59" s="223"/>
      <c r="O59" s="223"/>
      <c r="P59" s="223"/>
      <c r="Q59" s="223"/>
      <c r="R59" s="223"/>
      <c r="S59" s="223"/>
      <c r="T59" s="223"/>
      <c r="U59" s="223"/>
      <c r="V59" s="223"/>
      <c r="W59" s="223"/>
      <c r="X59" s="223"/>
      <c r="Y59" s="98"/>
      <c r="Z59" s="224" t="s">
        <v>82</v>
      </c>
      <c r="AA59" s="224"/>
      <c r="AB59" s="224"/>
      <c r="AC59" s="224"/>
      <c r="AD59" s="225"/>
    </row>
    <row r="60" spans="1:30" ht="15.95" customHeight="1">
      <c r="A60" s="218" t="s">
        <v>87</v>
      </c>
      <c r="B60" s="219"/>
      <c r="C60" s="219"/>
      <c r="D60" s="219"/>
      <c r="E60" s="219"/>
      <c r="F60" s="219"/>
      <c r="G60" s="219"/>
      <c r="H60" s="96"/>
      <c r="I60" s="223" t="s">
        <v>84</v>
      </c>
      <c r="J60" s="223"/>
      <c r="K60" s="223"/>
      <c r="L60" s="223"/>
      <c r="M60" s="223"/>
      <c r="N60" s="223"/>
      <c r="O60" s="223"/>
      <c r="P60" s="223"/>
      <c r="Q60" s="223"/>
      <c r="R60" s="223"/>
      <c r="S60" s="223"/>
      <c r="T60" s="223"/>
      <c r="U60" s="223"/>
      <c r="V60" s="223"/>
      <c r="W60" s="223"/>
      <c r="X60" s="223"/>
      <c r="Y60" s="98"/>
      <c r="Z60" s="224" t="s">
        <v>82</v>
      </c>
      <c r="AA60" s="224"/>
      <c r="AB60" s="224"/>
      <c r="AC60" s="224"/>
      <c r="AD60" s="225"/>
    </row>
    <row r="61" spans="1:30" ht="15.95" customHeight="1">
      <c r="A61" s="218" t="s">
        <v>88</v>
      </c>
      <c r="B61" s="219"/>
      <c r="C61" s="219"/>
      <c r="D61" s="219"/>
      <c r="E61" s="219"/>
      <c r="F61" s="219"/>
      <c r="G61" s="219"/>
      <c r="H61" s="96"/>
      <c r="I61" s="223" t="s">
        <v>89</v>
      </c>
      <c r="J61" s="223"/>
      <c r="K61" s="223"/>
      <c r="L61" s="223"/>
      <c r="M61" s="223"/>
      <c r="N61" s="223"/>
      <c r="O61" s="223"/>
      <c r="P61" s="223"/>
      <c r="Q61" s="223"/>
      <c r="R61" s="223"/>
      <c r="S61" s="223"/>
      <c r="T61" s="223"/>
      <c r="U61" s="223"/>
      <c r="V61" s="223"/>
      <c r="W61" s="223"/>
      <c r="X61" s="223"/>
      <c r="Y61" s="96"/>
      <c r="Z61" s="224" t="s">
        <v>82</v>
      </c>
      <c r="AA61" s="224"/>
      <c r="AB61" s="224"/>
      <c r="AC61" s="224"/>
      <c r="AD61" s="225"/>
    </row>
    <row r="62" spans="1:30" ht="15.95" customHeight="1">
      <c r="A62" s="218" t="s">
        <v>90</v>
      </c>
      <c r="B62" s="219"/>
      <c r="C62" s="219"/>
      <c r="D62" s="219"/>
      <c r="E62" s="219"/>
      <c r="F62" s="219"/>
      <c r="G62" s="219"/>
      <c r="H62" s="96"/>
      <c r="I62" s="223" t="s">
        <v>89</v>
      </c>
      <c r="J62" s="223"/>
      <c r="K62" s="223"/>
      <c r="L62" s="223"/>
      <c r="M62" s="223"/>
      <c r="N62" s="223"/>
      <c r="O62" s="223"/>
      <c r="P62" s="223"/>
      <c r="Q62" s="223"/>
      <c r="R62" s="223"/>
      <c r="S62" s="223"/>
      <c r="T62" s="223"/>
      <c r="U62" s="223"/>
      <c r="V62" s="223"/>
      <c r="W62" s="223"/>
      <c r="X62" s="223"/>
      <c r="Y62" s="96"/>
      <c r="Z62" s="224" t="s">
        <v>82</v>
      </c>
      <c r="AA62" s="224"/>
      <c r="AB62" s="224"/>
      <c r="AC62" s="224"/>
      <c r="AD62" s="225"/>
    </row>
    <row r="63" spans="1:30" ht="15.95" customHeight="1" thickBot="1">
      <c r="A63" s="230" t="s">
        <v>91</v>
      </c>
      <c r="B63" s="231"/>
      <c r="C63" s="231"/>
      <c r="D63" s="231"/>
      <c r="E63" s="231"/>
      <c r="F63" s="231"/>
      <c r="G63" s="231"/>
      <c r="H63" s="97"/>
      <c r="I63" s="232" t="s">
        <v>92</v>
      </c>
      <c r="J63" s="232"/>
      <c r="K63" s="232"/>
      <c r="L63" s="232"/>
      <c r="M63" s="232"/>
      <c r="N63" s="232"/>
      <c r="O63" s="232"/>
      <c r="P63" s="232"/>
      <c r="Q63" s="232"/>
      <c r="R63" s="232"/>
      <c r="S63" s="232"/>
      <c r="T63" s="232"/>
      <c r="U63" s="232"/>
      <c r="V63" s="232"/>
      <c r="W63" s="232"/>
      <c r="X63" s="232"/>
      <c r="Y63" s="97"/>
      <c r="Z63" s="233" t="s">
        <v>93</v>
      </c>
      <c r="AA63" s="233"/>
      <c r="AB63" s="233"/>
      <c r="AC63" s="233"/>
      <c r="AD63" s="234"/>
    </row>
    <row r="64" spans="1:30" ht="20.100000000000001" customHeight="1">
      <c r="A64" s="220" t="s">
        <v>94</v>
      </c>
      <c r="B64" s="221"/>
      <c r="C64" s="221"/>
      <c r="D64" s="221"/>
      <c r="E64" s="221"/>
      <c r="F64" s="221"/>
      <c r="G64" s="221"/>
      <c r="H64" s="221"/>
      <c r="I64" s="221"/>
      <c r="J64" s="221"/>
      <c r="K64" s="221"/>
      <c r="L64" s="221"/>
      <c r="M64" s="221"/>
      <c r="N64" s="221"/>
      <c r="O64" s="221"/>
      <c r="P64" s="221"/>
      <c r="Q64" s="221"/>
      <c r="R64" s="221"/>
      <c r="S64" s="221"/>
      <c r="T64" s="221"/>
      <c r="U64" s="221"/>
      <c r="V64" s="221"/>
      <c r="W64" s="221"/>
      <c r="X64" s="221"/>
      <c r="Y64" s="221"/>
      <c r="Z64" s="221"/>
      <c r="AA64" s="221"/>
      <c r="AB64" s="221"/>
      <c r="AC64" s="221"/>
      <c r="AD64" s="222"/>
    </row>
    <row r="65" spans="1:30" ht="45" customHeight="1" thickBot="1">
      <c r="A65" s="215"/>
      <c r="B65" s="216"/>
      <c r="C65" s="216"/>
      <c r="D65" s="216"/>
      <c r="E65" s="216"/>
      <c r="F65" s="216"/>
      <c r="G65" s="216"/>
      <c r="H65" s="216"/>
      <c r="I65" s="216"/>
      <c r="J65" s="216"/>
      <c r="K65" s="216"/>
      <c r="L65" s="216"/>
      <c r="M65" s="216"/>
      <c r="N65" s="216"/>
      <c r="O65" s="216"/>
      <c r="P65" s="216"/>
      <c r="Q65" s="216"/>
      <c r="R65" s="216"/>
      <c r="S65" s="216"/>
      <c r="T65" s="216"/>
      <c r="U65" s="216"/>
      <c r="V65" s="216"/>
      <c r="W65" s="216"/>
      <c r="X65" s="216"/>
      <c r="Y65" s="216"/>
      <c r="Z65" s="216"/>
      <c r="AA65" s="216"/>
      <c r="AB65" s="216"/>
      <c r="AC65" s="216"/>
      <c r="AD65" s="217"/>
    </row>
    <row r="66" spans="1:30" ht="5.0999999999999996" customHeight="1" thickBo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ht="20.100000000000001" customHeight="1">
      <c r="A67" s="128" t="s">
        <v>95</v>
      </c>
      <c r="B67" s="129"/>
      <c r="C67" s="129"/>
      <c r="D67" s="129"/>
      <c r="E67" s="129"/>
      <c r="F67" s="129"/>
      <c r="G67" s="129"/>
      <c r="H67" s="129"/>
      <c r="I67" s="129"/>
      <c r="J67" s="129"/>
      <c r="K67" s="129"/>
      <c r="L67" s="129"/>
      <c r="M67" s="129"/>
      <c r="N67" s="129"/>
      <c r="O67" s="129"/>
      <c r="P67" s="129"/>
      <c r="Q67" s="129"/>
      <c r="R67" s="129"/>
      <c r="S67" s="129"/>
      <c r="T67" s="129"/>
      <c r="U67" s="129"/>
      <c r="V67" s="129"/>
      <c r="W67" s="129"/>
      <c r="X67" s="129"/>
      <c r="Y67" s="129"/>
      <c r="Z67" s="129"/>
      <c r="AA67" s="129"/>
      <c r="AB67" s="129"/>
      <c r="AC67" s="129"/>
      <c r="AD67" s="130"/>
    </row>
    <row r="68" spans="1:30" ht="15.95" customHeight="1">
      <c r="A68" s="133" t="s">
        <v>96</v>
      </c>
      <c r="B68" s="134"/>
      <c r="C68" s="134"/>
      <c r="D68" s="134"/>
      <c r="E68" s="134"/>
      <c r="F68" s="134"/>
      <c r="G68" s="134"/>
      <c r="H68" s="134"/>
      <c r="I68" s="134"/>
      <c r="J68" s="134"/>
      <c r="K68" s="134"/>
      <c r="L68" s="134"/>
      <c r="M68" s="134"/>
      <c r="N68" s="131"/>
      <c r="O68" s="131"/>
      <c r="P68" s="134" t="s">
        <v>97</v>
      </c>
      <c r="Q68" s="134"/>
      <c r="R68" s="134"/>
      <c r="S68" s="134"/>
      <c r="T68" s="134"/>
      <c r="U68" s="134"/>
      <c r="V68" s="134"/>
      <c r="W68" s="134"/>
      <c r="X68" s="134"/>
      <c r="Y68" s="134"/>
      <c r="Z68" s="134"/>
      <c r="AA68" s="134"/>
      <c r="AB68" s="134"/>
      <c r="AC68" s="131"/>
      <c r="AD68" s="132"/>
    </row>
    <row r="69" spans="1:30" ht="15.95" customHeight="1">
      <c r="A69" s="133" t="s">
        <v>98</v>
      </c>
      <c r="B69" s="134"/>
      <c r="C69" s="134"/>
      <c r="D69" s="134"/>
      <c r="E69" s="134"/>
      <c r="F69" s="134"/>
      <c r="G69" s="134"/>
      <c r="H69" s="134"/>
      <c r="I69" s="134"/>
      <c r="J69" s="134"/>
      <c r="K69" s="134"/>
      <c r="L69" s="134"/>
      <c r="M69" s="134"/>
      <c r="N69" s="131"/>
      <c r="O69" s="131"/>
      <c r="P69" s="135"/>
      <c r="Q69" s="135"/>
      <c r="R69" s="135"/>
      <c r="S69" s="135"/>
      <c r="T69" s="135"/>
      <c r="U69" s="135"/>
      <c r="V69" s="135"/>
      <c r="W69" s="135"/>
      <c r="X69" s="135"/>
      <c r="Y69" s="135"/>
      <c r="Z69" s="135"/>
      <c r="AA69" s="135"/>
      <c r="AB69" s="135"/>
      <c r="AC69" s="135"/>
      <c r="AD69" s="136"/>
    </row>
    <row r="70" spans="1:30" ht="15.95" customHeight="1">
      <c r="A70" s="133" t="s">
        <v>99</v>
      </c>
      <c r="B70" s="134"/>
      <c r="C70" s="134"/>
      <c r="D70" s="134"/>
      <c r="E70" s="134"/>
      <c r="F70" s="134"/>
      <c r="G70" s="134"/>
      <c r="H70" s="134"/>
      <c r="I70" s="134"/>
      <c r="J70" s="134"/>
      <c r="K70" s="134"/>
      <c r="L70" s="134"/>
      <c r="M70" s="134"/>
      <c r="N70" s="131"/>
      <c r="O70" s="131"/>
      <c r="P70" s="134" t="s">
        <v>100</v>
      </c>
      <c r="Q70" s="134"/>
      <c r="R70" s="134"/>
      <c r="S70" s="134"/>
      <c r="T70" s="134"/>
      <c r="U70" s="134"/>
      <c r="V70" s="134"/>
      <c r="W70" s="134"/>
      <c r="X70" s="134"/>
      <c r="Y70" s="134"/>
      <c r="Z70" s="134"/>
      <c r="AA70" s="134"/>
      <c r="AB70" s="134"/>
      <c r="AC70" s="131"/>
      <c r="AD70" s="132"/>
    </row>
    <row r="71" spans="1:30" ht="15.95" customHeight="1">
      <c r="A71" s="137" t="s">
        <v>101</v>
      </c>
      <c r="B71" s="138"/>
      <c r="C71" s="138"/>
      <c r="D71" s="138"/>
      <c r="E71" s="138"/>
      <c r="F71" s="138"/>
      <c r="G71" s="138"/>
      <c r="H71" s="138"/>
      <c r="I71" s="138"/>
      <c r="J71" s="138"/>
      <c r="K71" s="138"/>
      <c r="L71" s="138"/>
      <c r="M71" s="138"/>
      <c r="N71" s="131"/>
      <c r="O71" s="131"/>
      <c r="P71" s="134" t="s">
        <v>102</v>
      </c>
      <c r="Q71" s="134"/>
      <c r="R71" s="134"/>
      <c r="S71" s="134"/>
      <c r="T71" s="134"/>
      <c r="U71" s="134"/>
      <c r="V71" s="134"/>
      <c r="W71" s="134"/>
      <c r="X71" s="134"/>
      <c r="Y71" s="134"/>
      <c r="Z71" s="134"/>
      <c r="AA71" s="134"/>
      <c r="AB71" s="134"/>
      <c r="AC71" s="131"/>
      <c r="AD71" s="132"/>
    </row>
    <row r="72" spans="1:30" ht="15.95" customHeight="1" thickBot="1">
      <c r="A72" s="124" t="s">
        <v>103</v>
      </c>
      <c r="B72" s="125"/>
      <c r="C72" s="125"/>
      <c r="D72" s="125"/>
      <c r="E72" s="125"/>
      <c r="F72" s="125"/>
      <c r="G72" s="125"/>
      <c r="H72" s="125"/>
      <c r="I72" s="125"/>
      <c r="J72" s="125"/>
      <c r="K72" s="125"/>
      <c r="L72" s="125"/>
      <c r="M72" s="125"/>
      <c r="N72" s="126"/>
      <c r="O72" s="126"/>
      <c r="P72" s="125" t="s">
        <v>104</v>
      </c>
      <c r="Q72" s="125"/>
      <c r="R72" s="125"/>
      <c r="S72" s="125"/>
      <c r="T72" s="125"/>
      <c r="U72" s="125"/>
      <c r="V72" s="125"/>
      <c r="W72" s="125"/>
      <c r="X72" s="125"/>
      <c r="Y72" s="125"/>
      <c r="Z72" s="125"/>
      <c r="AA72" s="125"/>
      <c r="AB72" s="125"/>
      <c r="AC72" s="126"/>
      <c r="AD72" s="127"/>
    </row>
    <row r="73" spans="1:30" ht="5.0999999999999996" customHeight="1" thickBo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ht="16.5" customHeight="1">
      <c r="A74" s="36" t="s">
        <v>105</v>
      </c>
      <c r="B74" s="37"/>
      <c r="C74" s="37"/>
      <c r="D74" s="37"/>
      <c r="E74" s="37"/>
      <c r="F74" s="37"/>
      <c r="G74" s="37"/>
      <c r="H74" s="37"/>
      <c r="I74" s="38"/>
      <c r="J74" s="38"/>
      <c r="K74" s="38"/>
      <c r="L74" s="38"/>
      <c r="M74" s="38"/>
      <c r="N74" s="38"/>
      <c r="O74" s="38"/>
      <c r="P74" s="38"/>
      <c r="Q74" s="38"/>
      <c r="R74" s="38"/>
      <c r="S74" s="38"/>
      <c r="T74" s="38"/>
      <c r="U74" s="38"/>
      <c r="V74" s="38"/>
      <c r="W74" s="38"/>
      <c r="X74" s="38"/>
      <c r="Y74" s="38"/>
      <c r="Z74" s="38"/>
      <c r="AA74" s="38"/>
      <c r="AB74" s="38"/>
      <c r="AC74" s="38"/>
      <c r="AD74" s="39"/>
    </row>
    <row r="75" spans="1:30" ht="45" customHeight="1" thickBot="1">
      <c r="A75" s="191"/>
      <c r="B75" s="192"/>
      <c r="C75" s="192"/>
      <c r="D75" s="192"/>
      <c r="E75" s="192"/>
      <c r="F75" s="192"/>
      <c r="G75" s="192"/>
      <c r="H75" s="192"/>
      <c r="I75" s="192"/>
      <c r="J75" s="192"/>
      <c r="K75" s="192"/>
      <c r="L75" s="192"/>
      <c r="M75" s="192"/>
      <c r="N75" s="192"/>
      <c r="O75" s="192"/>
      <c r="P75" s="192"/>
      <c r="Q75" s="192"/>
      <c r="R75" s="192"/>
      <c r="S75" s="192"/>
      <c r="T75" s="192"/>
      <c r="U75" s="192"/>
      <c r="V75" s="192"/>
      <c r="W75" s="192"/>
      <c r="X75" s="192"/>
      <c r="Y75" s="192"/>
      <c r="Z75" s="192"/>
      <c r="AA75" s="192"/>
      <c r="AB75" s="192"/>
      <c r="AC75" s="192"/>
      <c r="AD75" s="193"/>
    </row>
    <row r="76" spans="1:30" ht="15.75">
      <c r="A76" s="4"/>
      <c r="B76" s="4"/>
      <c r="C76" s="4"/>
      <c r="D76" s="4"/>
      <c r="E76" s="4"/>
      <c r="F76" s="4"/>
      <c r="G76" s="4"/>
      <c r="H76" s="4"/>
      <c r="I76" s="4"/>
      <c r="J76" s="4"/>
      <c r="K76" s="4"/>
      <c r="L76" s="5"/>
      <c r="M76" s="2"/>
      <c r="N76" s="2"/>
      <c r="O76" s="2"/>
      <c r="P76" s="2"/>
      <c r="Q76" s="2"/>
      <c r="R76" s="3"/>
      <c r="S76" s="5"/>
      <c r="T76" s="3"/>
      <c r="U76" s="3"/>
      <c r="V76" s="3"/>
      <c r="W76" s="3"/>
      <c r="X76" s="3"/>
      <c r="Y76" s="5"/>
      <c r="Z76" s="5"/>
      <c r="AA76" s="5"/>
      <c r="AB76" s="5"/>
      <c r="AC76" s="5"/>
      <c r="AD76" s="5"/>
    </row>
  </sheetData>
  <mergeCells count="182">
    <mergeCell ref="A53:F53"/>
    <mergeCell ref="G53:K53"/>
    <mergeCell ref="L53:O53"/>
    <mergeCell ref="P53:AD53"/>
    <mergeCell ref="A24:AD24"/>
    <mergeCell ref="A25:AD25"/>
    <mergeCell ref="A27:AD27"/>
    <mergeCell ref="A26:AD26"/>
    <mergeCell ref="A28:AD28"/>
    <mergeCell ref="A29:AD29"/>
    <mergeCell ref="A30:C30"/>
    <mergeCell ref="D30:O30"/>
    <mergeCell ref="P30:U30"/>
    <mergeCell ref="V30:AD30"/>
    <mergeCell ref="V35:AD35"/>
    <mergeCell ref="P34:U34"/>
    <mergeCell ref="A32:F32"/>
    <mergeCell ref="A33:F33"/>
    <mergeCell ref="P33:U33"/>
    <mergeCell ref="P32:U32"/>
    <mergeCell ref="G32:O32"/>
    <mergeCell ref="G34:O34"/>
    <mergeCell ref="G33:O33"/>
    <mergeCell ref="A34:F34"/>
    <mergeCell ref="P51:U51"/>
    <mergeCell ref="V51:Z51"/>
    <mergeCell ref="AA51:AD51"/>
    <mergeCell ref="A52:F52"/>
    <mergeCell ref="G52:K52"/>
    <mergeCell ref="L52:O52"/>
    <mergeCell ref="P52:U52"/>
    <mergeCell ref="V52:Z52"/>
    <mergeCell ref="AA52:AD52"/>
    <mergeCell ref="P41:R42"/>
    <mergeCell ref="P43:R43"/>
    <mergeCell ref="A37:AD38"/>
    <mergeCell ref="P39:AD39"/>
    <mergeCell ref="C40:O40"/>
    <mergeCell ref="C41:O41"/>
    <mergeCell ref="Z40:AD40"/>
    <mergeCell ref="T40:X40"/>
    <mergeCell ref="A39:E39"/>
    <mergeCell ref="F39:O39"/>
    <mergeCell ref="V33:AD33"/>
    <mergeCell ref="V34:AD34"/>
    <mergeCell ref="A35:F35"/>
    <mergeCell ref="P35:U35"/>
    <mergeCell ref="G35:O35"/>
    <mergeCell ref="A8:F8"/>
    <mergeCell ref="G8:O8"/>
    <mergeCell ref="P7:T7"/>
    <mergeCell ref="U7:AD7"/>
    <mergeCell ref="F13:O13"/>
    <mergeCell ref="V32:AD32"/>
    <mergeCell ref="R16:AD16"/>
    <mergeCell ref="R17:AD17"/>
    <mergeCell ref="R18:AD18"/>
    <mergeCell ref="R19:U19"/>
    <mergeCell ref="V19:W19"/>
    <mergeCell ref="X19:AD19"/>
    <mergeCell ref="R12:AD12"/>
    <mergeCell ref="R13:AD13"/>
    <mergeCell ref="V14:W14"/>
    <mergeCell ref="R14:U14"/>
    <mergeCell ref="X14:AD14"/>
    <mergeCell ref="P15:AD15"/>
    <mergeCell ref="A15:O15"/>
    <mergeCell ref="P1:AD4"/>
    <mergeCell ref="A63:G63"/>
    <mergeCell ref="I63:X63"/>
    <mergeCell ref="Z63:AD63"/>
    <mergeCell ref="A49:AD49"/>
    <mergeCell ref="A50:O50"/>
    <mergeCell ref="P50:AD50"/>
    <mergeCell ref="A51:F51"/>
    <mergeCell ref="L51:O51"/>
    <mergeCell ref="G51:K51"/>
    <mergeCell ref="I60:X60"/>
    <mergeCell ref="Z60:AD60"/>
    <mergeCell ref="A61:G61"/>
    <mergeCell ref="I61:X61"/>
    <mergeCell ref="Z61:AD61"/>
    <mergeCell ref="A58:G58"/>
    <mergeCell ref="A59:G59"/>
    <mergeCell ref="A55:AD55"/>
    <mergeCell ref="P40:R40"/>
    <mergeCell ref="P44:R45"/>
    <mergeCell ref="P31:AD31"/>
    <mergeCell ref="D14:O14"/>
    <mergeCell ref="F11:O11"/>
    <mergeCell ref="F12:O12"/>
    <mergeCell ref="A64:AD64"/>
    <mergeCell ref="I59:X59"/>
    <mergeCell ref="Z59:AD59"/>
    <mergeCell ref="A62:G62"/>
    <mergeCell ref="I62:X62"/>
    <mergeCell ref="Z62:AD62"/>
    <mergeCell ref="Z56:AD56"/>
    <mergeCell ref="A57:G57"/>
    <mergeCell ref="I57:X57"/>
    <mergeCell ref="Z57:AD57"/>
    <mergeCell ref="I58:X58"/>
    <mergeCell ref="Z58:AD58"/>
    <mergeCell ref="A75:AD75"/>
    <mergeCell ref="P46:R46"/>
    <mergeCell ref="P47:U48"/>
    <mergeCell ref="S43:AD43"/>
    <mergeCell ref="S46:AD46"/>
    <mergeCell ref="S41:AD42"/>
    <mergeCell ref="S44:AD45"/>
    <mergeCell ref="V47:AD48"/>
    <mergeCell ref="A46:A48"/>
    <mergeCell ref="A45:E45"/>
    <mergeCell ref="B46:E46"/>
    <mergeCell ref="B47:E47"/>
    <mergeCell ref="B48:E48"/>
    <mergeCell ref="F45:O45"/>
    <mergeCell ref="F46:O46"/>
    <mergeCell ref="F47:O47"/>
    <mergeCell ref="F48:O48"/>
    <mergeCell ref="C42:O42"/>
    <mergeCell ref="C43:O43"/>
    <mergeCell ref="C44:O44"/>
    <mergeCell ref="A56:G56"/>
    <mergeCell ref="I56:X56"/>
    <mergeCell ref="A65:AD65"/>
    <mergeCell ref="A60:G60"/>
    <mergeCell ref="U8:AD8"/>
    <mergeCell ref="U9:AD9"/>
    <mergeCell ref="R11:AD11"/>
    <mergeCell ref="P8:T8"/>
    <mergeCell ref="P9:T9"/>
    <mergeCell ref="P10:AD10"/>
    <mergeCell ref="P11:Q13"/>
    <mergeCell ref="P5:T5"/>
    <mergeCell ref="P6:T6"/>
    <mergeCell ref="U5:AD5"/>
    <mergeCell ref="U6:AD6"/>
    <mergeCell ref="A5:O6"/>
    <mergeCell ref="A9:F9"/>
    <mergeCell ref="A7:F7"/>
    <mergeCell ref="A21:AD22"/>
    <mergeCell ref="A23:AD23"/>
    <mergeCell ref="A31:O31"/>
    <mergeCell ref="G7:O7"/>
    <mergeCell ref="A14:C14"/>
    <mergeCell ref="A13:E13"/>
    <mergeCell ref="P14:Q14"/>
    <mergeCell ref="P19:Q19"/>
    <mergeCell ref="A19:B19"/>
    <mergeCell ref="P16:Q18"/>
    <mergeCell ref="A16:B18"/>
    <mergeCell ref="C16:O16"/>
    <mergeCell ref="C17:O17"/>
    <mergeCell ref="C18:O18"/>
    <mergeCell ref="C19:F19"/>
    <mergeCell ref="G19:H19"/>
    <mergeCell ref="I19:O19"/>
    <mergeCell ref="G9:O9"/>
    <mergeCell ref="A10:O10"/>
    <mergeCell ref="A11:E11"/>
    <mergeCell ref="A12:E12"/>
    <mergeCell ref="A72:M72"/>
    <mergeCell ref="N72:O72"/>
    <mergeCell ref="P72:AB72"/>
    <mergeCell ref="AC72:AD72"/>
    <mergeCell ref="A67:AD67"/>
    <mergeCell ref="N68:O68"/>
    <mergeCell ref="AC68:AD68"/>
    <mergeCell ref="A68:M68"/>
    <mergeCell ref="P68:AB68"/>
    <mergeCell ref="A69:M69"/>
    <mergeCell ref="N69:O69"/>
    <mergeCell ref="A70:M70"/>
    <mergeCell ref="N70:O70"/>
    <mergeCell ref="P70:AB70"/>
    <mergeCell ref="AC70:AD70"/>
    <mergeCell ref="P69:AD69"/>
    <mergeCell ref="A71:M71"/>
    <mergeCell ref="N71:O71"/>
    <mergeCell ref="P71:AB71"/>
    <mergeCell ref="AC71:AD71"/>
  </mergeCells>
  <dataValidations count="5">
    <dataValidation type="list" allowBlank="1" sqref="D30:O30" xr:uid="{8CB33AA5-3043-45F1-9EB6-7A5608586D8F}">
      <formula1>L_Suiteà</formula1>
    </dataValidation>
    <dataValidation type="list" allowBlank="1" sqref="V30:AD30" xr:uid="{5AD56B7B-D9B1-4AB6-AD32-BDF8771A98BB}">
      <formula1>L_OffreàEnvoyer</formula1>
    </dataValidation>
    <dataValidation type="list" allowBlank="1" sqref="N68:O72 AC68:AD68 AC70:AD72" xr:uid="{5BCE4403-73C3-4E31-BC10-9B8EAA2C8CDC}">
      <formula1>L_Oui_Non</formula1>
    </dataValidation>
    <dataValidation type="list" allowBlank="1" sqref="F48:O48" xr:uid="{60CBC919-98CA-4F88-82DA-D5EBE1AC06B8}">
      <formula1>L_Responsabilité</formula1>
    </dataValidation>
    <dataValidation type="list" allowBlank="1" sqref="F39:O39" xr:uid="{0EB63E26-52D2-4B09-B4BD-0E15BC00E2DF}">
      <formula1>Condition_de_paiement</formula1>
    </dataValidation>
  </dataValidations>
  <hyperlinks>
    <hyperlink ref="A71:M71" location="'Offre commerciale'!A1" display="Bilan financier (Onglet Offre commerciale) :" xr:uid="{377DF834-F980-4019-A419-D56747C183A8}"/>
  </hyperlinks>
  <printOptions horizontalCentered="1"/>
  <pageMargins left="0.23622047244094502" right="0.23622047244094502" top="0.23622047244094502" bottom="0.23622047244094502" header="0.31496062992126" footer="0.31496062992126"/>
  <pageSetup paperSize="9" fitToHeight="0" orientation="portrait" r:id="rId1"/>
  <headerFooter>
    <oddHeader>&amp;R&amp;D</oddHeader>
    <oddFooter>&amp;L&amp;Z&amp;F&amp;RPage &amp;P/&amp;N</oddFooter>
  </headerFooter>
  <rowBreaks count="1" manualBreakCount="1">
    <brk id="36" max="29" man="1"/>
  </rowBreaks>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ImpressionDossierComplet">
                <anchor moveWithCells="1" sizeWithCells="1">
                  <from>
                    <xdr:col>31</xdr:col>
                    <xdr:colOff>581025</xdr:colOff>
                    <xdr:row>1</xdr:row>
                    <xdr:rowOff>9525</xdr:rowOff>
                  </from>
                  <to>
                    <xdr:col>33</xdr:col>
                    <xdr:colOff>133350</xdr:colOff>
                    <xdr:row>3</xdr:row>
                    <xdr:rowOff>38100</xdr:rowOff>
                  </to>
                </anchor>
              </controlPr>
            </control>
          </mc:Choice>
        </mc:AlternateContent>
        <mc:AlternateContent xmlns:mc="http://schemas.openxmlformats.org/markup-compatibility/2006">
          <mc:Choice Requires="x14">
            <control shapeId="1056" r:id="rId5" name="Button 32">
              <controlPr defaultSize="0" print="0" autoFill="0" autoPict="0" macro="[0]!ImpressionPVReception">
                <anchor moveWithCells="1" sizeWithCells="1">
                  <from>
                    <xdr:col>31</xdr:col>
                    <xdr:colOff>581025</xdr:colOff>
                    <xdr:row>6</xdr:row>
                    <xdr:rowOff>161925</xdr:rowOff>
                  </from>
                  <to>
                    <xdr:col>33</xdr:col>
                    <xdr:colOff>133350</xdr:colOff>
                    <xdr:row>8</xdr:row>
                    <xdr:rowOff>133350</xdr:rowOff>
                  </to>
                </anchor>
              </controlPr>
            </control>
          </mc:Choice>
        </mc:AlternateContent>
        <mc:AlternateContent xmlns:mc="http://schemas.openxmlformats.org/markup-compatibility/2006">
          <mc:Choice Requires="x14">
            <control shapeId="1057" r:id="rId6" name="Button 33">
              <controlPr defaultSize="0" print="0" autoFill="0" autoPict="0" macro="[0]!ImpressionMES">
                <anchor moveWithCells="1" sizeWithCells="1">
                  <from>
                    <xdr:col>31</xdr:col>
                    <xdr:colOff>581025</xdr:colOff>
                    <xdr:row>11</xdr:row>
                    <xdr:rowOff>180975</xdr:rowOff>
                  </from>
                  <to>
                    <xdr:col>33</xdr:col>
                    <xdr:colOff>133350</xdr:colOff>
                    <xdr:row>13</xdr:row>
                    <xdr:rowOff>142875</xdr:rowOff>
                  </to>
                </anchor>
              </controlPr>
            </control>
          </mc:Choice>
        </mc:AlternateContent>
        <mc:AlternateContent xmlns:mc="http://schemas.openxmlformats.org/markup-compatibility/2006">
          <mc:Choice Requires="x14">
            <control shapeId="1058" r:id="rId7" name="Button 34">
              <controlPr defaultSize="0" print="0" autoFill="0" autoPict="0" macro="[0]!ImpressionPagePrincipale">
                <anchor moveWithCells="1" sizeWithCells="1">
                  <from>
                    <xdr:col>31</xdr:col>
                    <xdr:colOff>581025</xdr:colOff>
                    <xdr:row>4</xdr:row>
                    <xdr:rowOff>0</xdr:rowOff>
                  </from>
                  <to>
                    <xdr:col>33</xdr:col>
                    <xdr:colOff>133350</xdr:colOff>
                    <xdr:row>6</xdr:row>
                    <xdr:rowOff>19050</xdr:rowOff>
                  </to>
                </anchor>
              </controlPr>
            </control>
          </mc:Choice>
        </mc:AlternateContent>
        <mc:AlternateContent xmlns:mc="http://schemas.openxmlformats.org/markup-compatibility/2006">
          <mc:Choice Requires="x14">
            <control shapeId="1059" r:id="rId8" name="Button 35">
              <controlPr defaultSize="0" print="0" autoFill="0" autoPict="0" macro="[0]!MiseEnService">
                <anchor moveWithCells="1" sizeWithCells="1">
                  <from>
                    <xdr:col>31</xdr:col>
                    <xdr:colOff>581025</xdr:colOff>
                    <xdr:row>9</xdr:row>
                    <xdr:rowOff>76200</xdr:rowOff>
                  </from>
                  <to>
                    <xdr:col>33</xdr:col>
                    <xdr:colOff>133350</xdr:colOff>
                    <xdr:row>11</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3B876-D7FC-43E0-9839-5B51B0BF6059}">
  <sheetPr codeName="Feuil13">
    <tabColor theme="5" tint="0.59999389629810485"/>
    <outlinePr summaryBelow="0"/>
    <pageSetUpPr fitToPage="1"/>
  </sheetPr>
  <dimension ref="A1:AL113"/>
  <sheetViews>
    <sheetView view="pageBreakPreview" zoomScale="115" zoomScaleNormal="100" zoomScaleSheetLayoutView="115" workbookViewId="0">
      <pane ySplit="13" topLeftCell="A52" activePane="bottomLeft" state="frozen"/>
      <selection pane="bottomLeft" activeCell="A63" sqref="A63"/>
    </sheetView>
  </sheetViews>
  <sheetFormatPr baseColWidth="10" defaultColWidth="11.42578125" defaultRowHeight="15" outlineLevelRow="1"/>
  <cols>
    <col min="1" max="24" width="3.7109375" customWidth="1"/>
    <col min="25" max="36" width="4.28515625" customWidth="1"/>
    <col min="37" max="38" width="3.28515625" customWidth="1"/>
  </cols>
  <sheetData>
    <row r="1" spans="1:38" ht="14.1" customHeight="1">
      <c r="T1" s="326" t="s">
        <v>106</v>
      </c>
      <c r="U1" s="326"/>
      <c r="V1" s="326"/>
      <c r="W1" s="326"/>
      <c r="X1" s="326"/>
      <c r="Y1" s="326"/>
      <c r="Z1" s="326"/>
      <c r="AA1" s="326"/>
      <c r="AB1" s="326"/>
      <c r="AC1" s="326"/>
      <c r="AD1" s="326"/>
      <c r="AE1" s="326"/>
      <c r="AF1" s="326"/>
      <c r="AG1" s="326"/>
      <c r="AH1" s="326"/>
    </row>
    <row r="2" spans="1:38" ht="14.1" customHeight="1">
      <c r="T2" s="327"/>
      <c r="U2" s="327"/>
      <c r="V2" s="327"/>
      <c r="W2" s="327"/>
      <c r="X2" s="327"/>
      <c r="Y2" s="327"/>
      <c r="Z2" s="327"/>
      <c r="AA2" s="327"/>
      <c r="AB2" s="327"/>
      <c r="AC2" s="327"/>
      <c r="AD2" s="327"/>
      <c r="AE2" s="327"/>
      <c r="AF2" s="327"/>
      <c r="AG2" s="327"/>
      <c r="AH2" s="327"/>
    </row>
    <row r="3" spans="1:38" ht="14.1" customHeight="1">
      <c r="T3" s="327"/>
      <c r="U3" s="327"/>
      <c r="V3" s="327"/>
      <c r="W3" s="327"/>
      <c r="X3" s="327"/>
      <c r="Y3" s="327"/>
      <c r="Z3" s="327"/>
      <c r="AA3" s="327"/>
      <c r="AB3" s="327"/>
      <c r="AC3" s="327"/>
      <c r="AD3" s="327"/>
      <c r="AE3" s="327"/>
      <c r="AF3" s="327"/>
      <c r="AG3" s="327"/>
      <c r="AH3" s="327"/>
    </row>
    <row r="4" spans="1:38" ht="14.1" customHeight="1" thickBot="1">
      <c r="T4" s="328"/>
      <c r="U4" s="328"/>
      <c r="V4" s="328"/>
      <c r="W4" s="328"/>
      <c r="X4" s="328"/>
      <c r="Y4" s="328"/>
      <c r="Z4" s="328"/>
      <c r="AA4" s="328"/>
      <c r="AB4" s="328"/>
      <c r="AC4" s="328"/>
      <c r="AD4" s="328"/>
      <c r="AE4" s="328"/>
      <c r="AF4" s="328"/>
      <c r="AG4" s="328"/>
      <c r="AH4" s="328"/>
    </row>
    <row r="5" spans="1:38" ht="14.1" customHeight="1">
      <c r="E5" s="329" t="s">
        <v>1</v>
      </c>
      <c r="F5" s="330"/>
      <c r="G5" s="330"/>
      <c r="H5" s="330"/>
      <c r="I5" s="330"/>
      <c r="J5" s="330"/>
      <c r="K5" s="330"/>
      <c r="L5" s="330"/>
      <c r="M5" s="330"/>
      <c r="N5" s="330"/>
      <c r="O5" s="330"/>
      <c r="P5" s="330"/>
      <c r="Q5" s="330"/>
      <c r="R5" s="330"/>
      <c r="S5" s="331"/>
      <c r="T5" s="182" t="s">
        <v>2</v>
      </c>
      <c r="U5" s="183"/>
      <c r="V5" s="183"/>
      <c r="W5" s="183"/>
      <c r="X5" s="184"/>
      <c r="Y5" s="336">
        <f>Client</f>
        <v>0</v>
      </c>
      <c r="Z5" s="337"/>
      <c r="AA5" s="337"/>
      <c r="AB5" s="337"/>
      <c r="AC5" s="337"/>
      <c r="AD5" s="337"/>
      <c r="AE5" s="337"/>
      <c r="AF5" s="337"/>
      <c r="AG5" s="337"/>
      <c r="AH5" s="338"/>
    </row>
    <row r="6" spans="1:38" ht="14.1" customHeight="1" thickBot="1">
      <c r="E6" s="332"/>
      <c r="F6" s="333"/>
      <c r="G6" s="333"/>
      <c r="H6" s="333"/>
      <c r="I6" s="333"/>
      <c r="J6" s="333"/>
      <c r="K6" s="333"/>
      <c r="L6" s="333"/>
      <c r="M6" s="333"/>
      <c r="N6" s="333"/>
      <c r="O6" s="333"/>
      <c r="P6" s="333"/>
      <c r="Q6" s="333"/>
      <c r="R6" s="333"/>
      <c r="S6" s="334"/>
      <c r="T6" s="178" t="s">
        <v>3</v>
      </c>
      <c r="U6" s="179"/>
      <c r="V6" s="179"/>
      <c r="W6" s="179"/>
      <c r="X6" s="180"/>
      <c r="Y6" s="347">
        <f>Num_Devis</f>
        <v>0</v>
      </c>
      <c r="Z6" s="348"/>
      <c r="AA6" s="348"/>
      <c r="AB6" s="348"/>
      <c r="AC6" s="348"/>
      <c r="AD6" s="348"/>
      <c r="AE6" s="348"/>
      <c r="AF6" s="348"/>
      <c r="AG6" s="348"/>
      <c r="AH6" s="349"/>
    </row>
    <row r="7" spans="1:38" ht="15.95" customHeight="1">
      <c r="E7" s="350" t="s">
        <v>4</v>
      </c>
      <c r="F7" s="351"/>
      <c r="G7" s="351"/>
      <c r="H7" s="351"/>
      <c r="I7" s="351"/>
      <c r="J7" s="352"/>
      <c r="K7" s="336">
        <f>Commercial</f>
        <v>0</v>
      </c>
      <c r="L7" s="337"/>
      <c r="M7" s="337"/>
      <c r="N7" s="337"/>
      <c r="O7" s="337"/>
      <c r="P7" s="337"/>
      <c r="Q7" s="337"/>
      <c r="R7" s="337"/>
      <c r="S7" s="338"/>
      <c r="T7" s="256" t="s">
        <v>5</v>
      </c>
      <c r="U7" s="257"/>
      <c r="V7" s="257"/>
      <c r="W7" s="257"/>
      <c r="X7" s="258"/>
      <c r="Y7" s="347">
        <f>Code_Client_Divalto</f>
        <v>0</v>
      </c>
      <c r="Z7" s="348"/>
      <c r="AA7" s="348"/>
      <c r="AB7" s="348"/>
      <c r="AC7" s="348"/>
      <c r="AD7" s="348"/>
      <c r="AE7" s="348"/>
      <c r="AF7" s="348"/>
      <c r="AG7" s="348"/>
      <c r="AH7" s="349"/>
    </row>
    <row r="8" spans="1:38" ht="15.95" customHeight="1">
      <c r="E8" s="339" t="s">
        <v>6</v>
      </c>
      <c r="F8" s="340"/>
      <c r="G8" s="340"/>
      <c r="H8" s="340"/>
      <c r="I8" s="340"/>
      <c r="J8" s="341"/>
      <c r="K8" s="347">
        <f>ICA</f>
        <v>0</v>
      </c>
      <c r="L8" s="348"/>
      <c r="M8" s="348"/>
      <c r="N8" s="348"/>
      <c r="O8" s="348"/>
      <c r="P8" s="348"/>
      <c r="Q8" s="348"/>
      <c r="R8" s="348"/>
      <c r="S8" s="349"/>
      <c r="T8" s="339" t="s">
        <v>7</v>
      </c>
      <c r="U8" s="340"/>
      <c r="V8" s="340"/>
      <c r="W8" s="340"/>
      <c r="X8" s="341"/>
      <c r="Y8" s="347">
        <f>Affaire_Div</f>
        <v>0</v>
      </c>
      <c r="Z8" s="348"/>
      <c r="AA8" s="348"/>
      <c r="AB8" s="348"/>
      <c r="AC8" s="348"/>
      <c r="AD8" s="348"/>
      <c r="AE8" s="348"/>
      <c r="AF8" s="348"/>
      <c r="AG8" s="348"/>
      <c r="AH8" s="349"/>
    </row>
    <row r="9" spans="1:38" ht="15.95" customHeight="1" thickBot="1">
      <c r="E9" s="342" t="s">
        <v>107</v>
      </c>
      <c r="F9" s="343"/>
      <c r="G9" s="343"/>
      <c r="H9" s="343"/>
      <c r="I9" s="343"/>
      <c r="J9" s="344"/>
      <c r="K9" s="353">
        <f>ChargéAF</f>
        <v>0</v>
      </c>
      <c r="L9" s="354"/>
      <c r="M9" s="354"/>
      <c r="N9" s="354"/>
      <c r="O9" s="354"/>
      <c r="P9" s="354"/>
      <c r="Q9" s="354"/>
      <c r="R9" s="354"/>
      <c r="S9" s="355"/>
      <c r="T9" s="342" t="s">
        <v>9</v>
      </c>
      <c r="U9" s="343"/>
      <c r="V9" s="343"/>
      <c r="W9" s="343"/>
      <c r="X9" s="344"/>
      <c r="Y9" s="353">
        <f>Projet_SF</f>
        <v>0</v>
      </c>
      <c r="Z9" s="354"/>
      <c r="AA9" s="354"/>
      <c r="AB9" s="354"/>
      <c r="AC9" s="354"/>
      <c r="AD9" s="354"/>
      <c r="AE9" s="354"/>
      <c r="AF9" s="354"/>
      <c r="AG9" s="354"/>
      <c r="AH9" s="355"/>
    </row>
    <row r="10" spans="1:38" ht="12" customHeight="1"/>
    <row r="11" spans="1:38" ht="18">
      <c r="A11" s="345" t="s">
        <v>108</v>
      </c>
      <c r="B11" s="346"/>
      <c r="C11" s="346"/>
      <c r="D11" s="346"/>
      <c r="E11" s="346"/>
      <c r="F11" s="346"/>
      <c r="G11" s="346"/>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c r="AH11" s="346"/>
      <c r="AI11" s="346"/>
      <c r="AJ11" s="346"/>
      <c r="AK11" s="346"/>
      <c r="AL11" s="346"/>
    </row>
    <row r="12" spans="1:38">
      <c r="A12" s="161" t="s">
        <v>109</v>
      </c>
      <c r="B12" s="161"/>
      <c r="C12" s="161"/>
      <c r="D12" s="161"/>
      <c r="E12" s="161"/>
      <c r="F12" s="161"/>
      <c r="G12" s="161"/>
      <c r="H12" s="162"/>
      <c r="I12" s="162"/>
      <c r="J12" s="86" t="s">
        <v>110</v>
      </c>
      <c r="K12" s="86"/>
      <c r="R12" s="335" t="s">
        <v>111</v>
      </c>
      <c r="S12" s="335"/>
      <c r="T12" s="335"/>
      <c r="U12" s="335"/>
      <c r="V12" s="335"/>
      <c r="W12" s="335"/>
      <c r="X12" s="163"/>
      <c r="Y12" s="359"/>
      <c r="Z12" s="86" t="s">
        <v>112</v>
      </c>
      <c r="AA12" s="86"/>
      <c r="AB12" s="161" t="s">
        <v>113</v>
      </c>
      <c r="AC12" s="161"/>
      <c r="AD12" s="161"/>
      <c r="AE12" s="162"/>
      <c r="AF12" s="162"/>
      <c r="AG12" s="35" t="s">
        <v>114</v>
      </c>
      <c r="AH12" s="93"/>
      <c r="AI12" s="35" t="s">
        <v>115</v>
      </c>
      <c r="AJ12" s="35"/>
      <c r="AK12" s="93">
        <v>50</v>
      </c>
      <c r="AL12" s="35" t="s">
        <v>116</v>
      </c>
    </row>
    <row r="13" spans="1:38" ht="30.75" customHeight="1">
      <c r="A13" s="325" t="s">
        <v>117</v>
      </c>
      <c r="B13" s="325"/>
      <c r="C13" s="325"/>
      <c r="D13" s="325"/>
      <c r="E13" s="325"/>
      <c r="F13" s="325"/>
      <c r="G13" s="325"/>
      <c r="H13" s="325" t="s">
        <v>118</v>
      </c>
      <c r="I13" s="325"/>
      <c r="J13" s="325"/>
      <c r="K13" s="325" t="s">
        <v>119</v>
      </c>
      <c r="L13" s="325"/>
      <c r="M13" s="325"/>
      <c r="N13" s="325"/>
      <c r="O13" s="356" t="s">
        <v>120</v>
      </c>
      <c r="P13" s="325"/>
      <c r="Q13" s="356" t="s">
        <v>121</v>
      </c>
      <c r="R13" s="356"/>
      <c r="S13" s="356" t="s">
        <v>122</v>
      </c>
      <c r="T13" s="356"/>
      <c r="U13" s="356" t="s">
        <v>123</v>
      </c>
      <c r="V13" s="356"/>
      <c r="W13" s="356" t="s">
        <v>124</v>
      </c>
      <c r="X13" s="356"/>
      <c r="Y13" s="356" t="s">
        <v>125</v>
      </c>
      <c r="Z13" s="356"/>
      <c r="AA13" s="356"/>
      <c r="AB13" s="356" t="s">
        <v>126</v>
      </c>
      <c r="AC13" s="356"/>
      <c r="AD13" s="356"/>
      <c r="AE13" s="356" t="s">
        <v>127</v>
      </c>
      <c r="AF13" s="356"/>
      <c r="AG13" s="356"/>
      <c r="AH13" s="356" t="s">
        <v>128</v>
      </c>
      <c r="AI13" s="356"/>
      <c r="AJ13" s="356"/>
      <c r="AK13" s="356" t="s">
        <v>129</v>
      </c>
      <c r="AL13" s="356"/>
    </row>
    <row r="14" spans="1:38" ht="18.75">
      <c r="A14" s="358" t="s">
        <v>130</v>
      </c>
      <c r="B14" s="358"/>
      <c r="C14" s="358"/>
      <c r="D14" s="358"/>
      <c r="E14" s="358"/>
      <c r="F14" s="358"/>
      <c r="G14" s="358"/>
      <c r="H14" s="358"/>
      <c r="I14" s="358"/>
      <c r="J14" s="358"/>
      <c r="K14" s="358"/>
      <c r="L14" s="358"/>
      <c r="M14" s="358"/>
      <c r="N14" s="358"/>
      <c r="O14" s="358"/>
      <c r="P14" s="358"/>
      <c r="Q14" s="358"/>
      <c r="R14" s="358"/>
      <c r="S14" s="358"/>
      <c r="T14" s="161" t="s">
        <v>131</v>
      </c>
      <c r="U14" s="161"/>
      <c r="V14" s="161"/>
      <c r="W14" s="161"/>
      <c r="X14" s="161"/>
      <c r="Y14" s="162" t="s">
        <v>132</v>
      </c>
      <c r="Z14" s="162"/>
      <c r="AA14" s="162"/>
      <c r="AB14" s="161" t="s">
        <v>133</v>
      </c>
      <c r="AC14" s="161"/>
      <c r="AD14" s="161"/>
      <c r="AE14" s="161"/>
      <c r="AF14" s="162"/>
      <c r="AG14" s="162"/>
      <c r="AH14" s="162"/>
      <c r="AI14" s="162"/>
      <c r="AJ14" s="162"/>
      <c r="AK14" s="162"/>
      <c r="AL14" s="162"/>
    </row>
    <row r="15" spans="1:38" ht="18.75">
      <c r="A15" s="111" t="s">
        <v>134</v>
      </c>
      <c r="B15" s="112"/>
      <c r="C15" s="112"/>
      <c r="D15" s="112"/>
      <c r="E15" s="112"/>
      <c r="F15" s="112"/>
      <c r="G15" s="112"/>
      <c r="H15" s="113"/>
      <c r="I15" s="113"/>
      <c r="J15" s="113"/>
      <c r="K15" s="113"/>
      <c r="L15" s="113"/>
      <c r="M15" s="113"/>
      <c r="N15" s="113"/>
      <c r="O15" s="113"/>
      <c r="P15" s="113"/>
      <c r="Q15" s="113"/>
      <c r="R15" s="113"/>
      <c r="S15" s="113"/>
      <c r="T15" s="113"/>
      <c r="U15" s="113"/>
      <c r="V15" s="113"/>
      <c r="W15" s="113"/>
      <c r="X15" s="113"/>
      <c r="Y15" s="113"/>
      <c r="Z15" s="113"/>
      <c r="AA15" s="113"/>
      <c r="AB15" s="360">
        <f>SUBTOTAL(9,AB16:AD24)</f>
        <v>0</v>
      </c>
      <c r="AC15" s="360"/>
      <c r="AD15" s="360"/>
      <c r="AE15" s="375"/>
      <c r="AF15" s="376"/>
      <c r="AG15" s="377"/>
      <c r="AH15" s="360">
        <f>SUBTOTAL(9,AH16:AJ24)</f>
        <v>0</v>
      </c>
      <c r="AI15" s="360"/>
      <c r="AJ15" s="360"/>
      <c r="AK15" s="357" t="str">
        <f>IF(AH15=0,"",1-(AB15/AH15))</f>
        <v/>
      </c>
      <c r="AL15" s="357"/>
    </row>
    <row r="16" spans="1:38" outlineLevel="1">
      <c r="A16" s="322" t="s">
        <v>135</v>
      </c>
      <c r="B16" s="322"/>
      <c r="C16" s="322"/>
      <c r="D16" s="322"/>
      <c r="E16" s="322"/>
      <c r="F16" s="322"/>
      <c r="G16" s="322"/>
      <c r="H16" s="131"/>
      <c r="I16" s="131"/>
      <c r="J16" s="131"/>
      <c r="K16" s="312"/>
      <c r="L16" s="313"/>
      <c r="M16" s="313"/>
      <c r="N16" s="314"/>
      <c r="O16" s="312"/>
      <c r="P16" s="314"/>
      <c r="Q16" s="315"/>
      <c r="R16" s="131"/>
      <c r="S16" s="315"/>
      <c r="T16" s="315"/>
      <c r="U16" s="312" t="s">
        <v>136</v>
      </c>
      <c r="V16" s="314"/>
      <c r="W16" s="315"/>
      <c r="X16" s="315"/>
      <c r="Y16" s="316"/>
      <c r="Z16" s="317"/>
      <c r="AA16" s="318"/>
      <c r="AB16" s="319">
        <f>Y16*W16</f>
        <v>0</v>
      </c>
      <c r="AC16" s="320"/>
      <c r="AD16" s="321"/>
      <c r="AE16" s="316"/>
      <c r="AF16" s="317"/>
      <c r="AG16" s="318"/>
      <c r="AH16" s="319">
        <f>AE16*W16</f>
        <v>0</v>
      </c>
      <c r="AI16" s="320"/>
      <c r="AJ16" s="321"/>
      <c r="AK16" s="310" t="str">
        <f>IF(ISBLANK(AE16),"",1-(Y16/AE16))</f>
        <v/>
      </c>
      <c r="AL16" s="311"/>
    </row>
    <row r="17" spans="1:38" ht="15" customHeight="1" outlineLevel="1">
      <c r="A17" s="322" t="s">
        <v>137</v>
      </c>
      <c r="B17" s="322"/>
      <c r="C17" s="322"/>
      <c r="D17" s="322"/>
      <c r="E17" s="322"/>
      <c r="F17" s="322"/>
      <c r="G17" s="322"/>
      <c r="H17" s="131"/>
      <c r="I17" s="131"/>
      <c r="J17" s="131"/>
      <c r="K17" s="312"/>
      <c r="L17" s="313"/>
      <c r="M17" s="313"/>
      <c r="N17" s="314"/>
      <c r="O17" s="312"/>
      <c r="P17" s="314"/>
      <c r="Q17" s="315"/>
      <c r="R17" s="131"/>
      <c r="S17" s="315"/>
      <c r="T17" s="315"/>
      <c r="U17" s="312" t="s">
        <v>136</v>
      </c>
      <c r="V17" s="314"/>
      <c r="W17" s="315"/>
      <c r="X17" s="315"/>
      <c r="Y17" s="316"/>
      <c r="Z17" s="317"/>
      <c r="AA17" s="318"/>
      <c r="AB17" s="319">
        <f t="shared" ref="AB17:AB22" si="0">Y17*W17</f>
        <v>0</v>
      </c>
      <c r="AC17" s="320"/>
      <c r="AD17" s="321"/>
      <c r="AE17" s="316"/>
      <c r="AF17" s="317"/>
      <c r="AG17" s="318"/>
      <c r="AH17" s="319">
        <f t="shared" ref="AH17:AH22" si="1">AE17*W17</f>
        <v>0</v>
      </c>
      <c r="AI17" s="320"/>
      <c r="AJ17" s="321"/>
      <c r="AK17" s="310" t="str">
        <f t="shared" ref="AK17:AK24" si="2">IF(ISBLANK(AE17),"",1-(Y17/AE17))</f>
        <v/>
      </c>
      <c r="AL17" s="311"/>
    </row>
    <row r="18" spans="1:38" ht="15" customHeight="1" outlineLevel="1">
      <c r="A18" s="322" t="s">
        <v>138</v>
      </c>
      <c r="B18" s="322"/>
      <c r="C18" s="322"/>
      <c r="D18" s="322"/>
      <c r="E18" s="322"/>
      <c r="F18" s="322"/>
      <c r="G18" s="322"/>
      <c r="H18" s="131"/>
      <c r="I18" s="131"/>
      <c r="J18" s="131"/>
      <c r="K18" s="312"/>
      <c r="L18" s="313"/>
      <c r="M18" s="313"/>
      <c r="N18" s="314"/>
      <c r="O18" s="312"/>
      <c r="P18" s="314"/>
      <c r="Q18" s="315"/>
      <c r="R18" s="131"/>
      <c r="S18" s="315"/>
      <c r="T18" s="315"/>
      <c r="U18" s="312" t="s">
        <v>136</v>
      </c>
      <c r="V18" s="314"/>
      <c r="W18" s="315"/>
      <c r="X18" s="315"/>
      <c r="Y18" s="316"/>
      <c r="Z18" s="317"/>
      <c r="AA18" s="318"/>
      <c r="AB18" s="319">
        <f t="shared" si="0"/>
        <v>0</v>
      </c>
      <c r="AC18" s="320"/>
      <c r="AD18" s="321"/>
      <c r="AE18" s="316"/>
      <c r="AF18" s="317"/>
      <c r="AG18" s="318"/>
      <c r="AH18" s="319">
        <f t="shared" si="1"/>
        <v>0</v>
      </c>
      <c r="AI18" s="320"/>
      <c r="AJ18" s="321"/>
      <c r="AK18" s="310" t="str">
        <f t="shared" si="2"/>
        <v/>
      </c>
      <c r="AL18" s="311"/>
    </row>
    <row r="19" spans="1:38" ht="15" customHeight="1" outlineLevel="1">
      <c r="A19" s="322" t="s">
        <v>139</v>
      </c>
      <c r="B19" s="322"/>
      <c r="C19" s="322"/>
      <c r="D19" s="322"/>
      <c r="E19" s="322"/>
      <c r="F19" s="322"/>
      <c r="G19" s="322"/>
      <c r="H19" s="131"/>
      <c r="I19" s="131"/>
      <c r="J19" s="131"/>
      <c r="K19" s="312"/>
      <c r="L19" s="313"/>
      <c r="M19" s="313"/>
      <c r="N19" s="314"/>
      <c r="O19" s="312"/>
      <c r="P19" s="314"/>
      <c r="Q19" s="315"/>
      <c r="R19" s="131"/>
      <c r="S19" s="315"/>
      <c r="T19" s="315"/>
      <c r="U19" s="312" t="s">
        <v>136</v>
      </c>
      <c r="V19" s="314"/>
      <c r="W19" s="315"/>
      <c r="X19" s="315"/>
      <c r="Y19" s="316"/>
      <c r="Z19" s="317"/>
      <c r="AA19" s="318"/>
      <c r="AB19" s="319">
        <f t="shared" si="0"/>
        <v>0</v>
      </c>
      <c r="AC19" s="320"/>
      <c r="AD19" s="321"/>
      <c r="AE19" s="316"/>
      <c r="AF19" s="317"/>
      <c r="AG19" s="318"/>
      <c r="AH19" s="319">
        <f t="shared" si="1"/>
        <v>0</v>
      </c>
      <c r="AI19" s="320"/>
      <c r="AJ19" s="321"/>
      <c r="AK19" s="310" t="str">
        <f t="shared" si="2"/>
        <v/>
      </c>
      <c r="AL19" s="311"/>
    </row>
    <row r="20" spans="1:38" ht="15" customHeight="1" outlineLevel="1">
      <c r="A20" s="322" t="s">
        <v>140</v>
      </c>
      <c r="B20" s="322"/>
      <c r="C20" s="322"/>
      <c r="D20" s="322"/>
      <c r="E20" s="322"/>
      <c r="F20" s="322"/>
      <c r="G20" s="322"/>
      <c r="H20" s="131"/>
      <c r="I20" s="131"/>
      <c r="J20" s="131"/>
      <c r="K20" s="312"/>
      <c r="L20" s="313"/>
      <c r="M20" s="313"/>
      <c r="N20" s="314"/>
      <c r="O20" s="312"/>
      <c r="P20" s="314"/>
      <c r="Q20" s="315"/>
      <c r="R20" s="131"/>
      <c r="S20" s="315"/>
      <c r="T20" s="315"/>
      <c r="U20" s="312" t="s">
        <v>136</v>
      </c>
      <c r="V20" s="314"/>
      <c r="W20" s="315"/>
      <c r="X20" s="315"/>
      <c r="Y20" s="316"/>
      <c r="Z20" s="317"/>
      <c r="AA20" s="318"/>
      <c r="AB20" s="319">
        <f t="shared" si="0"/>
        <v>0</v>
      </c>
      <c r="AC20" s="320"/>
      <c r="AD20" s="321"/>
      <c r="AE20" s="316"/>
      <c r="AF20" s="317"/>
      <c r="AG20" s="318"/>
      <c r="AH20" s="319">
        <f t="shared" si="1"/>
        <v>0</v>
      </c>
      <c r="AI20" s="320"/>
      <c r="AJ20" s="321"/>
      <c r="AK20" s="310" t="str">
        <f t="shared" si="2"/>
        <v/>
      </c>
      <c r="AL20" s="311"/>
    </row>
    <row r="21" spans="1:38" ht="15" customHeight="1" outlineLevel="1">
      <c r="A21" s="322" t="s">
        <v>141</v>
      </c>
      <c r="B21" s="322"/>
      <c r="C21" s="322"/>
      <c r="D21" s="322"/>
      <c r="E21" s="322"/>
      <c r="F21" s="322"/>
      <c r="G21" s="322"/>
      <c r="H21" s="131"/>
      <c r="I21" s="131"/>
      <c r="J21" s="131"/>
      <c r="K21" s="312"/>
      <c r="L21" s="313"/>
      <c r="M21" s="313"/>
      <c r="N21" s="314"/>
      <c r="O21" s="312"/>
      <c r="P21" s="314"/>
      <c r="Q21" s="315"/>
      <c r="R21" s="131"/>
      <c r="S21" s="315"/>
      <c r="T21" s="315"/>
      <c r="U21" s="312" t="s">
        <v>136</v>
      </c>
      <c r="V21" s="314"/>
      <c r="W21" s="315"/>
      <c r="X21" s="315"/>
      <c r="Y21" s="316"/>
      <c r="Z21" s="317"/>
      <c r="AA21" s="318"/>
      <c r="AB21" s="319">
        <f t="shared" si="0"/>
        <v>0</v>
      </c>
      <c r="AC21" s="320"/>
      <c r="AD21" s="321"/>
      <c r="AE21" s="316"/>
      <c r="AF21" s="317"/>
      <c r="AG21" s="318"/>
      <c r="AH21" s="319">
        <f t="shared" si="1"/>
        <v>0</v>
      </c>
      <c r="AI21" s="320"/>
      <c r="AJ21" s="321"/>
      <c r="AK21" s="310" t="str">
        <f t="shared" si="2"/>
        <v/>
      </c>
      <c r="AL21" s="311"/>
    </row>
    <row r="22" spans="1:38" ht="15" customHeight="1" outlineLevel="1">
      <c r="A22" s="322" t="s">
        <v>142</v>
      </c>
      <c r="B22" s="322"/>
      <c r="C22" s="322"/>
      <c r="D22" s="322"/>
      <c r="E22" s="322"/>
      <c r="F22" s="322"/>
      <c r="G22" s="322"/>
      <c r="H22" s="131"/>
      <c r="I22" s="131"/>
      <c r="J22" s="131"/>
      <c r="K22" s="312"/>
      <c r="L22" s="313"/>
      <c r="M22" s="313"/>
      <c r="N22" s="314"/>
      <c r="O22" s="312"/>
      <c r="P22" s="314"/>
      <c r="Q22" s="315"/>
      <c r="R22" s="131"/>
      <c r="S22" s="315"/>
      <c r="T22" s="315"/>
      <c r="U22" s="312" t="s">
        <v>136</v>
      </c>
      <c r="V22" s="314"/>
      <c r="W22" s="315"/>
      <c r="X22" s="315"/>
      <c r="Y22" s="316"/>
      <c r="Z22" s="317"/>
      <c r="AA22" s="318"/>
      <c r="AB22" s="319">
        <f t="shared" si="0"/>
        <v>0</v>
      </c>
      <c r="AC22" s="320"/>
      <c r="AD22" s="321"/>
      <c r="AE22" s="316"/>
      <c r="AF22" s="317"/>
      <c r="AG22" s="318"/>
      <c r="AH22" s="319">
        <f t="shared" si="1"/>
        <v>0</v>
      </c>
      <c r="AI22" s="320"/>
      <c r="AJ22" s="321"/>
      <c r="AK22" s="310" t="str">
        <f t="shared" si="2"/>
        <v/>
      </c>
      <c r="AL22" s="311"/>
    </row>
    <row r="23" spans="1:38" ht="15" customHeight="1" outlineLevel="1">
      <c r="A23" s="322" t="s">
        <v>143</v>
      </c>
      <c r="B23" s="322"/>
      <c r="C23" s="322"/>
      <c r="D23" s="322"/>
      <c r="E23" s="322"/>
      <c r="F23" s="322"/>
      <c r="G23" s="322"/>
      <c r="H23" s="131"/>
      <c r="I23" s="131"/>
      <c r="J23" s="131"/>
      <c r="K23" s="312"/>
      <c r="L23" s="313"/>
      <c r="M23" s="313"/>
      <c r="N23" s="314"/>
      <c r="O23" s="312"/>
      <c r="P23" s="314"/>
      <c r="Q23" s="315"/>
      <c r="R23" s="131"/>
      <c r="S23" s="315"/>
      <c r="T23" s="315"/>
      <c r="U23" s="312" t="s">
        <v>136</v>
      </c>
      <c r="V23" s="314"/>
      <c r="W23" s="315"/>
      <c r="X23" s="315"/>
      <c r="Y23" s="316"/>
      <c r="Z23" s="317"/>
      <c r="AA23" s="318"/>
      <c r="AB23" s="319">
        <f t="shared" ref="AB23" si="3">Y23*W23</f>
        <v>0</v>
      </c>
      <c r="AC23" s="320"/>
      <c r="AD23" s="321"/>
      <c r="AE23" s="316"/>
      <c r="AF23" s="317"/>
      <c r="AG23" s="318"/>
      <c r="AH23" s="319">
        <f t="shared" ref="AH23" si="4">AE23*W23</f>
        <v>0</v>
      </c>
      <c r="AI23" s="320"/>
      <c r="AJ23" s="321"/>
      <c r="AK23" s="310" t="str">
        <f t="shared" ref="AK23" si="5">IF(ISBLANK(AE23),"",1-(Y23/AE23))</f>
        <v/>
      </c>
      <c r="AL23" s="311"/>
    </row>
    <row r="24" spans="1:38" outlineLevel="1">
      <c r="A24" s="322" t="s">
        <v>144</v>
      </c>
      <c r="B24" s="322"/>
      <c r="C24" s="322"/>
      <c r="D24" s="322"/>
      <c r="E24" s="322"/>
      <c r="F24" s="322"/>
      <c r="G24" s="322"/>
      <c r="H24" s="131"/>
      <c r="I24" s="131"/>
      <c r="J24" s="131"/>
      <c r="K24" s="312"/>
      <c r="L24" s="313"/>
      <c r="M24" s="313"/>
      <c r="N24" s="314"/>
      <c r="O24" s="312"/>
      <c r="P24" s="314"/>
      <c r="Q24" s="315"/>
      <c r="R24" s="131"/>
      <c r="S24" s="315"/>
      <c r="T24" s="315"/>
      <c r="U24" s="312" t="s">
        <v>136</v>
      </c>
      <c r="V24" s="314"/>
      <c r="W24" s="315"/>
      <c r="X24" s="315"/>
      <c r="Y24" s="316"/>
      <c r="Z24" s="317"/>
      <c r="AA24" s="318"/>
      <c r="AB24" s="319">
        <f t="shared" ref="AB24" si="6">Y24*W24</f>
        <v>0</v>
      </c>
      <c r="AC24" s="320"/>
      <c r="AD24" s="321"/>
      <c r="AE24" s="316"/>
      <c r="AF24" s="317"/>
      <c r="AG24" s="318"/>
      <c r="AH24" s="319">
        <f t="shared" ref="AH24" si="7">AE24*W24</f>
        <v>0</v>
      </c>
      <c r="AI24" s="320"/>
      <c r="AJ24" s="321"/>
      <c r="AK24" s="310" t="str">
        <f t="shared" si="2"/>
        <v/>
      </c>
      <c r="AL24" s="311"/>
    </row>
    <row r="25" spans="1:38" ht="18.75">
      <c r="A25" s="111" t="s">
        <v>145</v>
      </c>
      <c r="B25" s="112"/>
      <c r="C25" s="112"/>
      <c r="D25" s="112"/>
      <c r="E25" s="112"/>
      <c r="F25" s="112"/>
      <c r="G25" s="112"/>
      <c r="H25" s="113"/>
      <c r="I25" s="113"/>
      <c r="J25" s="113"/>
      <c r="K25" s="113"/>
      <c r="L25" s="113"/>
      <c r="M25" s="113"/>
      <c r="N25" s="113"/>
      <c r="O25" s="113"/>
      <c r="P25" s="113"/>
      <c r="Q25" s="113"/>
      <c r="R25" s="113"/>
      <c r="S25" s="113"/>
      <c r="T25" s="113"/>
      <c r="U25" s="113"/>
      <c r="V25" s="113"/>
      <c r="W25" s="113"/>
      <c r="X25" s="113"/>
      <c r="Y25" s="361"/>
      <c r="Z25" s="362"/>
      <c r="AA25" s="363"/>
      <c r="AB25" s="360">
        <f>SUBTOTAL(9,AB26:AD30)</f>
        <v>0</v>
      </c>
      <c r="AC25" s="360"/>
      <c r="AD25" s="360"/>
      <c r="AE25" s="361"/>
      <c r="AF25" s="362"/>
      <c r="AG25" s="363"/>
      <c r="AH25" s="360">
        <f>SUBTOTAL(9,AH26:AJ30)</f>
        <v>0</v>
      </c>
      <c r="AI25" s="360"/>
      <c r="AJ25" s="360"/>
      <c r="AK25" s="357" t="str">
        <f>IF(AH25=0,"",1-(AB25/AH25))</f>
        <v/>
      </c>
      <c r="AL25" s="357"/>
    </row>
    <row r="26" spans="1:38" outlineLevel="1">
      <c r="A26" s="322" t="s">
        <v>146</v>
      </c>
      <c r="B26" s="322"/>
      <c r="C26" s="322"/>
      <c r="D26" s="322"/>
      <c r="E26" s="322"/>
      <c r="F26" s="322"/>
      <c r="G26" s="322"/>
      <c r="H26" s="131"/>
      <c r="I26" s="131"/>
      <c r="J26" s="131"/>
      <c r="K26" s="312"/>
      <c r="L26" s="313"/>
      <c r="M26" s="313"/>
      <c r="N26" s="314"/>
      <c r="O26" s="312"/>
      <c r="P26" s="314"/>
      <c r="Q26" s="315"/>
      <c r="R26" s="131"/>
      <c r="S26" s="315"/>
      <c r="T26" s="315"/>
      <c r="U26" s="312" t="s">
        <v>136</v>
      </c>
      <c r="V26" s="314"/>
      <c r="W26" s="315"/>
      <c r="X26" s="315"/>
      <c r="Y26" s="316"/>
      <c r="Z26" s="317"/>
      <c r="AA26" s="318"/>
      <c r="AB26" s="319">
        <f t="shared" ref="AB26:AB30" si="8">Y26*W26</f>
        <v>0</v>
      </c>
      <c r="AC26" s="320"/>
      <c r="AD26" s="321"/>
      <c r="AE26" s="316"/>
      <c r="AF26" s="317"/>
      <c r="AG26" s="318"/>
      <c r="AH26" s="319">
        <f t="shared" ref="AH26:AH30" si="9">AE26*W26</f>
        <v>0</v>
      </c>
      <c r="AI26" s="320"/>
      <c r="AJ26" s="321"/>
      <c r="AK26" s="310" t="str">
        <f>IF(ISBLANK(AE26),"",1-(Y26/AE26))</f>
        <v/>
      </c>
      <c r="AL26" s="311"/>
    </row>
    <row r="27" spans="1:38" outlineLevel="1">
      <c r="A27" s="322" t="s">
        <v>147</v>
      </c>
      <c r="B27" s="322"/>
      <c r="C27" s="322"/>
      <c r="D27" s="322"/>
      <c r="E27" s="322"/>
      <c r="F27" s="322"/>
      <c r="G27" s="322"/>
      <c r="H27" s="131"/>
      <c r="I27" s="131"/>
      <c r="J27" s="131"/>
      <c r="K27" s="312"/>
      <c r="L27" s="313"/>
      <c r="M27" s="313"/>
      <c r="N27" s="314"/>
      <c r="O27" s="312"/>
      <c r="P27" s="314"/>
      <c r="Q27" s="315"/>
      <c r="R27" s="131"/>
      <c r="S27" s="315"/>
      <c r="T27" s="315"/>
      <c r="U27" s="312" t="s">
        <v>136</v>
      </c>
      <c r="V27" s="314"/>
      <c r="W27" s="315"/>
      <c r="X27" s="315"/>
      <c r="Y27" s="316"/>
      <c r="Z27" s="317"/>
      <c r="AA27" s="318"/>
      <c r="AB27" s="319">
        <f t="shared" ref="AB27" si="10">Y27*W27</f>
        <v>0</v>
      </c>
      <c r="AC27" s="320"/>
      <c r="AD27" s="321"/>
      <c r="AE27" s="316"/>
      <c r="AF27" s="317"/>
      <c r="AG27" s="318"/>
      <c r="AH27" s="319">
        <f t="shared" ref="AH27" si="11">AE27*W27</f>
        <v>0</v>
      </c>
      <c r="AI27" s="320"/>
      <c r="AJ27" s="321"/>
      <c r="AK27" s="310" t="str">
        <f>IF(ISBLANK(AE27),"",1-(Y27/AE27))</f>
        <v/>
      </c>
      <c r="AL27" s="311"/>
    </row>
    <row r="28" spans="1:38" outlineLevel="1">
      <c r="A28" s="322" t="s">
        <v>148</v>
      </c>
      <c r="B28" s="322"/>
      <c r="C28" s="322"/>
      <c r="D28" s="322"/>
      <c r="E28" s="322"/>
      <c r="F28" s="322"/>
      <c r="G28" s="322"/>
      <c r="H28" s="131"/>
      <c r="I28" s="131"/>
      <c r="J28" s="131"/>
      <c r="K28" s="312"/>
      <c r="L28" s="313"/>
      <c r="M28" s="313"/>
      <c r="N28" s="314"/>
      <c r="O28" s="312"/>
      <c r="P28" s="314"/>
      <c r="Q28" s="315"/>
      <c r="R28" s="131"/>
      <c r="S28" s="315"/>
      <c r="T28" s="315"/>
      <c r="U28" s="312" t="s">
        <v>136</v>
      </c>
      <c r="V28" s="314"/>
      <c r="W28" s="315"/>
      <c r="X28" s="315"/>
      <c r="Y28" s="316"/>
      <c r="Z28" s="317"/>
      <c r="AA28" s="318"/>
      <c r="AB28" s="319">
        <f t="shared" ref="AB28:AB29" si="12">Y28*W28</f>
        <v>0</v>
      </c>
      <c r="AC28" s="320"/>
      <c r="AD28" s="321"/>
      <c r="AE28" s="316"/>
      <c r="AF28" s="317"/>
      <c r="AG28" s="318"/>
      <c r="AH28" s="319">
        <f t="shared" ref="AH28:AH29" si="13">AE28*W28</f>
        <v>0</v>
      </c>
      <c r="AI28" s="320"/>
      <c r="AJ28" s="321"/>
      <c r="AK28" s="310" t="str">
        <f t="shared" ref="AK28:AK29" si="14">IF(ISBLANK(AE28),"",1-(Y28/AE28))</f>
        <v/>
      </c>
      <c r="AL28" s="311"/>
    </row>
    <row r="29" spans="1:38" outlineLevel="1">
      <c r="A29" s="322" t="s">
        <v>149</v>
      </c>
      <c r="B29" s="322"/>
      <c r="C29" s="322"/>
      <c r="D29" s="322"/>
      <c r="E29" s="322"/>
      <c r="F29" s="322"/>
      <c r="G29" s="322"/>
      <c r="H29" s="131"/>
      <c r="I29" s="131"/>
      <c r="J29" s="131"/>
      <c r="K29" s="312"/>
      <c r="L29" s="313"/>
      <c r="M29" s="313"/>
      <c r="N29" s="314"/>
      <c r="O29" s="312"/>
      <c r="P29" s="314"/>
      <c r="Q29" s="315"/>
      <c r="R29" s="131"/>
      <c r="S29" s="315"/>
      <c r="T29" s="315"/>
      <c r="U29" s="312" t="s">
        <v>136</v>
      </c>
      <c r="V29" s="314"/>
      <c r="W29" s="315"/>
      <c r="X29" s="315"/>
      <c r="Y29" s="316"/>
      <c r="Z29" s="317"/>
      <c r="AA29" s="318"/>
      <c r="AB29" s="319">
        <f t="shared" si="12"/>
        <v>0</v>
      </c>
      <c r="AC29" s="320"/>
      <c r="AD29" s="321"/>
      <c r="AE29" s="316"/>
      <c r="AF29" s="317"/>
      <c r="AG29" s="318"/>
      <c r="AH29" s="319">
        <f t="shared" si="13"/>
        <v>0</v>
      </c>
      <c r="AI29" s="320"/>
      <c r="AJ29" s="321"/>
      <c r="AK29" s="310" t="str">
        <f t="shared" si="14"/>
        <v/>
      </c>
      <c r="AL29" s="311"/>
    </row>
    <row r="30" spans="1:38" outlineLevel="1">
      <c r="A30" s="322" t="s">
        <v>149</v>
      </c>
      <c r="B30" s="322"/>
      <c r="C30" s="322"/>
      <c r="D30" s="322"/>
      <c r="E30" s="322"/>
      <c r="F30" s="322"/>
      <c r="G30" s="322"/>
      <c r="H30" s="131"/>
      <c r="I30" s="131"/>
      <c r="J30" s="131"/>
      <c r="K30" s="312"/>
      <c r="L30" s="313"/>
      <c r="M30" s="313"/>
      <c r="N30" s="314"/>
      <c r="O30" s="312"/>
      <c r="P30" s="314"/>
      <c r="Q30" s="315"/>
      <c r="R30" s="131"/>
      <c r="S30" s="315"/>
      <c r="T30" s="315"/>
      <c r="U30" s="312" t="s">
        <v>136</v>
      </c>
      <c r="V30" s="314"/>
      <c r="W30" s="315"/>
      <c r="X30" s="315"/>
      <c r="Y30" s="316"/>
      <c r="Z30" s="317"/>
      <c r="AA30" s="318"/>
      <c r="AB30" s="319">
        <f t="shared" si="8"/>
        <v>0</v>
      </c>
      <c r="AC30" s="320"/>
      <c r="AD30" s="321"/>
      <c r="AE30" s="316"/>
      <c r="AF30" s="317"/>
      <c r="AG30" s="318"/>
      <c r="AH30" s="319">
        <f t="shared" si="9"/>
        <v>0</v>
      </c>
      <c r="AI30" s="320"/>
      <c r="AJ30" s="321"/>
      <c r="AK30" s="310" t="str">
        <f>IF(ISBLANK(AE30),"",1-(Y30/AE30))</f>
        <v/>
      </c>
      <c r="AL30" s="311"/>
    </row>
    <row r="31" spans="1:38" ht="18.75">
      <c r="A31" s="111" t="s">
        <v>150</v>
      </c>
      <c r="B31" s="112"/>
      <c r="C31" s="112"/>
      <c r="D31" s="112"/>
      <c r="E31" s="112"/>
      <c r="F31" s="112"/>
      <c r="G31" s="112"/>
      <c r="H31" s="113"/>
      <c r="I31" s="113"/>
      <c r="J31" s="113"/>
      <c r="K31" s="113"/>
      <c r="L31" s="113"/>
      <c r="M31" s="113"/>
      <c r="N31" s="113"/>
      <c r="O31" s="113"/>
      <c r="P31" s="113"/>
      <c r="Q31" s="113"/>
      <c r="R31" s="113"/>
      <c r="S31" s="113"/>
      <c r="T31" s="113"/>
      <c r="U31" s="113"/>
      <c r="V31" s="113"/>
      <c r="W31" s="113"/>
      <c r="X31" s="113"/>
      <c r="Y31" s="361"/>
      <c r="Z31" s="362"/>
      <c r="AA31" s="363"/>
      <c r="AB31" s="360">
        <f>SUBTOTAL(9,AB32:AD34)</f>
        <v>0</v>
      </c>
      <c r="AC31" s="360"/>
      <c r="AD31" s="360"/>
      <c r="AE31" s="361"/>
      <c r="AF31" s="362"/>
      <c r="AG31" s="363"/>
      <c r="AH31" s="360">
        <f>SUBTOTAL(9,AH32:AJ34)</f>
        <v>0</v>
      </c>
      <c r="AI31" s="360"/>
      <c r="AJ31" s="360"/>
      <c r="AK31" s="357" t="str">
        <f>IF(AH31=0,"",1-(AB31/AH31))</f>
        <v/>
      </c>
      <c r="AL31" s="357"/>
    </row>
    <row r="32" spans="1:38" outlineLevel="1">
      <c r="A32" s="322" t="s">
        <v>151</v>
      </c>
      <c r="B32" s="322"/>
      <c r="C32" s="322"/>
      <c r="D32" s="322"/>
      <c r="E32" s="322"/>
      <c r="F32" s="322"/>
      <c r="G32" s="322"/>
      <c r="H32" s="131"/>
      <c r="I32" s="131"/>
      <c r="J32" s="131"/>
      <c r="K32" s="312"/>
      <c r="L32" s="313"/>
      <c r="M32" s="313"/>
      <c r="N32" s="314"/>
      <c r="O32" s="312"/>
      <c r="P32" s="314"/>
      <c r="Q32" s="315"/>
      <c r="R32" s="131"/>
      <c r="S32" s="315"/>
      <c r="T32" s="315"/>
      <c r="U32" s="312" t="s">
        <v>136</v>
      </c>
      <c r="V32" s="314"/>
      <c r="W32" s="315"/>
      <c r="X32" s="315"/>
      <c r="Y32" s="316"/>
      <c r="Z32" s="317"/>
      <c r="AA32" s="318"/>
      <c r="AB32" s="319">
        <f>Y32*W32</f>
        <v>0</v>
      </c>
      <c r="AC32" s="320"/>
      <c r="AD32" s="320"/>
      <c r="AE32" s="316"/>
      <c r="AF32" s="317"/>
      <c r="AG32" s="318"/>
      <c r="AH32" s="320">
        <f>AE32*W32</f>
        <v>0</v>
      </c>
      <c r="AI32" s="320"/>
      <c r="AJ32" s="321"/>
      <c r="AK32" s="310" t="str">
        <f>IF(ISBLANK(AE32),"",1-(Y32/AE32))</f>
        <v/>
      </c>
      <c r="AL32" s="311"/>
    </row>
    <row r="33" spans="1:38" outlineLevel="1">
      <c r="A33" s="322" t="s">
        <v>152</v>
      </c>
      <c r="B33" s="322"/>
      <c r="C33" s="322"/>
      <c r="D33" s="322"/>
      <c r="E33" s="322"/>
      <c r="F33" s="322"/>
      <c r="G33" s="322"/>
      <c r="H33" s="131"/>
      <c r="I33" s="131"/>
      <c r="J33" s="131"/>
      <c r="K33" s="312"/>
      <c r="L33" s="313"/>
      <c r="M33" s="313"/>
      <c r="N33" s="314"/>
      <c r="O33" s="312"/>
      <c r="P33" s="314"/>
      <c r="Q33" s="315"/>
      <c r="R33" s="131"/>
      <c r="S33" s="315"/>
      <c r="T33" s="315"/>
      <c r="U33" s="312" t="s">
        <v>136</v>
      </c>
      <c r="V33" s="314"/>
      <c r="W33" s="315"/>
      <c r="X33" s="315"/>
      <c r="Y33" s="316"/>
      <c r="Z33" s="317"/>
      <c r="AA33" s="318"/>
      <c r="AB33" s="319">
        <f t="shared" ref="AB33" si="15">Y33*W33</f>
        <v>0</v>
      </c>
      <c r="AC33" s="320"/>
      <c r="AD33" s="320"/>
      <c r="AE33" s="316"/>
      <c r="AF33" s="317"/>
      <c r="AG33" s="318"/>
      <c r="AH33" s="320">
        <f t="shared" ref="AH33" si="16">AE33*W33</f>
        <v>0</v>
      </c>
      <c r="AI33" s="320"/>
      <c r="AJ33" s="321"/>
      <c r="AK33" s="310" t="str">
        <f>IF(ISBLANK(AE33),"",1-(Y33/AE33))</f>
        <v/>
      </c>
      <c r="AL33" s="311"/>
    </row>
    <row r="34" spans="1:38" outlineLevel="1">
      <c r="A34" s="322" t="s">
        <v>153</v>
      </c>
      <c r="B34" s="322"/>
      <c r="C34" s="322"/>
      <c r="D34" s="322"/>
      <c r="E34" s="322"/>
      <c r="F34" s="322"/>
      <c r="G34" s="322"/>
      <c r="H34" s="131"/>
      <c r="I34" s="131"/>
      <c r="J34" s="131"/>
      <c r="K34" s="312"/>
      <c r="L34" s="313"/>
      <c r="M34" s="313"/>
      <c r="N34" s="314"/>
      <c r="O34" s="312"/>
      <c r="P34" s="314"/>
      <c r="Q34" s="315"/>
      <c r="R34" s="131"/>
      <c r="S34" s="315"/>
      <c r="T34" s="315"/>
      <c r="U34" s="312" t="s">
        <v>136</v>
      </c>
      <c r="V34" s="314"/>
      <c r="W34" s="315"/>
      <c r="X34" s="315"/>
      <c r="Y34" s="316"/>
      <c r="Z34" s="317"/>
      <c r="AA34" s="318"/>
      <c r="AB34" s="319">
        <f t="shared" ref="AB34" si="17">Y34*W34</f>
        <v>0</v>
      </c>
      <c r="AC34" s="320"/>
      <c r="AD34" s="320"/>
      <c r="AE34" s="316"/>
      <c r="AF34" s="317"/>
      <c r="AG34" s="318"/>
      <c r="AH34" s="320">
        <f t="shared" ref="AH34" si="18">AE34*W34</f>
        <v>0</v>
      </c>
      <c r="AI34" s="320"/>
      <c r="AJ34" s="321"/>
      <c r="AK34" s="310" t="str">
        <f>IF(ISBLANK(AE34),"",1-(Y34/AE34))</f>
        <v/>
      </c>
      <c r="AL34" s="311"/>
    </row>
    <row r="35" spans="1:38" ht="18.75">
      <c r="A35" s="111" t="s">
        <v>154</v>
      </c>
      <c r="B35" s="112"/>
      <c r="C35" s="112"/>
      <c r="D35" s="112"/>
      <c r="E35" s="112"/>
      <c r="F35" s="112"/>
      <c r="G35" s="112"/>
      <c r="H35" s="113"/>
      <c r="I35" s="113"/>
      <c r="J35" s="113"/>
      <c r="K35" s="113"/>
      <c r="L35" s="113"/>
      <c r="M35" s="113"/>
      <c r="N35" s="113"/>
      <c r="O35" s="113"/>
      <c r="P35" s="113"/>
      <c r="Q35" s="113"/>
      <c r="R35" s="113"/>
      <c r="S35" s="113"/>
      <c r="T35" s="113"/>
      <c r="U35" s="113"/>
      <c r="V35" s="113"/>
      <c r="W35" s="113"/>
      <c r="X35" s="113"/>
      <c r="Y35" s="361"/>
      <c r="Z35" s="362"/>
      <c r="AA35" s="363"/>
      <c r="AB35" s="360">
        <f>SUBTOTAL(9,AB36:AD39)</f>
        <v>0</v>
      </c>
      <c r="AC35" s="360"/>
      <c r="AD35" s="360"/>
      <c r="AE35" s="361"/>
      <c r="AF35" s="362"/>
      <c r="AG35" s="363"/>
      <c r="AH35" s="360">
        <f>SUBTOTAL(9,AH36:AJ39)</f>
        <v>0</v>
      </c>
      <c r="AI35" s="360"/>
      <c r="AJ35" s="360"/>
      <c r="AK35" s="357" t="str">
        <f>IF(AH35=0,"",1-(AB35/AH35))</f>
        <v/>
      </c>
      <c r="AL35" s="357"/>
    </row>
    <row r="36" spans="1:38" ht="15" customHeight="1" outlineLevel="1">
      <c r="A36" s="322" t="s">
        <v>155</v>
      </c>
      <c r="B36" s="322"/>
      <c r="C36" s="322"/>
      <c r="D36" s="322"/>
      <c r="E36" s="322"/>
      <c r="F36" s="322"/>
      <c r="G36" s="322"/>
      <c r="H36" s="131"/>
      <c r="I36" s="131"/>
      <c r="J36" s="131"/>
      <c r="K36" s="312"/>
      <c r="L36" s="313"/>
      <c r="M36" s="313"/>
      <c r="N36" s="314"/>
      <c r="O36" s="312"/>
      <c r="P36" s="314"/>
      <c r="Q36" s="315"/>
      <c r="R36" s="131"/>
      <c r="S36" s="315"/>
      <c r="T36" s="315"/>
      <c r="U36" s="312" t="s">
        <v>136</v>
      </c>
      <c r="V36" s="314"/>
      <c r="W36" s="315"/>
      <c r="X36" s="315"/>
      <c r="Y36" s="316"/>
      <c r="Z36" s="317"/>
      <c r="AA36" s="318"/>
      <c r="AB36" s="319">
        <f t="shared" ref="AB36:AB39" si="19">Y36*W36</f>
        <v>0</v>
      </c>
      <c r="AC36" s="320"/>
      <c r="AD36" s="320"/>
      <c r="AE36" s="316"/>
      <c r="AF36" s="317"/>
      <c r="AG36" s="318"/>
      <c r="AH36" s="320">
        <f t="shared" ref="AH36:AH39" si="20">AE36*W36</f>
        <v>0</v>
      </c>
      <c r="AI36" s="320"/>
      <c r="AJ36" s="321"/>
      <c r="AK36" s="310" t="str">
        <f>IF(ISBLANK(AE36),"",1-(Y36/AE36))</f>
        <v/>
      </c>
      <c r="AL36" s="311"/>
    </row>
    <row r="37" spans="1:38" ht="15" customHeight="1" outlineLevel="1">
      <c r="A37" s="322" t="s">
        <v>155</v>
      </c>
      <c r="B37" s="322"/>
      <c r="C37" s="322"/>
      <c r="D37" s="322"/>
      <c r="E37" s="322"/>
      <c r="F37" s="322"/>
      <c r="G37" s="322"/>
      <c r="H37" s="131"/>
      <c r="I37" s="131"/>
      <c r="J37" s="131"/>
      <c r="K37" s="312"/>
      <c r="L37" s="313"/>
      <c r="M37" s="313"/>
      <c r="N37" s="314"/>
      <c r="O37" s="312"/>
      <c r="P37" s="314"/>
      <c r="Q37" s="315"/>
      <c r="R37" s="131"/>
      <c r="S37" s="315"/>
      <c r="T37" s="315"/>
      <c r="U37" s="312" t="s">
        <v>136</v>
      </c>
      <c r="V37" s="314"/>
      <c r="W37" s="315"/>
      <c r="X37" s="315"/>
      <c r="Y37" s="316"/>
      <c r="Z37" s="317"/>
      <c r="AA37" s="318"/>
      <c r="AB37" s="319">
        <f t="shared" ref="AB37" si="21">Y37*W37</f>
        <v>0</v>
      </c>
      <c r="AC37" s="320"/>
      <c r="AD37" s="320"/>
      <c r="AE37" s="316"/>
      <c r="AF37" s="317"/>
      <c r="AG37" s="318"/>
      <c r="AH37" s="320">
        <f t="shared" ref="AH37" si="22">AE37*W37</f>
        <v>0</v>
      </c>
      <c r="AI37" s="320"/>
      <c r="AJ37" s="321"/>
      <c r="AK37" s="310" t="str">
        <f>IF(ISBLANK(AE37),"",1-(Y37/AE37))</f>
        <v/>
      </c>
      <c r="AL37" s="311"/>
    </row>
    <row r="38" spans="1:38" ht="15" customHeight="1" outlineLevel="1">
      <c r="A38" s="322" t="s">
        <v>156</v>
      </c>
      <c r="B38" s="322"/>
      <c r="C38" s="322"/>
      <c r="D38" s="322"/>
      <c r="E38" s="322"/>
      <c r="F38" s="322"/>
      <c r="G38" s="322"/>
      <c r="H38" s="131"/>
      <c r="I38" s="131"/>
      <c r="J38" s="131"/>
      <c r="K38" s="312"/>
      <c r="L38" s="313"/>
      <c r="M38" s="313"/>
      <c r="N38" s="314"/>
      <c r="O38" s="312"/>
      <c r="P38" s="314"/>
      <c r="Q38" s="315"/>
      <c r="R38" s="131"/>
      <c r="S38" s="315"/>
      <c r="T38" s="315"/>
      <c r="U38" s="312" t="s">
        <v>136</v>
      </c>
      <c r="V38" s="314"/>
      <c r="W38" s="315"/>
      <c r="X38" s="315"/>
      <c r="Y38" s="316"/>
      <c r="Z38" s="317"/>
      <c r="AA38" s="318"/>
      <c r="AB38" s="319">
        <f t="shared" ref="AB38" si="23">Y38*W38</f>
        <v>0</v>
      </c>
      <c r="AC38" s="320"/>
      <c r="AD38" s="320"/>
      <c r="AE38" s="316"/>
      <c r="AF38" s="317"/>
      <c r="AG38" s="318"/>
      <c r="AH38" s="320">
        <f t="shared" ref="AH38" si="24">AE38*W38</f>
        <v>0</v>
      </c>
      <c r="AI38" s="320"/>
      <c r="AJ38" s="321"/>
      <c r="AK38" s="310" t="str">
        <f>IF(ISBLANK(AE38),"",1-(Y38/AE38))</f>
        <v/>
      </c>
      <c r="AL38" s="311"/>
    </row>
    <row r="39" spans="1:38" ht="15" customHeight="1" outlineLevel="1">
      <c r="A39" s="322" t="s">
        <v>156</v>
      </c>
      <c r="B39" s="322"/>
      <c r="C39" s="322"/>
      <c r="D39" s="322"/>
      <c r="E39" s="322"/>
      <c r="F39" s="322"/>
      <c r="G39" s="322"/>
      <c r="H39" s="131"/>
      <c r="I39" s="131"/>
      <c r="J39" s="131"/>
      <c r="K39" s="312"/>
      <c r="L39" s="313"/>
      <c r="M39" s="313"/>
      <c r="N39" s="314"/>
      <c r="O39" s="312"/>
      <c r="P39" s="314"/>
      <c r="Q39" s="315"/>
      <c r="R39" s="131"/>
      <c r="S39" s="315"/>
      <c r="T39" s="315"/>
      <c r="U39" s="312" t="s">
        <v>136</v>
      </c>
      <c r="V39" s="314"/>
      <c r="W39" s="315"/>
      <c r="X39" s="315"/>
      <c r="Y39" s="316"/>
      <c r="Z39" s="317"/>
      <c r="AA39" s="318"/>
      <c r="AB39" s="319">
        <f t="shared" si="19"/>
        <v>0</v>
      </c>
      <c r="AC39" s="320"/>
      <c r="AD39" s="320"/>
      <c r="AE39" s="316"/>
      <c r="AF39" s="317"/>
      <c r="AG39" s="318"/>
      <c r="AH39" s="320">
        <f t="shared" si="20"/>
        <v>0</v>
      </c>
      <c r="AI39" s="320"/>
      <c r="AJ39" s="321"/>
      <c r="AK39" s="310" t="str">
        <f>IF(ISBLANK(AE39),"",1-(Y39/AE39))</f>
        <v/>
      </c>
      <c r="AL39" s="311"/>
    </row>
    <row r="40" spans="1:38" ht="18.75">
      <c r="A40" s="111" t="s">
        <v>157</v>
      </c>
      <c r="B40" s="112"/>
      <c r="C40" s="112"/>
      <c r="D40" s="112"/>
      <c r="E40" s="112"/>
      <c r="F40" s="112"/>
      <c r="G40" s="112"/>
      <c r="H40" s="113"/>
      <c r="I40" s="113"/>
      <c r="J40" s="113"/>
      <c r="K40" s="113"/>
      <c r="L40" s="113"/>
      <c r="M40" s="113"/>
      <c r="N40" s="113"/>
      <c r="O40" s="113"/>
      <c r="P40" s="113"/>
      <c r="Q40" s="113"/>
      <c r="R40" s="113"/>
      <c r="S40" s="113"/>
      <c r="T40" s="113"/>
      <c r="U40" s="113"/>
      <c r="V40" s="113"/>
      <c r="W40" s="113"/>
      <c r="X40" s="113"/>
      <c r="Y40" s="361"/>
      <c r="Z40" s="362"/>
      <c r="AA40" s="363"/>
      <c r="AB40" s="360">
        <f>SUBTOTAL(9,AB41:AD43)</f>
        <v>0</v>
      </c>
      <c r="AC40" s="360"/>
      <c r="AD40" s="360"/>
      <c r="AE40" s="361"/>
      <c r="AF40" s="362"/>
      <c r="AG40" s="363"/>
      <c r="AH40" s="360">
        <f>SUBTOTAL(9,AH41:AJ43)</f>
        <v>0</v>
      </c>
      <c r="AI40" s="360"/>
      <c r="AJ40" s="360"/>
      <c r="AK40" s="357" t="str">
        <f>IF(AH40=0,"",1-(AB40/AH40))</f>
        <v/>
      </c>
      <c r="AL40" s="357"/>
    </row>
    <row r="41" spans="1:38" outlineLevel="1">
      <c r="A41" s="322" t="s">
        <v>151</v>
      </c>
      <c r="B41" s="322"/>
      <c r="C41" s="322"/>
      <c r="D41" s="322"/>
      <c r="E41" s="322"/>
      <c r="F41" s="322"/>
      <c r="G41" s="322"/>
      <c r="H41" s="131"/>
      <c r="I41" s="131"/>
      <c r="J41" s="131"/>
      <c r="K41" s="312"/>
      <c r="L41" s="313"/>
      <c r="M41" s="313"/>
      <c r="N41" s="314"/>
      <c r="O41" s="312"/>
      <c r="P41" s="314"/>
      <c r="Q41" s="315"/>
      <c r="R41" s="131"/>
      <c r="S41" s="315"/>
      <c r="T41" s="315"/>
      <c r="U41" s="312" t="s">
        <v>136</v>
      </c>
      <c r="V41" s="314"/>
      <c r="W41" s="315"/>
      <c r="X41" s="315"/>
      <c r="Y41" s="316"/>
      <c r="Z41" s="317"/>
      <c r="AA41" s="318"/>
      <c r="AB41" s="319">
        <f>Y41*W41</f>
        <v>0</v>
      </c>
      <c r="AC41" s="320"/>
      <c r="AD41" s="320"/>
      <c r="AE41" s="316"/>
      <c r="AF41" s="317"/>
      <c r="AG41" s="318"/>
      <c r="AH41" s="320">
        <f>AE41*W41</f>
        <v>0</v>
      </c>
      <c r="AI41" s="320"/>
      <c r="AJ41" s="321"/>
      <c r="AK41" s="310" t="str">
        <f>IF(ISBLANK(AE41),"",1-(Y41/AE41))</f>
        <v/>
      </c>
      <c r="AL41" s="311"/>
    </row>
    <row r="42" spans="1:38" outlineLevel="1">
      <c r="A42" s="322" t="s">
        <v>152</v>
      </c>
      <c r="B42" s="322"/>
      <c r="C42" s="322"/>
      <c r="D42" s="322"/>
      <c r="E42" s="322"/>
      <c r="F42" s="322"/>
      <c r="G42" s="322"/>
      <c r="H42" s="131"/>
      <c r="I42" s="131"/>
      <c r="J42" s="131"/>
      <c r="K42" s="312"/>
      <c r="L42" s="313"/>
      <c r="M42" s="313"/>
      <c r="N42" s="314"/>
      <c r="O42" s="312"/>
      <c r="P42" s="314"/>
      <c r="Q42" s="315"/>
      <c r="R42" s="131"/>
      <c r="S42" s="315"/>
      <c r="T42" s="315"/>
      <c r="U42" s="312" t="s">
        <v>136</v>
      </c>
      <c r="V42" s="314"/>
      <c r="W42" s="315"/>
      <c r="X42" s="315"/>
      <c r="Y42" s="316"/>
      <c r="Z42" s="317"/>
      <c r="AA42" s="318"/>
      <c r="AB42" s="319">
        <f t="shared" ref="AB42:AB43" si="25">Y42*W42</f>
        <v>0</v>
      </c>
      <c r="AC42" s="320"/>
      <c r="AD42" s="320"/>
      <c r="AE42" s="316"/>
      <c r="AF42" s="317"/>
      <c r="AG42" s="318"/>
      <c r="AH42" s="320">
        <f t="shared" ref="AH42:AH43" si="26">AE42*W42</f>
        <v>0</v>
      </c>
      <c r="AI42" s="320"/>
      <c r="AJ42" s="321"/>
      <c r="AK42" s="310" t="str">
        <f>IF(ISBLANK(AE42),"",1-(Y42/AE42))</f>
        <v/>
      </c>
      <c r="AL42" s="311"/>
    </row>
    <row r="43" spans="1:38" outlineLevel="1">
      <c r="A43" s="322" t="s">
        <v>153</v>
      </c>
      <c r="B43" s="322"/>
      <c r="C43" s="322"/>
      <c r="D43" s="322"/>
      <c r="E43" s="322"/>
      <c r="F43" s="322"/>
      <c r="G43" s="322"/>
      <c r="H43" s="131"/>
      <c r="I43" s="131"/>
      <c r="J43" s="131"/>
      <c r="K43" s="312"/>
      <c r="L43" s="313"/>
      <c r="M43" s="313"/>
      <c r="N43" s="314"/>
      <c r="O43" s="312"/>
      <c r="P43" s="314"/>
      <c r="Q43" s="315"/>
      <c r="R43" s="131"/>
      <c r="S43" s="315"/>
      <c r="T43" s="315"/>
      <c r="U43" s="312" t="s">
        <v>136</v>
      </c>
      <c r="V43" s="314"/>
      <c r="W43" s="315"/>
      <c r="X43" s="315"/>
      <c r="Y43" s="316"/>
      <c r="Z43" s="317"/>
      <c r="AA43" s="318"/>
      <c r="AB43" s="319">
        <f t="shared" si="25"/>
        <v>0</v>
      </c>
      <c r="AC43" s="320"/>
      <c r="AD43" s="320"/>
      <c r="AE43" s="316"/>
      <c r="AF43" s="317"/>
      <c r="AG43" s="318"/>
      <c r="AH43" s="320">
        <f t="shared" si="26"/>
        <v>0</v>
      </c>
      <c r="AI43" s="320"/>
      <c r="AJ43" s="321"/>
      <c r="AK43" s="310" t="str">
        <f>IF(ISBLANK(AE43),"",1-(Y43/AE43))</f>
        <v/>
      </c>
      <c r="AL43" s="311"/>
    </row>
    <row r="44" spans="1:38" ht="18.75">
      <c r="A44" s="111" t="s">
        <v>158</v>
      </c>
      <c r="B44" s="112"/>
      <c r="C44" s="112"/>
      <c r="D44" s="112"/>
      <c r="E44" s="112"/>
      <c r="F44" s="112"/>
      <c r="G44" s="112"/>
      <c r="H44" s="113"/>
      <c r="I44" s="113"/>
      <c r="J44" s="113"/>
      <c r="K44" s="113"/>
      <c r="L44" s="113"/>
      <c r="M44" s="113"/>
      <c r="N44" s="113"/>
      <c r="O44" s="113"/>
      <c r="P44" s="113"/>
      <c r="Q44" s="113"/>
      <c r="R44" s="113"/>
      <c r="S44" s="113"/>
      <c r="T44" s="113"/>
      <c r="U44" s="113"/>
      <c r="V44" s="113"/>
      <c r="W44" s="113"/>
      <c r="X44" s="113"/>
      <c r="Y44" s="361"/>
      <c r="Z44" s="362"/>
      <c r="AA44" s="363"/>
      <c r="AB44" s="360">
        <f>SUBTOTAL(9,AB45)</f>
        <v>0</v>
      </c>
      <c r="AC44" s="360"/>
      <c r="AD44" s="360"/>
      <c r="AE44" s="361"/>
      <c r="AF44" s="362"/>
      <c r="AG44" s="363"/>
      <c r="AH44" s="360">
        <f>SUBTOTAL(9,AH45)</f>
        <v>0</v>
      </c>
      <c r="AI44" s="360"/>
      <c r="AJ44" s="360"/>
      <c r="AK44" s="357" t="str">
        <f>IF(AH44=0,"",1-(AB44/AH44))</f>
        <v/>
      </c>
      <c r="AL44" s="357"/>
    </row>
    <row r="45" spans="1:38" ht="15" customHeight="1" outlineLevel="1">
      <c r="A45" s="322" t="s">
        <v>159</v>
      </c>
      <c r="B45" s="322"/>
      <c r="C45" s="322"/>
      <c r="D45" s="322"/>
      <c r="E45" s="322"/>
      <c r="F45" s="322"/>
      <c r="G45" s="322"/>
      <c r="H45" s="131"/>
      <c r="I45" s="131"/>
      <c r="J45" s="131"/>
      <c r="K45" s="312"/>
      <c r="L45" s="313"/>
      <c r="M45" s="313"/>
      <c r="N45" s="314"/>
      <c r="O45" s="312"/>
      <c r="P45" s="314"/>
      <c r="Q45" s="323"/>
      <c r="R45" s="324"/>
      <c r="S45" s="315"/>
      <c r="T45" s="315"/>
      <c r="U45" s="312" t="s">
        <v>136</v>
      </c>
      <c r="V45" s="314"/>
      <c r="W45" s="315"/>
      <c r="X45" s="315"/>
      <c r="Y45" s="316"/>
      <c r="Z45" s="317"/>
      <c r="AA45" s="318"/>
      <c r="AB45" s="319">
        <f>Y45*W45</f>
        <v>0</v>
      </c>
      <c r="AC45" s="320"/>
      <c r="AD45" s="320"/>
      <c r="AE45" s="316"/>
      <c r="AF45" s="317"/>
      <c r="AG45" s="318"/>
      <c r="AH45" s="320">
        <f>AE45*W45</f>
        <v>0</v>
      </c>
      <c r="AI45" s="320"/>
      <c r="AJ45" s="321"/>
      <c r="AK45" s="310" t="str">
        <f>IF(ISBLANK(AE45),"",1-(Y45/AE45))</f>
        <v/>
      </c>
      <c r="AL45" s="311"/>
    </row>
    <row r="46" spans="1:38" ht="18.75">
      <c r="A46" s="111" t="s">
        <v>160</v>
      </c>
      <c r="B46" s="112"/>
      <c r="C46" s="112"/>
      <c r="D46" s="112"/>
      <c r="E46" s="112"/>
      <c r="F46" s="112"/>
      <c r="G46" s="112"/>
      <c r="H46" s="113"/>
      <c r="I46" s="113"/>
      <c r="J46" s="113"/>
      <c r="K46" s="113"/>
      <c r="L46" s="113"/>
      <c r="M46" s="113"/>
      <c r="N46" s="113"/>
      <c r="O46" s="113"/>
      <c r="P46" s="113"/>
      <c r="Q46" s="113"/>
      <c r="R46" s="113"/>
      <c r="S46" s="113"/>
      <c r="T46" s="113"/>
      <c r="U46" s="113"/>
      <c r="V46" s="113"/>
      <c r="W46" s="113"/>
      <c r="X46" s="113"/>
      <c r="Y46" s="361"/>
      <c r="Z46" s="362"/>
      <c r="AA46" s="363"/>
      <c r="AB46" s="360">
        <f>SUBTOTAL(9,AB47:AD50)</f>
        <v>0</v>
      </c>
      <c r="AC46" s="360"/>
      <c r="AD46" s="360"/>
      <c r="AE46" s="361"/>
      <c r="AF46" s="362"/>
      <c r="AG46" s="363"/>
      <c r="AH46" s="360">
        <f>SUBTOTAL(9,AH47:AJ50)</f>
        <v>0</v>
      </c>
      <c r="AI46" s="360"/>
      <c r="AJ46" s="360"/>
      <c r="AK46" s="357" t="str">
        <f>IF(AH46=0,"",1-(AB46/AH46))</f>
        <v/>
      </c>
      <c r="AL46" s="357"/>
    </row>
    <row r="47" spans="1:38" ht="15" customHeight="1" outlineLevel="1">
      <c r="A47" s="322" t="s">
        <v>161</v>
      </c>
      <c r="B47" s="322"/>
      <c r="C47" s="322"/>
      <c r="D47" s="322"/>
      <c r="E47" s="322"/>
      <c r="F47" s="322"/>
      <c r="G47" s="322"/>
      <c r="H47" s="131" t="s">
        <v>162</v>
      </c>
      <c r="I47" s="131"/>
      <c r="J47" s="131"/>
      <c r="K47" s="312" t="s">
        <v>163</v>
      </c>
      <c r="L47" s="313"/>
      <c r="M47" s="313"/>
      <c r="N47" s="314"/>
      <c r="O47" s="312">
        <v>360</v>
      </c>
      <c r="P47" s="314"/>
      <c r="Q47" s="315"/>
      <c r="R47" s="131"/>
      <c r="S47" s="315"/>
      <c r="T47" s="315"/>
      <c r="U47" s="312" t="s">
        <v>136</v>
      </c>
      <c r="V47" s="314"/>
      <c r="W47" s="315"/>
      <c r="X47" s="315"/>
      <c r="Y47" s="316"/>
      <c r="Z47" s="317"/>
      <c r="AA47" s="318"/>
      <c r="AB47" s="319">
        <f t="shared" ref="AB47:AB50" si="27">Y47*W47</f>
        <v>0</v>
      </c>
      <c r="AC47" s="320"/>
      <c r="AD47" s="320"/>
      <c r="AE47" s="316"/>
      <c r="AF47" s="317"/>
      <c r="AG47" s="318"/>
      <c r="AH47" s="320">
        <f t="shared" ref="AH47:AH50" si="28">AE47*W47</f>
        <v>0</v>
      </c>
      <c r="AI47" s="320"/>
      <c r="AJ47" s="321"/>
      <c r="AK47" s="310" t="str">
        <f>IF(ISBLANK(AE47),"",1-(Y47/AE47))</f>
        <v/>
      </c>
      <c r="AL47" s="311"/>
    </row>
    <row r="48" spans="1:38" ht="15" customHeight="1" outlineLevel="1">
      <c r="A48" s="322" t="s">
        <v>161</v>
      </c>
      <c r="B48" s="322"/>
      <c r="C48" s="322"/>
      <c r="D48" s="322"/>
      <c r="E48" s="322"/>
      <c r="F48" s="322"/>
      <c r="G48" s="322"/>
      <c r="H48" s="131" t="s">
        <v>162</v>
      </c>
      <c r="I48" s="131"/>
      <c r="J48" s="131"/>
      <c r="K48" s="312" t="s">
        <v>164</v>
      </c>
      <c r="L48" s="313"/>
      <c r="M48" s="313"/>
      <c r="N48" s="314"/>
      <c r="O48" s="312">
        <v>540</v>
      </c>
      <c r="P48" s="314"/>
      <c r="Q48" s="315"/>
      <c r="R48" s="131"/>
      <c r="S48" s="315"/>
      <c r="T48" s="315"/>
      <c r="U48" s="312" t="s">
        <v>136</v>
      </c>
      <c r="V48" s="314"/>
      <c r="W48" s="315"/>
      <c r="X48" s="315"/>
      <c r="Y48" s="316"/>
      <c r="Z48" s="317"/>
      <c r="AA48" s="318"/>
      <c r="AB48" s="319">
        <f t="shared" si="27"/>
        <v>0</v>
      </c>
      <c r="AC48" s="320"/>
      <c r="AD48" s="320"/>
      <c r="AE48" s="316"/>
      <c r="AF48" s="317"/>
      <c r="AG48" s="318"/>
      <c r="AH48" s="320">
        <f t="shared" si="28"/>
        <v>0</v>
      </c>
      <c r="AI48" s="320"/>
      <c r="AJ48" s="321"/>
      <c r="AK48" s="310" t="str">
        <f>IF(ISBLANK(AE48),"",1-(Y48/AE48))</f>
        <v/>
      </c>
      <c r="AL48" s="311"/>
    </row>
    <row r="49" spans="1:38" ht="15" customHeight="1" outlineLevel="1">
      <c r="A49" s="322" t="s">
        <v>161</v>
      </c>
      <c r="B49" s="322"/>
      <c r="C49" s="322"/>
      <c r="D49" s="322"/>
      <c r="E49" s="322"/>
      <c r="F49" s="322"/>
      <c r="G49" s="322"/>
      <c r="H49" s="131" t="s">
        <v>162</v>
      </c>
      <c r="I49" s="131"/>
      <c r="J49" s="131"/>
      <c r="K49" s="312" t="s">
        <v>165</v>
      </c>
      <c r="L49" s="313"/>
      <c r="M49" s="313"/>
      <c r="N49" s="314"/>
      <c r="O49" s="312">
        <v>2400</v>
      </c>
      <c r="P49" s="314"/>
      <c r="Q49" s="315"/>
      <c r="R49" s="131"/>
      <c r="S49" s="315"/>
      <c r="T49" s="315"/>
      <c r="U49" s="312" t="s">
        <v>136</v>
      </c>
      <c r="V49" s="314"/>
      <c r="W49" s="315"/>
      <c r="X49" s="315"/>
      <c r="Y49" s="316"/>
      <c r="Z49" s="317"/>
      <c r="AA49" s="318"/>
      <c r="AB49" s="319">
        <f t="shared" si="27"/>
        <v>0</v>
      </c>
      <c r="AC49" s="320"/>
      <c r="AD49" s="320"/>
      <c r="AE49" s="316"/>
      <c r="AF49" s="317"/>
      <c r="AG49" s="318"/>
      <c r="AH49" s="320">
        <f t="shared" si="28"/>
        <v>0</v>
      </c>
      <c r="AI49" s="320"/>
      <c r="AJ49" s="321"/>
      <c r="AK49" s="310" t="str">
        <f>IF(ISBLANK(AE49),"",1-(Y49/AE49))</f>
        <v/>
      </c>
      <c r="AL49" s="311"/>
    </row>
    <row r="50" spans="1:38" ht="15" customHeight="1" outlineLevel="1">
      <c r="A50" s="322" t="s">
        <v>161</v>
      </c>
      <c r="B50" s="322"/>
      <c r="C50" s="322"/>
      <c r="D50" s="322"/>
      <c r="E50" s="322"/>
      <c r="F50" s="322"/>
      <c r="G50" s="322"/>
      <c r="H50" s="131" t="s">
        <v>162</v>
      </c>
      <c r="I50" s="131"/>
      <c r="J50" s="131"/>
      <c r="K50" s="312" t="s">
        <v>166</v>
      </c>
      <c r="L50" s="313"/>
      <c r="M50" s="313"/>
      <c r="N50" s="314"/>
      <c r="O50" s="312">
        <v>10800</v>
      </c>
      <c r="P50" s="314"/>
      <c r="Q50" s="315"/>
      <c r="R50" s="131"/>
      <c r="S50" s="315"/>
      <c r="T50" s="315"/>
      <c r="U50" s="312" t="s">
        <v>136</v>
      </c>
      <c r="V50" s="314"/>
      <c r="W50" s="315"/>
      <c r="X50" s="315"/>
      <c r="Y50" s="316"/>
      <c r="Z50" s="317"/>
      <c r="AA50" s="318"/>
      <c r="AB50" s="319">
        <f t="shared" si="27"/>
        <v>0</v>
      </c>
      <c r="AC50" s="320"/>
      <c r="AD50" s="320"/>
      <c r="AE50" s="316"/>
      <c r="AF50" s="317"/>
      <c r="AG50" s="318"/>
      <c r="AH50" s="320">
        <f t="shared" si="28"/>
        <v>0</v>
      </c>
      <c r="AI50" s="320"/>
      <c r="AJ50" s="321"/>
      <c r="AK50" s="310" t="str">
        <f>IF(ISBLANK(AE50),"",1-(Y50/AE50))</f>
        <v/>
      </c>
      <c r="AL50" s="311"/>
    </row>
    <row r="51" spans="1:38" ht="18.75">
      <c r="A51" s="111" t="s">
        <v>167</v>
      </c>
      <c r="B51" s="112"/>
      <c r="C51" s="112"/>
      <c r="D51" s="112"/>
      <c r="E51" s="112"/>
      <c r="F51" s="112"/>
      <c r="G51" s="112"/>
      <c r="H51" s="113"/>
      <c r="I51" s="113"/>
      <c r="J51" s="113"/>
      <c r="K51" s="113"/>
      <c r="L51" s="113"/>
      <c r="M51" s="113"/>
      <c r="N51" s="113"/>
      <c r="O51" s="113"/>
      <c r="P51" s="113"/>
      <c r="Q51" s="113"/>
      <c r="R51" s="113"/>
      <c r="S51" s="113"/>
      <c r="T51" s="113"/>
      <c r="U51" s="113"/>
      <c r="V51" s="113"/>
      <c r="W51" s="113"/>
      <c r="X51" s="113"/>
      <c r="Y51" s="361"/>
      <c r="Z51" s="362"/>
      <c r="AA51" s="363"/>
      <c r="AB51" s="360">
        <f>SUBTOTAL(9,AB52:AD54)</f>
        <v>0</v>
      </c>
      <c r="AC51" s="360"/>
      <c r="AD51" s="360"/>
      <c r="AE51" s="361"/>
      <c r="AF51" s="362"/>
      <c r="AG51" s="363"/>
      <c r="AH51" s="360">
        <f>SUBTOTAL(9,AH52:AJ54)</f>
        <v>0</v>
      </c>
      <c r="AI51" s="360"/>
      <c r="AJ51" s="360"/>
      <c r="AK51" s="357" t="str">
        <f>IF(AH51=0,"",1-(AB51/AH51))</f>
        <v/>
      </c>
      <c r="AL51" s="357"/>
    </row>
    <row r="52" spans="1:38" ht="15" customHeight="1" outlineLevel="1">
      <c r="A52" s="322" t="s">
        <v>168</v>
      </c>
      <c r="B52" s="322"/>
      <c r="C52" s="322"/>
      <c r="D52" s="322"/>
      <c r="E52" s="322"/>
      <c r="F52" s="322"/>
      <c r="G52" s="322"/>
      <c r="H52" s="131"/>
      <c r="I52" s="131"/>
      <c r="J52" s="131"/>
      <c r="K52" s="312"/>
      <c r="L52" s="313"/>
      <c r="M52" s="313"/>
      <c r="N52" s="314"/>
      <c r="O52" s="315"/>
      <c r="P52" s="131"/>
      <c r="Q52" s="315"/>
      <c r="R52" s="131"/>
      <c r="S52" s="315"/>
      <c r="T52" s="315"/>
      <c r="U52" s="312" t="s">
        <v>136</v>
      </c>
      <c r="V52" s="314"/>
      <c r="W52" s="315"/>
      <c r="X52" s="315"/>
      <c r="Y52" s="316"/>
      <c r="Z52" s="317"/>
      <c r="AA52" s="318"/>
      <c r="AB52" s="319">
        <f t="shared" ref="AB52:AB54" si="29">Y52*W52</f>
        <v>0</v>
      </c>
      <c r="AC52" s="320"/>
      <c r="AD52" s="320"/>
      <c r="AE52" s="316"/>
      <c r="AF52" s="317"/>
      <c r="AG52" s="318"/>
      <c r="AH52" s="320">
        <f t="shared" ref="AH52:AH54" si="30">AE52*W52</f>
        <v>0</v>
      </c>
      <c r="AI52" s="320"/>
      <c r="AJ52" s="321"/>
      <c r="AK52" s="310" t="str">
        <f>IF(ISBLANK(AE52),"",1-(Y52/AE52))</f>
        <v/>
      </c>
      <c r="AL52" s="311"/>
    </row>
    <row r="53" spans="1:38" ht="15" customHeight="1" outlineLevel="1">
      <c r="A53" s="322" t="s">
        <v>169</v>
      </c>
      <c r="B53" s="322"/>
      <c r="C53" s="322"/>
      <c r="D53" s="322"/>
      <c r="E53" s="322"/>
      <c r="F53" s="322"/>
      <c r="G53" s="322"/>
      <c r="H53" s="131"/>
      <c r="I53" s="131"/>
      <c r="J53" s="131"/>
      <c r="K53" s="312"/>
      <c r="L53" s="313"/>
      <c r="M53" s="313"/>
      <c r="N53" s="314"/>
      <c r="O53" s="315"/>
      <c r="P53" s="131"/>
      <c r="Q53" s="315"/>
      <c r="R53" s="131"/>
      <c r="S53" s="315"/>
      <c r="T53" s="315"/>
      <c r="U53" s="312" t="s">
        <v>136</v>
      </c>
      <c r="V53" s="314"/>
      <c r="W53" s="315"/>
      <c r="X53" s="315"/>
      <c r="Y53" s="316"/>
      <c r="Z53" s="317"/>
      <c r="AA53" s="318"/>
      <c r="AB53" s="319">
        <f t="shared" si="29"/>
        <v>0</v>
      </c>
      <c r="AC53" s="320"/>
      <c r="AD53" s="320"/>
      <c r="AE53" s="316"/>
      <c r="AF53" s="317"/>
      <c r="AG53" s="318"/>
      <c r="AH53" s="320">
        <f t="shared" si="30"/>
        <v>0</v>
      </c>
      <c r="AI53" s="320"/>
      <c r="AJ53" s="321"/>
      <c r="AK53" s="310" t="str">
        <f>IF(ISBLANK(AE53),"",1-(Y53/AE53))</f>
        <v/>
      </c>
      <c r="AL53" s="311"/>
    </row>
    <row r="54" spans="1:38" ht="15" customHeight="1" outlineLevel="1">
      <c r="A54" s="322" t="s">
        <v>170</v>
      </c>
      <c r="B54" s="322"/>
      <c r="C54" s="322"/>
      <c r="D54" s="322"/>
      <c r="E54" s="322"/>
      <c r="F54" s="322"/>
      <c r="G54" s="322"/>
      <c r="H54" s="131"/>
      <c r="I54" s="131"/>
      <c r="J54" s="131"/>
      <c r="K54" s="312"/>
      <c r="L54" s="313"/>
      <c r="M54" s="313"/>
      <c r="N54" s="314"/>
      <c r="O54" s="315"/>
      <c r="P54" s="131"/>
      <c r="Q54" s="315"/>
      <c r="R54" s="131"/>
      <c r="S54" s="315"/>
      <c r="T54" s="315"/>
      <c r="U54" s="312" t="s">
        <v>136</v>
      </c>
      <c r="V54" s="314"/>
      <c r="W54" s="315"/>
      <c r="X54" s="315"/>
      <c r="Y54" s="316"/>
      <c r="Z54" s="317"/>
      <c r="AA54" s="318"/>
      <c r="AB54" s="319">
        <f t="shared" si="29"/>
        <v>0</v>
      </c>
      <c r="AC54" s="320"/>
      <c r="AD54" s="320"/>
      <c r="AE54" s="316"/>
      <c r="AF54" s="317"/>
      <c r="AG54" s="318"/>
      <c r="AH54" s="320">
        <f t="shared" si="30"/>
        <v>0</v>
      </c>
      <c r="AI54" s="320"/>
      <c r="AJ54" s="321"/>
      <c r="AK54" s="310" t="str">
        <f>IF(ISBLANK(AE54),"",1-(Y54/AE54))</f>
        <v/>
      </c>
      <c r="AL54" s="311"/>
    </row>
    <row r="55" spans="1:38" ht="18.75">
      <c r="A55" s="111" t="s">
        <v>171</v>
      </c>
      <c r="B55" s="112"/>
      <c r="C55" s="112"/>
      <c r="D55" s="112"/>
      <c r="E55" s="112"/>
      <c r="F55" s="112"/>
      <c r="G55" s="112"/>
      <c r="H55" s="113"/>
      <c r="I55" s="113"/>
      <c r="J55" s="113"/>
      <c r="K55" s="113"/>
      <c r="L55" s="113"/>
      <c r="M55" s="113"/>
      <c r="N55" s="113"/>
      <c r="O55" s="113"/>
      <c r="P55" s="113"/>
      <c r="Q55" s="113"/>
      <c r="R55" s="113"/>
      <c r="S55" s="113"/>
      <c r="T55" s="113"/>
      <c r="U55" s="113"/>
      <c r="V55" s="113"/>
      <c r="W55" s="113"/>
      <c r="X55" s="113"/>
      <c r="Y55" s="361"/>
      <c r="Z55" s="362"/>
      <c r="AA55" s="363"/>
      <c r="AB55" s="360">
        <f>SUBTOTAL(9,AB56:AD58)</f>
        <v>0</v>
      </c>
      <c r="AC55" s="360"/>
      <c r="AD55" s="360"/>
      <c r="AE55" s="361"/>
      <c r="AF55" s="362"/>
      <c r="AG55" s="363"/>
      <c r="AH55" s="360">
        <f>SUBTOTAL(9,AH56:AJ58)</f>
        <v>0</v>
      </c>
      <c r="AI55" s="360"/>
      <c r="AJ55" s="360"/>
      <c r="AK55" s="357" t="str">
        <f>IF(AH55=0,"",1-(AB55/AH55))</f>
        <v/>
      </c>
      <c r="AL55" s="357"/>
    </row>
    <row r="56" spans="1:38" outlineLevel="1">
      <c r="A56" s="322" t="s">
        <v>172</v>
      </c>
      <c r="B56" s="322"/>
      <c r="C56" s="322"/>
      <c r="D56" s="322"/>
      <c r="E56" s="322"/>
      <c r="F56" s="322"/>
      <c r="G56" s="322"/>
      <c r="H56" s="312"/>
      <c r="I56" s="313"/>
      <c r="J56" s="314"/>
      <c r="K56" s="312"/>
      <c r="L56" s="313"/>
      <c r="M56" s="313"/>
      <c r="N56" s="314"/>
      <c r="O56" s="315"/>
      <c r="P56" s="131"/>
      <c r="Q56" s="323"/>
      <c r="R56" s="324"/>
      <c r="S56" s="323"/>
      <c r="T56" s="324"/>
      <c r="U56" s="312" t="s">
        <v>136</v>
      </c>
      <c r="V56" s="314"/>
      <c r="W56" s="315"/>
      <c r="X56" s="315"/>
      <c r="Y56" s="316"/>
      <c r="Z56" s="317"/>
      <c r="AA56" s="318"/>
      <c r="AB56" s="319">
        <f>Y56*W56</f>
        <v>0</v>
      </c>
      <c r="AC56" s="320"/>
      <c r="AD56" s="320"/>
      <c r="AE56" s="316"/>
      <c r="AF56" s="317"/>
      <c r="AG56" s="318"/>
      <c r="AH56" s="320">
        <f>AE56*W56</f>
        <v>0</v>
      </c>
      <c r="AI56" s="320"/>
      <c r="AJ56" s="321"/>
      <c r="AK56" s="310" t="str">
        <f>IF(ISBLANK(AE56),"",1-(Y56/AE56))</f>
        <v/>
      </c>
      <c r="AL56" s="311"/>
    </row>
    <row r="57" spans="1:38" ht="15" customHeight="1" outlineLevel="1">
      <c r="A57" s="322" t="s">
        <v>173</v>
      </c>
      <c r="B57" s="322"/>
      <c r="C57" s="322"/>
      <c r="D57" s="322"/>
      <c r="E57" s="322"/>
      <c r="F57" s="322"/>
      <c r="G57" s="322"/>
      <c r="H57" s="312"/>
      <c r="I57" s="313"/>
      <c r="J57" s="314"/>
      <c r="K57" s="312"/>
      <c r="L57" s="313"/>
      <c r="M57" s="313"/>
      <c r="N57" s="314"/>
      <c r="O57" s="315"/>
      <c r="P57" s="131"/>
      <c r="Q57" s="323"/>
      <c r="R57" s="324"/>
      <c r="S57" s="323"/>
      <c r="T57" s="324"/>
      <c r="U57" s="312" t="s">
        <v>136</v>
      </c>
      <c r="V57" s="314"/>
      <c r="W57" s="315"/>
      <c r="X57" s="315"/>
      <c r="Y57" s="316"/>
      <c r="Z57" s="317"/>
      <c r="AA57" s="318"/>
      <c r="AB57" s="319">
        <f>Y57*W57</f>
        <v>0</v>
      </c>
      <c r="AC57" s="320"/>
      <c r="AD57" s="320"/>
      <c r="AE57" s="316"/>
      <c r="AF57" s="317"/>
      <c r="AG57" s="318"/>
      <c r="AH57" s="320">
        <f>AE57*W57</f>
        <v>0</v>
      </c>
      <c r="AI57" s="320"/>
      <c r="AJ57" s="321"/>
      <c r="AK57" s="310" t="str">
        <f>IF(ISBLANK(AE57),"",1-(Y57/AE57))</f>
        <v/>
      </c>
      <c r="AL57" s="311"/>
    </row>
    <row r="58" spans="1:38" ht="15" customHeight="1" outlineLevel="1">
      <c r="A58" s="322" t="s">
        <v>174</v>
      </c>
      <c r="B58" s="322"/>
      <c r="C58" s="322"/>
      <c r="D58" s="322"/>
      <c r="E58" s="322"/>
      <c r="F58" s="322"/>
      <c r="G58" s="322"/>
      <c r="H58" s="312"/>
      <c r="I58" s="313"/>
      <c r="J58" s="314"/>
      <c r="K58" s="312"/>
      <c r="L58" s="313"/>
      <c r="M58" s="313"/>
      <c r="N58" s="314"/>
      <c r="O58" s="315"/>
      <c r="P58" s="131"/>
      <c r="Q58" s="323"/>
      <c r="R58" s="324"/>
      <c r="S58" s="323"/>
      <c r="T58" s="324"/>
      <c r="U58" s="312" t="s">
        <v>136</v>
      </c>
      <c r="V58" s="314"/>
      <c r="W58" s="315"/>
      <c r="X58" s="315"/>
      <c r="Y58" s="316"/>
      <c r="Z58" s="317"/>
      <c r="AA58" s="318"/>
      <c r="AB58" s="319">
        <f>Y58*W58</f>
        <v>0</v>
      </c>
      <c r="AC58" s="320"/>
      <c r="AD58" s="320"/>
      <c r="AE58" s="316"/>
      <c r="AF58" s="317"/>
      <c r="AG58" s="318"/>
      <c r="AH58" s="320">
        <f>AE58*W58</f>
        <v>0</v>
      </c>
      <c r="AI58" s="320"/>
      <c r="AJ58" s="321"/>
      <c r="AK58" s="310" t="str">
        <f>IF(ISBLANK(AE58),"",1-(Y58/AE58))</f>
        <v/>
      </c>
      <c r="AL58" s="311"/>
    </row>
    <row r="59" spans="1:38" ht="18.75">
      <c r="A59" s="111" t="s">
        <v>175</v>
      </c>
      <c r="B59" s="112"/>
      <c r="C59" s="112"/>
      <c r="D59" s="112"/>
      <c r="E59" s="112"/>
      <c r="F59" s="112"/>
      <c r="G59" s="112"/>
      <c r="H59" s="113"/>
      <c r="I59" s="113"/>
      <c r="J59" s="113"/>
      <c r="K59" s="113"/>
      <c r="L59" s="113"/>
      <c r="M59" s="113"/>
      <c r="N59" s="113"/>
      <c r="O59" s="113"/>
      <c r="P59" s="113"/>
      <c r="Q59" s="113"/>
      <c r="R59" s="113"/>
      <c r="S59" s="113"/>
      <c r="T59" s="113"/>
      <c r="U59" s="113"/>
      <c r="V59" s="113"/>
      <c r="W59" s="113"/>
      <c r="X59" s="113"/>
      <c r="Y59" s="361"/>
      <c r="Z59" s="362"/>
      <c r="AA59" s="363"/>
      <c r="AB59" s="360">
        <f>SUBTOTAL(9,AB60:AD62)</f>
        <v>0</v>
      </c>
      <c r="AC59" s="360"/>
      <c r="AD59" s="360"/>
      <c r="AE59" s="361"/>
      <c r="AF59" s="362"/>
      <c r="AG59" s="363"/>
      <c r="AH59" s="360">
        <f>SUBTOTAL(9,AH60:AJ62)</f>
        <v>0</v>
      </c>
      <c r="AI59" s="360"/>
      <c r="AJ59" s="360"/>
      <c r="AK59" s="357" t="str">
        <f>IF(AH59=0,"",1-(AB59/AH59))</f>
        <v/>
      </c>
      <c r="AL59" s="357"/>
    </row>
    <row r="60" spans="1:38" outlineLevel="1">
      <c r="A60" s="322" t="s">
        <v>176</v>
      </c>
      <c r="B60" s="322"/>
      <c r="C60" s="322"/>
      <c r="D60" s="322"/>
      <c r="E60" s="322"/>
      <c r="F60" s="322"/>
      <c r="G60" s="322"/>
      <c r="H60" s="312"/>
      <c r="I60" s="313"/>
      <c r="J60" s="314"/>
      <c r="K60" s="312"/>
      <c r="L60" s="313"/>
      <c r="M60" s="313"/>
      <c r="N60" s="314"/>
      <c r="O60" s="312"/>
      <c r="P60" s="314"/>
      <c r="Q60" s="315"/>
      <c r="R60" s="131"/>
      <c r="S60" s="315"/>
      <c r="T60" s="315"/>
      <c r="U60" s="312" t="s">
        <v>136</v>
      </c>
      <c r="V60" s="314"/>
      <c r="W60" s="315"/>
      <c r="X60" s="315"/>
      <c r="Y60" s="316"/>
      <c r="Z60" s="317"/>
      <c r="AA60" s="318"/>
      <c r="AB60" s="319">
        <f t="shared" ref="AB60:AB62" si="31">Y60*W60</f>
        <v>0</v>
      </c>
      <c r="AC60" s="320"/>
      <c r="AD60" s="320"/>
      <c r="AE60" s="316"/>
      <c r="AF60" s="317"/>
      <c r="AG60" s="318"/>
      <c r="AH60" s="320">
        <f t="shared" ref="AH60:AH62" si="32">AE60*W60</f>
        <v>0</v>
      </c>
      <c r="AI60" s="320"/>
      <c r="AJ60" s="321"/>
      <c r="AK60" s="310" t="str">
        <f>IF(ISBLANK(AE60),"",1-(Y60/AE60))</f>
        <v/>
      </c>
      <c r="AL60" s="311"/>
    </row>
    <row r="61" spans="1:38" outlineLevel="1">
      <c r="A61" s="322" t="s">
        <v>177</v>
      </c>
      <c r="B61" s="322"/>
      <c r="C61" s="322"/>
      <c r="D61" s="322"/>
      <c r="E61" s="322"/>
      <c r="F61" s="322"/>
      <c r="G61" s="322"/>
      <c r="H61" s="312"/>
      <c r="I61" s="313"/>
      <c r="J61" s="314"/>
      <c r="K61" s="312"/>
      <c r="L61" s="313"/>
      <c r="M61" s="313"/>
      <c r="N61" s="314"/>
      <c r="O61" s="312"/>
      <c r="P61" s="314"/>
      <c r="Q61" s="315"/>
      <c r="R61" s="131"/>
      <c r="S61" s="315"/>
      <c r="T61" s="315"/>
      <c r="U61" s="312" t="s">
        <v>136</v>
      </c>
      <c r="V61" s="314"/>
      <c r="W61" s="315"/>
      <c r="X61" s="315"/>
      <c r="Y61" s="316"/>
      <c r="Z61" s="317"/>
      <c r="AA61" s="318"/>
      <c r="AB61" s="319">
        <f t="shared" si="31"/>
        <v>0</v>
      </c>
      <c r="AC61" s="320"/>
      <c r="AD61" s="320"/>
      <c r="AE61" s="316"/>
      <c r="AF61" s="317"/>
      <c r="AG61" s="318"/>
      <c r="AH61" s="320">
        <f t="shared" si="32"/>
        <v>0</v>
      </c>
      <c r="AI61" s="320"/>
      <c r="AJ61" s="321"/>
      <c r="AK61" s="310" t="str">
        <f>IF(ISBLANK(AE61),"",1-(Y61/AE61))</f>
        <v/>
      </c>
      <c r="AL61" s="311"/>
    </row>
    <row r="62" spans="1:38" outlineLevel="1">
      <c r="A62" s="322" t="s">
        <v>178</v>
      </c>
      <c r="B62" s="322"/>
      <c r="C62" s="322"/>
      <c r="D62" s="322"/>
      <c r="E62" s="322"/>
      <c r="F62" s="322"/>
      <c r="G62" s="322"/>
      <c r="H62" s="312"/>
      <c r="I62" s="313"/>
      <c r="J62" s="314"/>
      <c r="K62" s="312"/>
      <c r="L62" s="313"/>
      <c r="M62" s="313"/>
      <c r="N62" s="314"/>
      <c r="O62" s="312"/>
      <c r="P62" s="314"/>
      <c r="Q62" s="315"/>
      <c r="R62" s="131"/>
      <c r="S62" s="315"/>
      <c r="T62" s="315"/>
      <c r="U62" s="312" t="s">
        <v>136</v>
      </c>
      <c r="V62" s="314"/>
      <c r="W62" s="315"/>
      <c r="X62" s="315"/>
      <c r="Y62" s="316"/>
      <c r="Z62" s="317"/>
      <c r="AA62" s="318"/>
      <c r="AB62" s="319">
        <f t="shared" si="31"/>
        <v>0</v>
      </c>
      <c r="AC62" s="320"/>
      <c r="AD62" s="320"/>
      <c r="AE62" s="316"/>
      <c r="AF62" s="317"/>
      <c r="AG62" s="318"/>
      <c r="AH62" s="320">
        <f t="shared" si="32"/>
        <v>0</v>
      </c>
      <c r="AI62" s="320"/>
      <c r="AJ62" s="321"/>
      <c r="AK62" s="310" t="str">
        <f>IF(ISBLANK(AE62),"",1-(Y62/AE62))</f>
        <v/>
      </c>
      <c r="AL62" s="311"/>
    </row>
    <row r="63" spans="1:38" ht="18.75">
      <c r="A63" s="111" t="s">
        <v>179</v>
      </c>
      <c r="B63" s="112"/>
      <c r="C63" s="112"/>
      <c r="D63" s="112"/>
      <c r="E63" s="112"/>
      <c r="F63" s="112"/>
      <c r="G63" s="112"/>
      <c r="H63" s="113"/>
      <c r="I63" s="113"/>
      <c r="J63" s="113"/>
      <c r="K63" s="113"/>
      <c r="L63" s="113"/>
      <c r="M63" s="113"/>
      <c r="N63" s="113"/>
      <c r="O63" s="113"/>
      <c r="P63" s="113"/>
      <c r="Q63" s="113"/>
      <c r="R63" s="113"/>
      <c r="S63" s="113"/>
      <c r="T63" s="113"/>
      <c r="U63" s="113"/>
      <c r="V63" s="113"/>
      <c r="W63" s="113"/>
      <c r="X63" s="113"/>
      <c r="Y63" s="361"/>
      <c r="Z63" s="362"/>
      <c r="AA63" s="363"/>
      <c r="AB63" s="360">
        <f>SUBTOTAL(9,AB64:AD69)</f>
        <v>0</v>
      </c>
      <c r="AC63" s="360"/>
      <c r="AD63" s="360"/>
      <c r="AE63" s="361"/>
      <c r="AF63" s="362"/>
      <c r="AG63" s="363"/>
      <c r="AH63" s="360">
        <f>SUBTOTAL(9,AH64:AJ69)</f>
        <v>0</v>
      </c>
      <c r="AI63" s="360"/>
      <c r="AJ63" s="360"/>
      <c r="AK63" s="357" t="str">
        <f>IF(AH63=0,"",1-(AB63/AH63))</f>
        <v/>
      </c>
      <c r="AL63" s="357"/>
    </row>
    <row r="64" spans="1:38" ht="15" customHeight="1" outlineLevel="1">
      <c r="A64" s="322" t="s">
        <v>180</v>
      </c>
      <c r="B64" s="322"/>
      <c r="C64" s="322"/>
      <c r="D64" s="322"/>
      <c r="E64" s="322"/>
      <c r="F64" s="322"/>
      <c r="G64" s="322"/>
      <c r="H64" s="312"/>
      <c r="I64" s="313"/>
      <c r="J64" s="314"/>
      <c r="K64" s="312"/>
      <c r="L64" s="313"/>
      <c r="M64" s="313"/>
      <c r="N64" s="314"/>
      <c r="O64" s="312"/>
      <c r="P64" s="314"/>
      <c r="Q64" s="315"/>
      <c r="R64" s="131"/>
      <c r="S64" s="315"/>
      <c r="T64" s="315"/>
      <c r="U64" s="312" t="s">
        <v>136</v>
      </c>
      <c r="V64" s="314"/>
      <c r="W64" s="315"/>
      <c r="X64" s="315"/>
      <c r="Y64" s="316"/>
      <c r="Z64" s="317"/>
      <c r="AA64" s="318"/>
      <c r="AB64" s="319">
        <f t="shared" ref="AB64:AB69" si="33">Y64*W64</f>
        <v>0</v>
      </c>
      <c r="AC64" s="320"/>
      <c r="AD64" s="320"/>
      <c r="AE64" s="316"/>
      <c r="AF64" s="317"/>
      <c r="AG64" s="318"/>
      <c r="AH64" s="320">
        <f t="shared" ref="AH64:AH69" si="34">AE64*W64</f>
        <v>0</v>
      </c>
      <c r="AI64" s="320"/>
      <c r="AJ64" s="321"/>
      <c r="AK64" s="310" t="str">
        <f t="shared" ref="AK64:AK69" si="35">IF(ISBLANK(AE64),"",1-(Y64/AE64))</f>
        <v/>
      </c>
      <c r="AL64" s="311"/>
    </row>
    <row r="65" spans="1:38" ht="15" customHeight="1" outlineLevel="1">
      <c r="A65" s="322" t="s">
        <v>181</v>
      </c>
      <c r="B65" s="322"/>
      <c r="C65" s="322"/>
      <c r="D65" s="322"/>
      <c r="E65" s="322"/>
      <c r="F65" s="322"/>
      <c r="G65" s="322"/>
      <c r="H65" s="312"/>
      <c r="I65" s="313"/>
      <c r="J65" s="314"/>
      <c r="K65" s="312"/>
      <c r="L65" s="313"/>
      <c r="M65" s="313"/>
      <c r="N65" s="314"/>
      <c r="O65" s="312"/>
      <c r="P65" s="314"/>
      <c r="Q65" s="315"/>
      <c r="R65" s="131"/>
      <c r="S65" s="315"/>
      <c r="T65" s="315"/>
      <c r="U65" s="312" t="s">
        <v>136</v>
      </c>
      <c r="V65" s="314"/>
      <c r="W65" s="315"/>
      <c r="X65" s="315"/>
      <c r="Y65" s="316"/>
      <c r="Z65" s="317"/>
      <c r="AA65" s="318"/>
      <c r="AB65" s="319">
        <f t="shared" si="33"/>
        <v>0</v>
      </c>
      <c r="AC65" s="320"/>
      <c r="AD65" s="320"/>
      <c r="AE65" s="316"/>
      <c r="AF65" s="317"/>
      <c r="AG65" s="318"/>
      <c r="AH65" s="320">
        <f t="shared" si="34"/>
        <v>0</v>
      </c>
      <c r="AI65" s="320"/>
      <c r="AJ65" s="321"/>
      <c r="AK65" s="310" t="str">
        <f t="shared" si="35"/>
        <v/>
      </c>
      <c r="AL65" s="311"/>
    </row>
    <row r="66" spans="1:38" ht="15" customHeight="1" outlineLevel="1">
      <c r="A66" s="322" t="s">
        <v>182</v>
      </c>
      <c r="B66" s="322"/>
      <c r="C66" s="322"/>
      <c r="D66" s="322"/>
      <c r="E66" s="322"/>
      <c r="F66" s="322"/>
      <c r="G66" s="322"/>
      <c r="H66" s="312"/>
      <c r="I66" s="313"/>
      <c r="J66" s="314"/>
      <c r="K66" s="312"/>
      <c r="L66" s="313"/>
      <c r="M66" s="313"/>
      <c r="N66" s="314"/>
      <c r="O66" s="312"/>
      <c r="P66" s="314"/>
      <c r="Q66" s="315"/>
      <c r="R66" s="131"/>
      <c r="S66" s="315"/>
      <c r="T66" s="315"/>
      <c r="U66" s="312" t="s">
        <v>136</v>
      </c>
      <c r="V66" s="314"/>
      <c r="W66" s="315"/>
      <c r="X66" s="315"/>
      <c r="Y66" s="316"/>
      <c r="Z66" s="317"/>
      <c r="AA66" s="318"/>
      <c r="AB66" s="319">
        <f t="shared" si="33"/>
        <v>0</v>
      </c>
      <c r="AC66" s="320"/>
      <c r="AD66" s="320"/>
      <c r="AE66" s="316"/>
      <c r="AF66" s="317"/>
      <c r="AG66" s="318"/>
      <c r="AH66" s="320">
        <f t="shared" si="34"/>
        <v>0</v>
      </c>
      <c r="AI66" s="320"/>
      <c r="AJ66" s="321"/>
      <c r="AK66" s="310" t="str">
        <f t="shared" si="35"/>
        <v/>
      </c>
      <c r="AL66" s="311"/>
    </row>
    <row r="67" spans="1:38" ht="15" customHeight="1" outlineLevel="1">
      <c r="A67" s="322" t="s">
        <v>183</v>
      </c>
      <c r="B67" s="322"/>
      <c r="C67" s="322"/>
      <c r="D67" s="322"/>
      <c r="E67" s="322"/>
      <c r="F67" s="322"/>
      <c r="G67" s="322"/>
      <c r="H67" s="312"/>
      <c r="I67" s="313"/>
      <c r="J67" s="314"/>
      <c r="K67" s="312"/>
      <c r="L67" s="313"/>
      <c r="M67" s="313"/>
      <c r="N67" s="314"/>
      <c r="O67" s="312"/>
      <c r="P67" s="314"/>
      <c r="Q67" s="315"/>
      <c r="R67" s="131"/>
      <c r="S67" s="315"/>
      <c r="T67" s="315"/>
      <c r="U67" s="312" t="s">
        <v>136</v>
      </c>
      <c r="V67" s="314"/>
      <c r="W67" s="315"/>
      <c r="X67" s="315"/>
      <c r="Y67" s="316"/>
      <c r="Z67" s="317"/>
      <c r="AA67" s="318"/>
      <c r="AB67" s="319">
        <f t="shared" si="33"/>
        <v>0</v>
      </c>
      <c r="AC67" s="320"/>
      <c r="AD67" s="320"/>
      <c r="AE67" s="316"/>
      <c r="AF67" s="317"/>
      <c r="AG67" s="318"/>
      <c r="AH67" s="320">
        <f t="shared" si="34"/>
        <v>0</v>
      </c>
      <c r="AI67" s="320"/>
      <c r="AJ67" s="321"/>
      <c r="AK67" s="310" t="str">
        <f t="shared" si="35"/>
        <v/>
      </c>
      <c r="AL67" s="311"/>
    </row>
    <row r="68" spans="1:38" ht="15" customHeight="1" outlineLevel="1">
      <c r="A68" s="322" t="s">
        <v>184</v>
      </c>
      <c r="B68" s="322"/>
      <c r="C68" s="322"/>
      <c r="D68" s="322"/>
      <c r="E68" s="322"/>
      <c r="F68" s="322"/>
      <c r="G68" s="322"/>
      <c r="H68" s="312"/>
      <c r="I68" s="313"/>
      <c r="J68" s="314"/>
      <c r="K68" s="312"/>
      <c r="L68" s="313"/>
      <c r="M68" s="313"/>
      <c r="N68" s="314"/>
      <c r="O68" s="312"/>
      <c r="P68" s="314"/>
      <c r="Q68" s="315"/>
      <c r="R68" s="131"/>
      <c r="S68" s="315"/>
      <c r="T68" s="315"/>
      <c r="U68" s="312" t="s">
        <v>136</v>
      </c>
      <c r="V68" s="314"/>
      <c r="W68" s="315"/>
      <c r="X68" s="315"/>
      <c r="Y68" s="316"/>
      <c r="Z68" s="317"/>
      <c r="AA68" s="318"/>
      <c r="AB68" s="319">
        <f t="shared" si="33"/>
        <v>0</v>
      </c>
      <c r="AC68" s="320"/>
      <c r="AD68" s="320"/>
      <c r="AE68" s="316"/>
      <c r="AF68" s="317"/>
      <c r="AG68" s="318"/>
      <c r="AH68" s="320">
        <f t="shared" si="34"/>
        <v>0</v>
      </c>
      <c r="AI68" s="320"/>
      <c r="AJ68" s="321"/>
      <c r="AK68" s="310" t="str">
        <f t="shared" si="35"/>
        <v/>
      </c>
      <c r="AL68" s="311"/>
    </row>
    <row r="69" spans="1:38" ht="15" customHeight="1" outlineLevel="1">
      <c r="A69" s="322" t="s">
        <v>185</v>
      </c>
      <c r="B69" s="322"/>
      <c r="C69" s="322"/>
      <c r="D69" s="322"/>
      <c r="E69" s="322"/>
      <c r="F69" s="322"/>
      <c r="G69" s="322"/>
      <c r="H69" s="312"/>
      <c r="I69" s="313"/>
      <c r="J69" s="314"/>
      <c r="K69" s="312"/>
      <c r="L69" s="313"/>
      <c r="M69" s="313"/>
      <c r="N69" s="314"/>
      <c r="O69" s="312"/>
      <c r="P69" s="314"/>
      <c r="Q69" s="315"/>
      <c r="R69" s="131"/>
      <c r="S69" s="315"/>
      <c r="T69" s="315"/>
      <c r="U69" s="312" t="s">
        <v>136</v>
      </c>
      <c r="V69" s="314"/>
      <c r="W69" s="315"/>
      <c r="X69" s="315"/>
      <c r="Y69" s="316"/>
      <c r="Z69" s="317"/>
      <c r="AA69" s="318"/>
      <c r="AB69" s="319">
        <f t="shared" si="33"/>
        <v>0</v>
      </c>
      <c r="AC69" s="320"/>
      <c r="AD69" s="320"/>
      <c r="AE69" s="316"/>
      <c r="AF69" s="317"/>
      <c r="AG69" s="318"/>
      <c r="AH69" s="320">
        <f t="shared" si="34"/>
        <v>0</v>
      </c>
      <c r="AI69" s="320"/>
      <c r="AJ69" s="321"/>
      <c r="AK69" s="310" t="str">
        <f t="shared" si="35"/>
        <v/>
      </c>
      <c r="AL69" s="311"/>
    </row>
    <row r="70" spans="1:38" ht="18.75">
      <c r="A70" s="111" t="s">
        <v>186</v>
      </c>
      <c r="B70" s="112"/>
      <c r="C70" s="112"/>
      <c r="D70" s="112"/>
      <c r="E70" s="112"/>
      <c r="F70" s="112"/>
      <c r="G70" s="112"/>
      <c r="H70" s="113"/>
      <c r="I70" s="113"/>
      <c r="J70" s="113"/>
      <c r="K70" s="113"/>
      <c r="L70" s="113"/>
      <c r="M70" s="113"/>
      <c r="N70" s="113"/>
      <c r="O70" s="113"/>
      <c r="P70" s="113"/>
      <c r="Q70" s="113"/>
      <c r="R70" s="113"/>
      <c r="S70" s="113"/>
      <c r="T70" s="113"/>
      <c r="U70" s="113"/>
      <c r="V70" s="113"/>
      <c r="W70" s="113"/>
      <c r="X70" s="113"/>
      <c r="Y70" s="361"/>
      <c r="Z70" s="362"/>
      <c r="AA70" s="363"/>
      <c r="AB70" s="360">
        <f>SUBTOTAL(9,AB71:AD73)</f>
        <v>0</v>
      </c>
      <c r="AC70" s="360"/>
      <c r="AD70" s="360"/>
      <c r="AE70" s="361"/>
      <c r="AF70" s="362"/>
      <c r="AG70" s="363"/>
      <c r="AH70" s="360">
        <f>SUBTOTAL(9,AH71:AJ73)</f>
        <v>0</v>
      </c>
      <c r="AI70" s="360"/>
      <c r="AJ70" s="360"/>
      <c r="AK70" s="357" t="str">
        <f>IF(AH70=0,"",1-(AB70/AH70))</f>
        <v/>
      </c>
      <c r="AL70" s="357"/>
    </row>
    <row r="71" spans="1:38" ht="15" customHeight="1" outlineLevel="1">
      <c r="A71" s="322" t="s">
        <v>187</v>
      </c>
      <c r="B71" s="322"/>
      <c r="C71" s="322"/>
      <c r="D71" s="322"/>
      <c r="E71" s="322"/>
      <c r="F71" s="322"/>
      <c r="G71" s="322"/>
      <c r="H71" s="364"/>
      <c r="I71" s="365"/>
      <c r="J71" s="366"/>
      <c r="K71" s="364"/>
      <c r="L71" s="365"/>
      <c r="M71" s="365"/>
      <c r="N71" s="366"/>
      <c r="O71" s="364"/>
      <c r="P71" s="366"/>
      <c r="Q71" s="367"/>
      <c r="R71" s="368"/>
      <c r="S71" s="315"/>
      <c r="T71" s="315"/>
      <c r="U71" s="312" t="s">
        <v>136</v>
      </c>
      <c r="V71" s="314"/>
      <c r="W71" s="315"/>
      <c r="X71" s="315"/>
      <c r="Y71" s="316"/>
      <c r="Z71" s="317"/>
      <c r="AA71" s="318"/>
      <c r="AB71" s="319">
        <f t="shared" ref="AB71:AB73" si="36">Y71*W71</f>
        <v>0</v>
      </c>
      <c r="AC71" s="320"/>
      <c r="AD71" s="320"/>
      <c r="AE71" s="316"/>
      <c r="AF71" s="317"/>
      <c r="AG71" s="318"/>
      <c r="AH71" s="320">
        <f t="shared" ref="AH71:AH73" si="37">AE71*W71</f>
        <v>0</v>
      </c>
      <c r="AI71" s="320"/>
      <c r="AJ71" s="321"/>
      <c r="AK71" s="310" t="str">
        <f>IF(ISBLANK(AE71),"",1-(Y71/AE71))</f>
        <v/>
      </c>
      <c r="AL71" s="311"/>
    </row>
    <row r="72" spans="1:38" ht="15" customHeight="1" outlineLevel="1">
      <c r="A72" s="322" t="s">
        <v>188</v>
      </c>
      <c r="B72" s="322"/>
      <c r="C72" s="322"/>
      <c r="D72" s="322"/>
      <c r="E72" s="322"/>
      <c r="F72" s="322"/>
      <c r="G72" s="322"/>
      <c r="H72" s="364"/>
      <c r="I72" s="365"/>
      <c r="J72" s="366"/>
      <c r="K72" s="364"/>
      <c r="L72" s="365"/>
      <c r="M72" s="365"/>
      <c r="N72" s="366"/>
      <c r="O72" s="364"/>
      <c r="P72" s="366"/>
      <c r="Q72" s="367"/>
      <c r="R72" s="368"/>
      <c r="S72" s="315"/>
      <c r="T72" s="315"/>
      <c r="U72" s="312" t="s">
        <v>136</v>
      </c>
      <c r="V72" s="314"/>
      <c r="W72" s="315"/>
      <c r="X72" s="315"/>
      <c r="Y72" s="316"/>
      <c r="Z72" s="317"/>
      <c r="AA72" s="318"/>
      <c r="AB72" s="319">
        <f t="shared" si="36"/>
        <v>0</v>
      </c>
      <c r="AC72" s="320"/>
      <c r="AD72" s="320"/>
      <c r="AE72" s="316"/>
      <c r="AF72" s="317"/>
      <c r="AG72" s="318"/>
      <c r="AH72" s="320">
        <f t="shared" si="37"/>
        <v>0</v>
      </c>
      <c r="AI72" s="320"/>
      <c r="AJ72" s="321"/>
      <c r="AK72" s="310" t="str">
        <f>IF(ISBLANK(AE72),"",1-(Y72/AE72))</f>
        <v/>
      </c>
      <c r="AL72" s="311"/>
    </row>
    <row r="73" spans="1:38" ht="15" customHeight="1" outlineLevel="1">
      <c r="A73" s="322" t="s">
        <v>189</v>
      </c>
      <c r="B73" s="322"/>
      <c r="C73" s="322"/>
      <c r="D73" s="322"/>
      <c r="E73" s="322"/>
      <c r="F73" s="322"/>
      <c r="G73" s="322"/>
      <c r="H73" s="364"/>
      <c r="I73" s="365"/>
      <c r="J73" s="366"/>
      <c r="K73" s="364"/>
      <c r="L73" s="365"/>
      <c r="M73" s="365"/>
      <c r="N73" s="366"/>
      <c r="O73" s="364"/>
      <c r="P73" s="366"/>
      <c r="Q73" s="367"/>
      <c r="R73" s="368"/>
      <c r="S73" s="315"/>
      <c r="T73" s="315"/>
      <c r="U73" s="312" t="s">
        <v>136</v>
      </c>
      <c r="V73" s="314"/>
      <c r="W73" s="315"/>
      <c r="X73" s="315"/>
      <c r="Y73" s="316"/>
      <c r="Z73" s="317"/>
      <c r="AA73" s="318"/>
      <c r="AB73" s="319">
        <f t="shared" si="36"/>
        <v>0</v>
      </c>
      <c r="AC73" s="320"/>
      <c r="AD73" s="320"/>
      <c r="AE73" s="316"/>
      <c r="AF73" s="317"/>
      <c r="AG73" s="318"/>
      <c r="AH73" s="320">
        <f t="shared" si="37"/>
        <v>0</v>
      </c>
      <c r="AI73" s="320"/>
      <c r="AJ73" s="321"/>
      <c r="AK73" s="310" t="str">
        <f>IF(ISBLANK(AE73),"",1-(Y73/AE73))</f>
        <v/>
      </c>
      <c r="AL73" s="311"/>
    </row>
    <row r="74" spans="1:38" ht="18.75">
      <c r="A74" s="111" t="s">
        <v>190</v>
      </c>
      <c r="B74" s="112"/>
      <c r="C74" s="112"/>
      <c r="D74" s="112"/>
      <c r="E74" s="112"/>
      <c r="F74" s="112"/>
      <c r="G74" s="112"/>
      <c r="H74" s="113"/>
      <c r="I74" s="113"/>
      <c r="J74" s="113"/>
      <c r="K74" s="113"/>
      <c r="L74" s="113"/>
      <c r="M74" s="113"/>
      <c r="N74" s="113"/>
      <c r="O74" s="113"/>
      <c r="P74" s="113"/>
      <c r="Q74" s="113"/>
      <c r="R74" s="113"/>
      <c r="S74" s="113"/>
      <c r="T74" s="113"/>
      <c r="U74" s="113"/>
      <c r="V74" s="113"/>
      <c r="W74" s="113"/>
      <c r="X74" s="113"/>
      <c r="Y74" s="361"/>
      <c r="Z74" s="362"/>
      <c r="AA74" s="363"/>
      <c r="AB74" s="360">
        <f>SUBTOTAL(9,AB75:AD77)</f>
        <v>0</v>
      </c>
      <c r="AC74" s="360"/>
      <c r="AD74" s="360"/>
      <c r="AE74" s="361"/>
      <c r="AF74" s="362"/>
      <c r="AG74" s="363"/>
      <c r="AH74" s="360">
        <f>SUBTOTAL(9,AH75:AJ77)</f>
        <v>0</v>
      </c>
      <c r="AI74" s="360"/>
      <c r="AJ74" s="360"/>
      <c r="AK74" s="357" t="str">
        <f>IF(AH74=0,"",1-(AB74/AH74))</f>
        <v/>
      </c>
      <c r="AL74" s="357"/>
    </row>
    <row r="75" spans="1:38" ht="15" customHeight="1" outlineLevel="1">
      <c r="A75" s="322" t="s">
        <v>191</v>
      </c>
      <c r="B75" s="322"/>
      <c r="C75" s="322"/>
      <c r="D75" s="322"/>
      <c r="E75" s="322"/>
      <c r="F75" s="322"/>
      <c r="G75" s="322"/>
      <c r="H75" s="131"/>
      <c r="I75" s="131"/>
      <c r="J75" s="131"/>
      <c r="K75" s="312"/>
      <c r="L75" s="313"/>
      <c r="M75" s="313"/>
      <c r="N75" s="314"/>
      <c r="O75" s="312"/>
      <c r="P75" s="314"/>
      <c r="Q75" s="315"/>
      <c r="R75" s="131"/>
      <c r="S75" s="315"/>
      <c r="T75" s="315"/>
      <c r="U75" s="312" t="s">
        <v>136</v>
      </c>
      <c r="V75" s="314"/>
      <c r="W75" s="315"/>
      <c r="X75" s="315"/>
      <c r="Y75" s="316"/>
      <c r="Z75" s="317"/>
      <c r="AA75" s="318"/>
      <c r="AB75" s="319">
        <f t="shared" ref="AB75:AB77" si="38">Y75*W75</f>
        <v>0</v>
      </c>
      <c r="AC75" s="320"/>
      <c r="AD75" s="320"/>
      <c r="AE75" s="316"/>
      <c r="AF75" s="317"/>
      <c r="AG75" s="318"/>
      <c r="AH75" s="320">
        <f t="shared" ref="AH75:AH77" si="39">AE75*W75</f>
        <v>0</v>
      </c>
      <c r="AI75" s="320"/>
      <c r="AJ75" s="321"/>
      <c r="AK75" s="310" t="str">
        <f>IF(ISBLANK(AE75),"",1-(Y75/AE75))</f>
        <v/>
      </c>
      <c r="AL75" s="311"/>
    </row>
    <row r="76" spans="1:38" ht="15" customHeight="1" outlineLevel="1">
      <c r="A76" s="322" t="s">
        <v>192</v>
      </c>
      <c r="B76" s="322"/>
      <c r="C76" s="322"/>
      <c r="D76" s="322"/>
      <c r="E76" s="322"/>
      <c r="F76" s="322"/>
      <c r="G76" s="322"/>
      <c r="H76" s="131"/>
      <c r="I76" s="131"/>
      <c r="J76" s="131"/>
      <c r="K76" s="312"/>
      <c r="L76" s="313"/>
      <c r="M76" s="313"/>
      <c r="N76" s="314"/>
      <c r="O76" s="312"/>
      <c r="P76" s="314"/>
      <c r="Q76" s="315"/>
      <c r="R76" s="131"/>
      <c r="S76" s="315"/>
      <c r="T76" s="315"/>
      <c r="U76" s="312" t="s">
        <v>136</v>
      </c>
      <c r="V76" s="314"/>
      <c r="W76" s="315"/>
      <c r="X76" s="315"/>
      <c r="Y76" s="316"/>
      <c r="Z76" s="317"/>
      <c r="AA76" s="318"/>
      <c r="AB76" s="319">
        <f t="shared" si="38"/>
        <v>0</v>
      </c>
      <c r="AC76" s="320"/>
      <c r="AD76" s="320"/>
      <c r="AE76" s="316"/>
      <c r="AF76" s="317"/>
      <c r="AG76" s="318"/>
      <c r="AH76" s="320">
        <f t="shared" si="39"/>
        <v>0</v>
      </c>
      <c r="AI76" s="320"/>
      <c r="AJ76" s="321"/>
      <c r="AK76" s="310" t="str">
        <f>IF(ISBLANK(AE76),"",1-(Y76/AE76))</f>
        <v/>
      </c>
      <c r="AL76" s="311"/>
    </row>
    <row r="77" spans="1:38" ht="15" customHeight="1" outlineLevel="1">
      <c r="A77" s="322" t="s">
        <v>193</v>
      </c>
      <c r="B77" s="322"/>
      <c r="C77" s="322"/>
      <c r="D77" s="322"/>
      <c r="E77" s="322"/>
      <c r="F77" s="322"/>
      <c r="G77" s="322"/>
      <c r="H77" s="131"/>
      <c r="I77" s="131"/>
      <c r="J77" s="131"/>
      <c r="K77" s="312"/>
      <c r="L77" s="313"/>
      <c r="M77" s="313"/>
      <c r="N77" s="314"/>
      <c r="O77" s="312"/>
      <c r="P77" s="314"/>
      <c r="Q77" s="315"/>
      <c r="R77" s="131"/>
      <c r="S77" s="315"/>
      <c r="T77" s="315"/>
      <c r="U77" s="312" t="s">
        <v>136</v>
      </c>
      <c r="V77" s="314"/>
      <c r="W77" s="315"/>
      <c r="X77" s="315"/>
      <c r="Y77" s="316"/>
      <c r="Z77" s="317"/>
      <c r="AA77" s="318"/>
      <c r="AB77" s="319">
        <f t="shared" si="38"/>
        <v>0</v>
      </c>
      <c r="AC77" s="320"/>
      <c r="AD77" s="320"/>
      <c r="AE77" s="316"/>
      <c r="AF77" s="317"/>
      <c r="AG77" s="318"/>
      <c r="AH77" s="320">
        <f t="shared" si="39"/>
        <v>0</v>
      </c>
      <c r="AI77" s="320"/>
      <c r="AJ77" s="321"/>
      <c r="AK77" s="310" t="str">
        <f>IF(ISBLANK(AE77),"",1-(Y77/AE77))</f>
        <v/>
      </c>
      <c r="AL77" s="311"/>
    </row>
    <row r="78" spans="1:38" ht="18.75">
      <c r="A78" s="111" t="s">
        <v>194</v>
      </c>
      <c r="B78" s="112"/>
      <c r="C78" s="112"/>
      <c r="D78" s="112"/>
      <c r="E78" s="112"/>
      <c r="F78" s="112"/>
      <c r="G78" s="112"/>
      <c r="H78" s="113"/>
      <c r="I78" s="113"/>
      <c r="J78" s="113"/>
      <c r="K78" s="113"/>
      <c r="L78" s="113"/>
      <c r="M78" s="113"/>
      <c r="N78" s="113"/>
      <c r="O78" s="113"/>
      <c r="P78" s="113"/>
      <c r="Q78" s="113"/>
      <c r="R78" s="113"/>
      <c r="S78" s="113"/>
      <c r="T78" s="113"/>
      <c r="U78" s="113"/>
      <c r="V78" s="113"/>
      <c r="W78" s="113"/>
      <c r="X78" s="113"/>
      <c r="Y78" s="361"/>
      <c r="Z78" s="362"/>
      <c r="AA78" s="363"/>
      <c r="AB78" s="360">
        <f>SUBTOTAL(9,AB79:AD82)</f>
        <v>0</v>
      </c>
      <c r="AC78" s="360"/>
      <c r="AD78" s="360"/>
      <c r="AE78" s="361"/>
      <c r="AF78" s="362"/>
      <c r="AG78" s="363"/>
      <c r="AH78" s="360">
        <f>SUBTOTAL(9,AH79:AJ82)</f>
        <v>0</v>
      </c>
      <c r="AI78" s="360"/>
      <c r="AJ78" s="360"/>
      <c r="AK78" s="357" t="str">
        <f>IF(AH78=0,"",1-(AB78/AH78))</f>
        <v/>
      </c>
      <c r="AL78" s="357"/>
    </row>
    <row r="79" spans="1:38" ht="15" customHeight="1" outlineLevel="1">
      <c r="A79" s="322" t="s">
        <v>195</v>
      </c>
      <c r="B79" s="322"/>
      <c r="C79" s="322"/>
      <c r="D79" s="322"/>
      <c r="E79" s="322"/>
      <c r="F79" s="322"/>
      <c r="G79" s="322"/>
      <c r="H79" s="131"/>
      <c r="I79" s="131"/>
      <c r="J79" s="131"/>
      <c r="K79" s="312"/>
      <c r="L79" s="313"/>
      <c r="M79" s="313"/>
      <c r="N79" s="314"/>
      <c r="O79" s="312"/>
      <c r="P79" s="314"/>
      <c r="Q79" s="315"/>
      <c r="R79" s="131"/>
      <c r="S79" s="315"/>
      <c r="T79" s="315"/>
      <c r="U79" s="312" t="s">
        <v>136</v>
      </c>
      <c r="V79" s="314"/>
      <c r="W79" s="315"/>
      <c r="X79" s="315"/>
      <c r="Y79" s="316"/>
      <c r="Z79" s="317"/>
      <c r="AA79" s="318"/>
      <c r="AB79" s="319">
        <f t="shared" ref="AB79:AB82" si="40">Y79*W79</f>
        <v>0</v>
      </c>
      <c r="AC79" s="320"/>
      <c r="AD79" s="320"/>
      <c r="AE79" s="316"/>
      <c r="AF79" s="317"/>
      <c r="AG79" s="318"/>
      <c r="AH79" s="320">
        <f t="shared" ref="AH79:AH82" si="41">AE79*W79</f>
        <v>0</v>
      </c>
      <c r="AI79" s="320"/>
      <c r="AJ79" s="321"/>
      <c r="AK79" s="310" t="str">
        <f>IF(ISBLANK(AE79),"",1-(Y79/AE79))</f>
        <v/>
      </c>
      <c r="AL79" s="311"/>
    </row>
    <row r="80" spans="1:38" ht="15" customHeight="1" outlineLevel="1">
      <c r="A80" s="322" t="s">
        <v>196</v>
      </c>
      <c r="B80" s="322"/>
      <c r="C80" s="322"/>
      <c r="D80" s="322"/>
      <c r="E80" s="322"/>
      <c r="F80" s="322"/>
      <c r="G80" s="322"/>
      <c r="H80" s="131"/>
      <c r="I80" s="131"/>
      <c r="J80" s="131"/>
      <c r="K80" s="312"/>
      <c r="L80" s="313"/>
      <c r="M80" s="313"/>
      <c r="N80" s="314"/>
      <c r="O80" s="312"/>
      <c r="P80" s="314"/>
      <c r="Q80" s="315"/>
      <c r="R80" s="131"/>
      <c r="S80" s="315"/>
      <c r="T80" s="315"/>
      <c r="U80" s="312" t="s">
        <v>136</v>
      </c>
      <c r="V80" s="314"/>
      <c r="W80" s="315"/>
      <c r="X80" s="315"/>
      <c r="Y80" s="316"/>
      <c r="Z80" s="317"/>
      <c r="AA80" s="318"/>
      <c r="AB80" s="319">
        <f t="shared" ref="AB80" si="42">Y80*W80</f>
        <v>0</v>
      </c>
      <c r="AC80" s="320"/>
      <c r="AD80" s="320"/>
      <c r="AE80" s="316"/>
      <c r="AF80" s="317"/>
      <c r="AG80" s="318"/>
      <c r="AH80" s="320">
        <f t="shared" ref="AH80" si="43">AE80*W80</f>
        <v>0</v>
      </c>
      <c r="AI80" s="320"/>
      <c r="AJ80" s="321"/>
      <c r="AK80" s="310" t="str">
        <f>IF(ISBLANK(AE80),"",1-(Y80/AE80))</f>
        <v/>
      </c>
      <c r="AL80" s="311"/>
    </row>
    <row r="81" spans="1:38" ht="15" customHeight="1" outlineLevel="1">
      <c r="A81" s="322" t="s">
        <v>196</v>
      </c>
      <c r="B81" s="322"/>
      <c r="C81" s="322"/>
      <c r="D81" s="322"/>
      <c r="E81" s="322"/>
      <c r="F81" s="322"/>
      <c r="G81" s="322"/>
      <c r="H81" s="131"/>
      <c r="I81" s="131"/>
      <c r="J81" s="131"/>
      <c r="K81" s="312"/>
      <c r="L81" s="313"/>
      <c r="M81" s="313"/>
      <c r="N81" s="314"/>
      <c r="O81" s="312"/>
      <c r="P81" s="314"/>
      <c r="Q81" s="315"/>
      <c r="R81" s="131"/>
      <c r="S81" s="315"/>
      <c r="T81" s="315"/>
      <c r="U81" s="312" t="s">
        <v>136</v>
      </c>
      <c r="V81" s="314"/>
      <c r="W81" s="315"/>
      <c r="X81" s="315"/>
      <c r="Y81" s="316"/>
      <c r="Z81" s="317"/>
      <c r="AA81" s="318"/>
      <c r="AB81" s="319">
        <f t="shared" ref="AB81" si="44">Y81*W81</f>
        <v>0</v>
      </c>
      <c r="AC81" s="320"/>
      <c r="AD81" s="320"/>
      <c r="AE81" s="316"/>
      <c r="AF81" s="317"/>
      <c r="AG81" s="318"/>
      <c r="AH81" s="320">
        <f t="shared" ref="AH81" si="45">AE81*W81</f>
        <v>0</v>
      </c>
      <c r="AI81" s="320"/>
      <c r="AJ81" s="321"/>
      <c r="AK81" s="310" t="str">
        <f>IF(ISBLANK(AE81),"",1-(Y81/AE81))</f>
        <v/>
      </c>
      <c r="AL81" s="311"/>
    </row>
    <row r="82" spans="1:38" ht="15" customHeight="1" outlineLevel="1">
      <c r="A82" s="322" t="s">
        <v>196</v>
      </c>
      <c r="B82" s="322"/>
      <c r="C82" s="322"/>
      <c r="D82" s="322"/>
      <c r="E82" s="322"/>
      <c r="F82" s="322"/>
      <c r="G82" s="322"/>
      <c r="H82" s="131"/>
      <c r="I82" s="131"/>
      <c r="J82" s="131"/>
      <c r="K82" s="312"/>
      <c r="L82" s="313"/>
      <c r="M82" s="313"/>
      <c r="N82" s="314"/>
      <c r="O82" s="312"/>
      <c r="P82" s="314"/>
      <c r="Q82" s="315"/>
      <c r="R82" s="131"/>
      <c r="S82" s="315"/>
      <c r="T82" s="315"/>
      <c r="U82" s="312" t="s">
        <v>136</v>
      </c>
      <c r="V82" s="314"/>
      <c r="W82" s="315"/>
      <c r="X82" s="315"/>
      <c r="Y82" s="316"/>
      <c r="Z82" s="317"/>
      <c r="AA82" s="318"/>
      <c r="AB82" s="319">
        <f t="shared" si="40"/>
        <v>0</v>
      </c>
      <c r="AC82" s="320"/>
      <c r="AD82" s="320"/>
      <c r="AE82" s="316"/>
      <c r="AF82" s="317"/>
      <c r="AG82" s="318"/>
      <c r="AH82" s="320">
        <f t="shared" si="41"/>
        <v>0</v>
      </c>
      <c r="AI82" s="320"/>
      <c r="AJ82" s="321"/>
      <c r="AK82" s="310" t="str">
        <f>IF(ISBLANK(AE82),"",1-(Y82/AE82))</f>
        <v/>
      </c>
      <c r="AL82" s="311"/>
    </row>
    <row r="83" spans="1:38" ht="18.75">
      <c r="A83" s="111" t="s">
        <v>197</v>
      </c>
      <c r="B83" s="112"/>
      <c r="C83" s="112"/>
      <c r="D83" s="112"/>
      <c r="E83" s="112"/>
      <c r="F83" s="112"/>
      <c r="G83" s="112"/>
      <c r="H83" s="113"/>
      <c r="I83" s="113"/>
      <c r="J83" s="113"/>
      <c r="K83" s="113"/>
      <c r="L83" s="113"/>
      <c r="M83" s="113"/>
      <c r="N83" s="113"/>
      <c r="O83" s="113"/>
      <c r="P83" s="113"/>
      <c r="Q83" s="113"/>
      <c r="R83" s="113"/>
      <c r="S83" s="113"/>
      <c r="T83" s="113"/>
      <c r="U83" s="113"/>
      <c r="V83" s="113"/>
      <c r="W83" s="113"/>
      <c r="X83" s="113"/>
      <c r="Y83" s="361"/>
      <c r="Z83" s="362"/>
      <c r="AA83" s="363"/>
      <c r="AB83" s="360">
        <f>SUBTOTAL(9,AB84:AD91)</f>
        <v>0</v>
      </c>
      <c r="AC83" s="360"/>
      <c r="AD83" s="360"/>
      <c r="AE83" s="361"/>
      <c r="AF83" s="362"/>
      <c r="AG83" s="363"/>
      <c r="AH83" s="360">
        <f>SUBTOTAL(9,AH84:AJ91)</f>
        <v>0</v>
      </c>
      <c r="AI83" s="360"/>
      <c r="AJ83" s="360"/>
      <c r="AK83" s="357" t="str">
        <f>IF(AH83=0,"",1-(AB83/AH83))</f>
        <v/>
      </c>
      <c r="AL83" s="357"/>
    </row>
    <row r="84" spans="1:38" ht="15" customHeight="1" outlineLevel="1">
      <c r="A84" s="322" t="s">
        <v>198</v>
      </c>
      <c r="B84" s="322"/>
      <c r="C84" s="322"/>
      <c r="D84" s="322"/>
      <c r="E84" s="322"/>
      <c r="F84" s="322"/>
      <c r="G84" s="322"/>
      <c r="H84" s="131"/>
      <c r="I84" s="131"/>
      <c r="J84" s="131"/>
      <c r="K84" s="312"/>
      <c r="L84" s="313"/>
      <c r="M84" s="313"/>
      <c r="N84" s="314"/>
      <c r="O84" s="312"/>
      <c r="P84" s="314"/>
      <c r="Q84" s="315"/>
      <c r="R84" s="131"/>
      <c r="S84" s="315"/>
      <c r="T84" s="315"/>
      <c r="U84" s="312" t="s">
        <v>136</v>
      </c>
      <c r="V84" s="314"/>
      <c r="W84" s="315"/>
      <c r="X84" s="315"/>
      <c r="Y84" s="316"/>
      <c r="Z84" s="317"/>
      <c r="AA84" s="318"/>
      <c r="AB84" s="319">
        <f t="shared" ref="AB84:AB101" si="46">Y84*W84</f>
        <v>0</v>
      </c>
      <c r="AC84" s="320"/>
      <c r="AD84" s="320"/>
      <c r="AE84" s="316"/>
      <c r="AF84" s="317"/>
      <c r="AG84" s="318"/>
      <c r="AH84" s="320">
        <f t="shared" ref="AH84:AH101" si="47">AE84*W84</f>
        <v>0</v>
      </c>
      <c r="AI84" s="320"/>
      <c r="AJ84" s="321"/>
      <c r="AK84" s="310" t="str">
        <f t="shared" ref="AK84:AK91" si="48">IF(ISBLANK(AE84),"",1-(Y84/AE84))</f>
        <v/>
      </c>
      <c r="AL84" s="311"/>
    </row>
    <row r="85" spans="1:38" ht="15" customHeight="1" outlineLevel="1">
      <c r="A85" s="322" t="s">
        <v>199</v>
      </c>
      <c r="B85" s="322"/>
      <c r="C85" s="322"/>
      <c r="D85" s="322"/>
      <c r="E85" s="322"/>
      <c r="F85" s="322"/>
      <c r="G85" s="322"/>
      <c r="H85" s="131"/>
      <c r="I85" s="131"/>
      <c r="J85" s="131"/>
      <c r="K85" s="312"/>
      <c r="L85" s="313"/>
      <c r="M85" s="313"/>
      <c r="N85" s="314"/>
      <c r="O85" s="312"/>
      <c r="P85" s="314"/>
      <c r="Q85" s="315"/>
      <c r="R85" s="131"/>
      <c r="S85" s="315"/>
      <c r="T85" s="315"/>
      <c r="U85" s="312" t="s">
        <v>136</v>
      </c>
      <c r="V85" s="314"/>
      <c r="W85" s="315"/>
      <c r="X85" s="315"/>
      <c r="Y85" s="316"/>
      <c r="Z85" s="317"/>
      <c r="AA85" s="318"/>
      <c r="AB85" s="319">
        <f t="shared" si="46"/>
        <v>0</v>
      </c>
      <c r="AC85" s="320"/>
      <c r="AD85" s="320"/>
      <c r="AE85" s="316"/>
      <c r="AF85" s="317"/>
      <c r="AG85" s="318"/>
      <c r="AH85" s="320">
        <f t="shared" si="47"/>
        <v>0</v>
      </c>
      <c r="AI85" s="320"/>
      <c r="AJ85" s="321"/>
      <c r="AK85" s="310" t="str">
        <f t="shared" si="48"/>
        <v/>
      </c>
      <c r="AL85" s="311"/>
    </row>
    <row r="86" spans="1:38" ht="15" customHeight="1" outlineLevel="1">
      <c r="A86" s="322" t="s">
        <v>200</v>
      </c>
      <c r="B86" s="322"/>
      <c r="C86" s="322"/>
      <c r="D86" s="322"/>
      <c r="E86" s="322"/>
      <c r="F86" s="322"/>
      <c r="G86" s="322"/>
      <c r="H86" s="131"/>
      <c r="I86" s="131"/>
      <c r="J86" s="131"/>
      <c r="K86" s="312"/>
      <c r="L86" s="313"/>
      <c r="M86" s="313"/>
      <c r="N86" s="314"/>
      <c r="O86" s="312"/>
      <c r="P86" s="314"/>
      <c r="Q86" s="315"/>
      <c r="R86" s="131"/>
      <c r="S86" s="315"/>
      <c r="T86" s="315"/>
      <c r="U86" s="312" t="s">
        <v>136</v>
      </c>
      <c r="V86" s="314"/>
      <c r="W86" s="315"/>
      <c r="X86" s="315"/>
      <c r="Y86" s="316"/>
      <c r="Z86" s="317"/>
      <c r="AA86" s="318"/>
      <c r="AB86" s="319">
        <f t="shared" si="46"/>
        <v>0</v>
      </c>
      <c r="AC86" s="320"/>
      <c r="AD86" s="320"/>
      <c r="AE86" s="316"/>
      <c r="AF86" s="317"/>
      <c r="AG86" s="318"/>
      <c r="AH86" s="320">
        <f t="shared" si="47"/>
        <v>0</v>
      </c>
      <c r="AI86" s="320"/>
      <c r="AJ86" s="321"/>
      <c r="AK86" s="310" t="str">
        <f t="shared" si="48"/>
        <v/>
      </c>
      <c r="AL86" s="311"/>
    </row>
    <row r="87" spans="1:38" ht="15" customHeight="1" outlineLevel="1">
      <c r="A87" s="322" t="s">
        <v>201</v>
      </c>
      <c r="B87" s="322"/>
      <c r="C87" s="322"/>
      <c r="D87" s="322"/>
      <c r="E87" s="322"/>
      <c r="F87" s="322"/>
      <c r="G87" s="322"/>
      <c r="H87" s="131"/>
      <c r="I87" s="131"/>
      <c r="J87" s="131"/>
      <c r="K87" s="312"/>
      <c r="L87" s="313"/>
      <c r="M87" s="313"/>
      <c r="N87" s="314"/>
      <c r="O87" s="312"/>
      <c r="P87" s="314"/>
      <c r="Q87" s="312"/>
      <c r="R87" s="314"/>
      <c r="S87" s="315"/>
      <c r="T87" s="131"/>
      <c r="U87" s="312" t="s">
        <v>136</v>
      </c>
      <c r="V87" s="314"/>
      <c r="W87" s="315"/>
      <c r="X87" s="315"/>
      <c r="Y87" s="316"/>
      <c r="Z87" s="317"/>
      <c r="AA87" s="318"/>
      <c r="AB87" s="319">
        <f t="shared" si="46"/>
        <v>0</v>
      </c>
      <c r="AC87" s="320"/>
      <c r="AD87" s="320"/>
      <c r="AE87" s="316"/>
      <c r="AF87" s="317"/>
      <c r="AG87" s="318"/>
      <c r="AH87" s="320">
        <f t="shared" si="47"/>
        <v>0</v>
      </c>
      <c r="AI87" s="320"/>
      <c r="AJ87" s="321"/>
      <c r="AK87" s="310" t="str">
        <f t="shared" si="48"/>
        <v/>
      </c>
      <c r="AL87" s="311"/>
    </row>
    <row r="88" spans="1:38" ht="15" customHeight="1" outlineLevel="1">
      <c r="A88" s="322" t="s">
        <v>202</v>
      </c>
      <c r="B88" s="322"/>
      <c r="C88" s="322"/>
      <c r="D88" s="322"/>
      <c r="E88" s="322"/>
      <c r="F88" s="322"/>
      <c r="G88" s="322"/>
      <c r="H88" s="131"/>
      <c r="I88" s="131"/>
      <c r="J88" s="131"/>
      <c r="K88" s="312"/>
      <c r="L88" s="313"/>
      <c r="M88" s="313"/>
      <c r="N88" s="314"/>
      <c r="O88" s="312"/>
      <c r="P88" s="314"/>
      <c r="Q88" s="312"/>
      <c r="R88" s="314"/>
      <c r="S88" s="315"/>
      <c r="T88" s="131"/>
      <c r="U88" s="312" t="s">
        <v>136</v>
      </c>
      <c r="V88" s="314"/>
      <c r="W88" s="315"/>
      <c r="X88" s="315"/>
      <c r="Y88" s="316"/>
      <c r="Z88" s="317"/>
      <c r="AA88" s="318"/>
      <c r="AB88" s="319">
        <f t="shared" si="46"/>
        <v>0</v>
      </c>
      <c r="AC88" s="320"/>
      <c r="AD88" s="320"/>
      <c r="AE88" s="316"/>
      <c r="AF88" s="317"/>
      <c r="AG88" s="318"/>
      <c r="AH88" s="320">
        <f t="shared" si="47"/>
        <v>0</v>
      </c>
      <c r="AI88" s="320"/>
      <c r="AJ88" s="321"/>
      <c r="AK88" s="310" t="str">
        <f t="shared" si="48"/>
        <v/>
      </c>
      <c r="AL88" s="311"/>
    </row>
    <row r="89" spans="1:38" ht="15" customHeight="1" outlineLevel="1">
      <c r="A89" s="322" t="s">
        <v>203</v>
      </c>
      <c r="B89" s="322"/>
      <c r="C89" s="322"/>
      <c r="D89" s="322"/>
      <c r="E89" s="322"/>
      <c r="F89" s="322"/>
      <c r="G89" s="322"/>
      <c r="H89" s="131"/>
      <c r="I89" s="131"/>
      <c r="J89" s="131"/>
      <c r="K89" s="312"/>
      <c r="L89" s="313"/>
      <c r="M89" s="313"/>
      <c r="N89" s="314"/>
      <c r="O89" s="312"/>
      <c r="P89" s="314"/>
      <c r="Q89" s="312"/>
      <c r="R89" s="314"/>
      <c r="S89" s="315"/>
      <c r="T89" s="131"/>
      <c r="U89" s="312" t="s">
        <v>136</v>
      </c>
      <c r="V89" s="314"/>
      <c r="W89" s="315"/>
      <c r="X89" s="315"/>
      <c r="Y89" s="316"/>
      <c r="Z89" s="317"/>
      <c r="AA89" s="318"/>
      <c r="AB89" s="319">
        <f t="shared" si="46"/>
        <v>0</v>
      </c>
      <c r="AC89" s="320"/>
      <c r="AD89" s="320"/>
      <c r="AE89" s="316"/>
      <c r="AF89" s="317"/>
      <c r="AG89" s="318"/>
      <c r="AH89" s="320">
        <f t="shared" si="47"/>
        <v>0</v>
      </c>
      <c r="AI89" s="320"/>
      <c r="AJ89" s="321"/>
      <c r="AK89" s="310" t="str">
        <f t="shared" si="48"/>
        <v/>
      </c>
      <c r="AL89" s="311"/>
    </row>
    <row r="90" spans="1:38" ht="15" customHeight="1" outlineLevel="1">
      <c r="A90" s="322" t="s">
        <v>204</v>
      </c>
      <c r="B90" s="322"/>
      <c r="C90" s="322"/>
      <c r="D90" s="322"/>
      <c r="E90" s="322"/>
      <c r="F90" s="322"/>
      <c r="G90" s="322"/>
      <c r="H90" s="131"/>
      <c r="I90" s="131"/>
      <c r="J90" s="131"/>
      <c r="K90" s="312"/>
      <c r="L90" s="313"/>
      <c r="M90" s="313"/>
      <c r="N90" s="314"/>
      <c r="O90" s="312"/>
      <c r="P90" s="314"/>
      <c r="Q90" s="312"/>
      <c r="R90" s="314"/>
      <c r="S90" s="315"/>
      <c r="T90" s="131"/>
      <c r="U90" s="312" t="s">
        <v>136</v>
      </c>
      <c r="V90" s="314"/>
      <c r="W90" s="315"/>
      <c r="X90" s="315"/>
      <c r="Y90" s="316"/>
      <c r="Z90" s="317"/>
      <c r="AA90" s="318"/>
      <c r="AB90" s="319">
        <f t="shared" si="46"/>
        <v>0</v>
      </c>
      <c r="AC90" s="320"/>
      <c r="AD90" s="320"/>
      <c r="AE90" s="316"/>
      <c r="AF90" s="317"/>
      <c r="AG90" s="318"/>
      <c r="AH90" s="320">
        <f t="shared" si="47"/>
        <v>0</v>
      </c>
      <c r="AI90" s="320"/>
      <c r="AJ90" s="321"/>
      <c r="AK90" s="310" t="str">
        <f t="shared" si="48"/>
        <v/>
      </c>
      <c r="AL90" s="311"/>
    </row>
    <row r="91" spans="1:38" ht="15" customHeight="1" outlineLevel="1">
      <c r="A91" s="322" t="s">
        <v>205</v>
      </c>
      <c r="B91" s="322"/>
      <c r="C91" s="322"/>
      <c r="D91" s="322"/>
      <c r="E91" s="322"/>
      <c r="F91" s="322"/>
      <c r="G91" s="322"/>
      <c r="H91" s="131"/>
      <c r="I91" s="131"/>
      <c r="J91" s="131"/>
      <c r="K91" s="312"/>
      <c r="L91" s="313"/>
      <c r="M91" s="313"/>
      <c r="N91" s="314"/>
      <c r="O91" s="312"/>
      <c r="P91" s="314"/>
      <c r="Q91" s="312"/>
      <c r="R91" s="314"/>
      <c r="S91" s="315"/>
      <c r="T91" s="131"/>
      <c r="U91" s="312" t="s">
        <v>136</v>
      </c>
      <c r="V91" s="314"/>
      <c r="W91" s="315"/>
      <c r="X91" s="315"/>
      <c r="Y91" s="316"/>
      <c r="Z91" s="317"/>
      <c r="AA91" s="318"/>
      <c r="AB91" s="319">
        <f t="shared" si="46"/>
        <v>0</v>
      </c>
      <c r="AC91" s="320"/>
      <c r="AD91" s="320"/>
      <c r="AE91" s="316"/>
      <c r="AF91" s="317"/>
      <c r="AG91" s="318"/>
      <c r="AH91" s="320">
        <f t="shared" si="47"/>
        <v>0</v>
      </c>
      <c r="AI91" s="320"/>
      <c r="AJ91" s="321"/>
      <c r="AK91" s="310" t="str">
        <f t="shared" si="48"/>
        <v/>
      </c>
      <c r="AL91" s="311"/>
    </row>
    <row r="92" spans="1:38" ht="18.75">
      <c r="A92" s="111" t="s">
        <v>206</v>
      </c>
      <c r="B92" s="112"/>
      <c r="C92" s="112"/>
      <c r="D92" s="112"/>
      <c r="E92" s="112"/>
      <c r="F92" s="112"/>
      <c r="G92" s="112"/>
      <c r="H92" s="113"/>
      <c r="I92" s="113"/>
      <c r="J92" s="113"/>
      <c r="K92" s="113"/>
      <c r="L92" s="113"/>
      <c r="M92" s="113"/>
      <c r="N92" s="113"/>
      <c r="O92" s="113"/>
      <c r="P92" s="113"/>
      <c r="Q92" s="113"/>
      <c r="R92" s="113"/>
      <c r="S92" s="113"/>
      <c r="T92" s="113"/>
      <c r="U92" s="113"/>
      <c r="V92" s="113"/>
      <c r="W92" s="113"/>
      <c r="X92" s="113"/>
      <c r="Y92" s="361"/>
      <c r="Z92" s="362"/>
      <c r="AA92" s="363"/>
      <c r="AB92" s="360">
        <f>SUBTOTAL(9,AB93:AD96)</f>
        <v>0</v>
      </c>
      <c r="AC92" s="360"/>
      <c r="AD92" s="360"/>
      <c r="AE92" s="361"/>
      <c r="AF92" s="362"/>
      <c r="AG92" s="363"/>
      <c r="AH92" s="360">
        <f>SUBTOTAL(9,AH93:AJ96)</f>
        <v>0</v>
      </c>
      <c r="AI92" s="360"/>
      <c r="AJ92" s="360"/>
      <c r="AK92" s="357" t="str">
        <f>IF(AH92=0,"",1-(AB92/AH92))</f>
        <v/>
      </c>
      <c r="AL92" s="357"/>
    </row>
    <row r="93" spans="1:38" ht="15" customHeight="1" outlineLevel="1">
      <c r="A93" s="322" t="s">
        <v>207</v>
      </c>
      <c r="B93" s="322"/>
      <c r="C93" s="322"/>
      <c r="D93" s="322"/>
      <c r="E93" s="322"/>
      <c r="F93" s="322"/>
      <c r="G93" s="322"/>
      <c r="H93" s="131"/>
      <c r="I93" s="131"/>
      <c r="J93" s="131"/>
      <c r="K93" s="312"/>
      <c r="L93" s="313"/>
      <c r="M93" s="313"/>
      <c r="N93" s="314"/>
      <c r="O93" s="312"/>
      <c r="P93" s="314"/>
      <c r="Q93" s="312"/>
      <c r="R93" s="314"/>
      <c r="S93" s="315"/>
      <c r="T93" s="131"/>
      <c r="U93" s="312" t="s">
        <v>136</v>
      </c>
      <c r="V93" s="314"/>
      <c r="W93" s="315"/>
      <c r="X93" s="315"/>
      <c r="Y93" s="316"/>
      <c r="Z93" s="317"/>
      <c r="AA93" s="318"/>
      <c r="AB93" s="319">
        <f t="shared" si="46"/>
        <v>0</v>
      </c>
      <c r="AC93" s="320"/>
      <c r="AD93" s="320"/>
      <c r="AE93" s="316"/>
      <c r="AF93" s="317"/>
      <c r="AG93" s="318"/>
      <c r="AH93" s="320">
        <f t="shared" si="47"/>
        <v>0</v>
      </c>
      <c r="AI93" s="320"/>
      <c r="AJ93" s="321"/>
      <c r="AK93" s="310" t="str">
        <f>IF(ISBLANK(AE93),"",1-(Y93/AE93))</f>
        <v/>
      </c>
      <c r="AL93" s="311"/>
    </row>
    <row r="94" spans="1:38" ht="15" customHeight="1" outlineLevel="1">
      <c r="A94" s="322" t="s">
        <v>208</v>
      </c>
      <c r="B94" s="322"/>
      <c r="C94" s="322"/>
      <c r="D94" s="322"/>
      <c r="E94" s="322"/>
      <c r="F94" s="322"/>
      <c r="G94" s="322"/>
      <c r="H94" s="131"/>
      <c r="I94" s="131"/>
      <c r="J94" s="131"/>
      <c r="K94" s="312"/>
      <c r="L94" s="313"/>
      <c r="M94" s="313"/>
      <c r="N94" s="314"/>
      <c r="O94" s="312"/>
      <c r="P94" s="314"/>
      <c r="Q94" s="312"/>
      <c r="R94" s="314"/>
      <c r="S94" s="315"/>
      <c r="T94" s="131"/>
      <c r="U94" s="312" t="s">
        <v>136</v>
      </c>
      <c r="V94" s="314"/>
      <c r="W94" s="315"/>
      <c r="X94" s="315"/>
      <c r="Y94" s="316"/>
      <c r="Z94" s="317"/>
      <c r="AA94" s="318"/>
      <c r="AB94" s="319">
        <f t="shared" si="46"/>
        <v>0</v>
      </c>
      <c r="AC94" s="320"/>
      <c r="AD94" s="320"/>
      <c r="AE94" s="316"/>
      <c r="AF94" s="317"/>
      <c r="AG94" s="318"/>
      <c r="AH94" s="320">
        <f t="shared" si="47"/>
        <v>0</v>
      </c>
      <c r="AI94" s="320"/>
      <c r="AJ94" s="321"/>
      <c r="AK94" s="310" t="str">
        <f>IF(ISBLANK(AE94),"",1-(Y94/AE94))</f>
        <v/>
      </c>
      <c r="AL94" s="311"/>
    </row>
    <row r="95" spans="1:38" ht="15" customHeight="1" outlineLevel="1">
      <c r="A95" s="322" t="s">
        <v>203</v>
      </c>
      <c r="B95" s="322"/>
      <c r="C95" s="322"/>
      <c r="D95" s="322"/>
      <c r="E95" s="322"/>
      <c r="F95" s="322"/>
      <c r="G95" s="322"/>
      <c r="H95" s="131"/>
      <c r="I95" s="131"/>
      <c r="J95" s="131"/>
      <c r="K95" s="312"/>
      <c r="L95" s="313"/>
      <c r="M95" s="313"/>
      <c r="N95" s="314"/>
      <c r="O95" s="312"/>
      <c r="P95" s="314"/>
      <c r="Q95" s="312"/>
      <c r="R95" s="314"/>
      <c r="S95" s="315"/>
      <c r="T95" s="131"/>
      <c r="U95" s="312" t="s">
        <v>136</v>
      </c>
      <c r="V95" s="314"/>
      <c r="W95" s="315"/>
      <c r="X95" s="315"/>
      <c r="Y95" s="316"/>
      <c r="Z95" s="317"/>
      <c r="AA95" s="318"/>
      <c r="AB95" s="319">
        <f t="shared" si="46"/>
        <v>0</v>
      </c>
      <c r="AC95" s="320"/>
      <c r="AD95" s="320"/>
      <c r="AE95" s="316"/>
      <c r="AF95" s="317"/>
      <c r="AG95" s="318"/>
      <c r="AH95" s="320">
        <f t="shared" si="47"/>
        <v>0</v>
      </c>
      <c r="AI95" s="320"/>
      <c r="AJ95" s="321"/>
      <c r="AK95" s="310" t="str">
        <f>IF(ISBLANK(AE95),"",1-(Y95/AE95))</f>
        <v/>
      </c>
      <c r="AL95" s="311"/>
    </row>
    <row r="96" spans="1:38" ht="15" customHeight="1" outlineLevel="1">
      <c r="A96" s="322" t="s">
        <v>209</v>
      </c>
      <c r="B96" s="322"/>
      <c r="C96" s="322"/>
      <c r="D96" s="322"/>
      <c r="E96" s="322"/>
      <c r="F96" s="322"/>
      <c r="G96" s="322"/>
      <c r="H96" s="131"/>
      <c r="I96" s="131"/>
      <c r="J96" s="131"/>
      <c r="K96" s="312"/>
      <c r="L96" s="313"/>
      <c r="M96" s="313"/>
      <c r="N96" s="314"/>
      <c r="O96" s="312"/>
      <c r="P96" s="314"/>
      <c r="Q96" s="312"/>
      <c r="R96" s="314"/>
      <c r="S96" s="315"/>
      <c r="T96" s="131"/>
      <c r="U96" s="312" t="s">
        <v>136</v>
      </c>
      <c r="V96" s="314"/>
      <c r="W96" s="315"/>
      <c r="X96" s="315"/>
      <c r="Y96" s="316"/>
      <c r="Z96" s="317"/>
      <c r="AA96" s="318"/>
      <c r="AB96" s="319">
        <f t="shared" si="46"/>
        <v>0</v>
      </c>
      <c r="AC96" s="320"/>
      <c r="AD96" s="320"/>
      <c r="AE96" s="316"/>
      <c r="AF96" s="317"/>
      <c r="AG96" s="318"/>
      <c r="AH96" s="320">
        <f t="shared" si="47"/>
        <v>0</v>
      </c>
      <c r="AI96" s="320"/>
      <c r="AJ96" s="321"/>
      <c r="AK96" s="310" t="str">
        <f>IF(ISBLANK(AE96),"",1-(Y96/AE96))</f>
        <v/>
      </c>
      <c r="AL96" s="311"/>
    </row>
    <row r="97" spans="1:38" ht="18.75">
      <c r="A97" s="111" t="s">
        <v>210</v>
      </c>
      <c r="B97" s="112"/>
      <c r="C97" s="112"/>
      <c r="D97" s="112"/>
      <c r="E97" s="112"/>
      <c r="F97" s="112"/>
      <c r="G97" s="112"/>
      <c r="H97" s="113"/>
      <c r="I97" s="113"/>
      <c r="J97" s="113"/>
      <c r="K97" s="113"/>
      <c r="L97" s="113"/>
      <c r="M97" s="113"/>
      <c r="N97" s="113"/>
      <c r="O97" s="113"/>
      <c r="P97" s="113"/>
      <c r="Q97" s="113"/>
      <c r="R97" s="113"/>
      <c r="S97" s="113"/>
      <c r="T97" s="113"/>
      <c r="U97" s="113"/>
      <c r="V97" s="113"/>
      <c r="W97" s="113"/>
      <c r="X97" s="113"/>
      <c r="Y97" s="361"/>
      <c r="Z97" s="362"/>
      <c r="AA97" s="363"/>
      <c r="AB97" s="360">
        <f>SUBTOTAL(9,AB98:AD101)</f>
        <v>0</v>
      </c>
      <c r="AC97" s="360"/>
      <c r="AD97" s="360"/>
      <c r="AE97" s="361"/>
      <c r="AF97" s="362"/>
      <c r="AG97" s="363"/>
      <c r="AH97" s="360">
        <f>SUBTOTAL(9,AH98:AJ101)</f>
        <v>0</v>
      </c>
      <c r="AI97" s="360"/>
      <c r="AJ97" s="360"/>
      <c r="AK97" s="357" t="str">
        <f>IF(AH97=0,"",1-(AB97/AH97))</f>
        <v/>
      </c>
      <c r="AL97" s="357"/>
    </row>
    <row r="98" spans="1:38" ht="15" customHeight="1" outlineLevel="1">
      <c r="A98" s="161" t="s">
        <v>211</v>
      </c>
      <c r="B98" s="161"/>
      <c r="C98" s="161"/>
      <c r="D98" s="161"/>
      <c r="E98" s="161"/>
      <c r="F98" s="161"/>
      <c r="G98" s="161"/>
      <c r="H98" s="131"/>
      <c r="I98" s="131"/>
      <c r="J98" s="131"/>
      <c r="K98" s="312"/>
      <c r="L98" s="313"/>
      <c r="M98" s="313"/>
      <c r="N98" s="314"/>
      <c r="O98" s="312"/>
      <c r="P98" s="314"/>
      <c r="Q98" s="312"/>
      <c r="R98" s="314"/>
      <c r="S98" s="315"/>
      <c r="T98" s="131"/>
      <c r="U98" s="312" t="s">
        <v>136</v>
      </c>
      <c r="V98" s="314"/>
      <c r="W98" s="315"/>
      <c r="X98" s="315"/>
      <c r="Y98" s="316">
        <v>42.14</v>
      </c>
      <c r="Z98" s="317"/>
      <c r="AA98" s="318"/>
      <c r="AB98" s="319">
        <f t="shared" si="46"/>
        <v>0</v>
      </c>
      <c r="AC98" s="320"/>
      <c r="AD98" s="320"/>
      <c r="AE98" s="316"/>
      <c r="AF98" s="317"/>
      <c r="AG98" s="318"/>
      <c r="AH98" s="320">
        <f t="shared" si="47"/>
        <v>0</v>
      </c>
      <c r="AI98" s="320"/>
      <c r="AJ98" s="321"/>
      <c r="AK98" s="310" t="str">
        <f>IF(ISBLANK(AE98),"",1-(Y98/AE98))</f>
        <v/>
      </c>
      <c r="AL98" s="311"/>
    </row>
    <row r="99" spans="1:38" ht="15" customHeight="1" outlineLevel="1">
      <c r="A99" s="161" t="s">
        <v>212</v>
      </c>
      <c r="B99" s="161"/>
      <c r="C99" s="161"/>
      <c r="D99" s="161"/>
      <c r="E99" s="161"/>
      <c r="F99" s="161"/>
      <c r="G99" s="161"/>
      <c r="H99" s="131"/>
      <c r="I99" s="131"/>
      <c r="J99" s="131"/>
      <c r="K99" s="312"/>
      <c r="L99" s="313"/>
      <c r="M99" s="313"/>
      <c r="N99" s="314"/>
      <c r="O99" s="312"/>
      <c r="P99" s="314"/>
      <c r="Q99" s="312"/>
      <c r="R99" s="314"/>
      <c r="S99" s="315"/>
      <c r="T99" s="131"/>
      <c r="U99" s="312" t="s">
        <v>136</v>
      </c>
      <c r="V99" s="314"/>
      <c r="W99" s="315"/>
      <c r="X99" s="315"/>
      <c r="Y99" s="316">
        <v>65.849999999999994</v>
      </c>
      <c r="Z99" s="317"/>
      <c r="AA99" s="318"/>
      <c r="AB99" s="319">
        <f t="shared" ref="AB99" si="49">Y99*W99</f>
        <v>0</v>
      </c>
      <c r="AC99" s="320"/>
      <c r="AD99" s="320"/>
      <c r="AE99" s="316"/>
      <c r="AF99" s="317"/>
      <c r="AG99" s="318"/>
      <c r="AH99" s="320">
        <f t="shared" ref="AH99" si="50">AE99*W99</f>
        <v>0</v>
      </c>
      <c r="AI99" s="320"/>
      <c r="AJ99" s="321"/>
      <c r="AK99" s="310" t="str">
        <f>IF(ISBLANK(AE99),"",1-(Y99/AE99))</f>
        <v/>
      </c>
      <c r="AL99" s="311"/>
    </row>
    <row r="100" spans="1:38" ht="15" customHeight="1" outlineLevel="1">
      <c r="A100" s="161" t="s">
        <v>205</v>
      </c>
      <c r="B100" s="161"/>
      <c r="C100" s="161"/>
      <c r="D100" s="161"/>
      <c r="E100" s="161"/>
      <c r="F100" s="161"/>
      <c r="G100" s="161"/>
      <c r="H100" s="131"/>
      <c r="I100" s="131"/>
      <c r="J100" s="131"/>
      <c r="K100" s="312"/>
      <c r="L100" s="313"/>
      <c r="M100" s="313"/>
      <c r="N100" s="314"/>
      <c r="O100" s="312"/>
      <c r="P100" s="314"/>
      <c r="Q100" s="312"/>
      <c r="R100" s="314"/>
      <c r="S100" s="315"/>
      <c r="T100" s="131"/>
      <c r="U100" s="312" t="s">
        <v>136</v>
      </c>
      <c r="V100" s="314"/>
      <c r="W100" s="315"/>
      <c r="X100" s="315"/>
      <c r="Y100" s="316">
        <v>1.365</v>
      </c>
      <c r="Z100" s="317"/>
      <c r="AA100" s="318"/>
      <c r="AB100" s="319">
        <f t="shared" si="46"/>
        <v>0</v>
      </c>
      <c r="AC100" s="320"/>
      <c r="AD100" s="320"/>
      <c r="AE100" s="316"/>
      <c r="AF100" s="317"/>
      <c r="AG100" s="318"/>
      <c r="AH100" s="320">
        <f t="shared" si="47"/>
        <v>0</v>
      </c>
      <c r="AI100" s="320"/>
      <c r="AJ100" s="321"/>
      <c r="AK100" s="310" t="str">
        <f>IF(ISBLANK(AE100),"",1-(Y100/AE100))</f>
        <v/>
      </c>
      <c r="AL100" s="311"/>
    </row>
    <row r="101" spans="1:38" ht="15" customHeight="1" outlineLevel="1">
      <c r="A101" s="161" t="s">
        <v>213</v>
      </c>
      <c r="B101" s="161"/>
      <c r="C101" s="161"/>
      <c r="D101" s="161"/>
      <c r="E101" s="161"/>
      <c r="F101" s="161"/>
      <c r="G101" s="161"/>
      <c r="H101" s="131"/>
      <c r="I101" s="131"/>
      <c r="J101" s="131"/>
      <c r="K101" s="312"/>
      <c r="L101" s="313"/>
      <c r="M101" s="313"/>
      <c r="N101" s="314"/>
      <c r="O101" s="312"/>
      <c r="P101" s="314"/>
      <c r="Q101" s="312"/>
      <c r="R101" s="314"/>
      <c r="S101" s="315"/>
      <c r="T101" s="131"/>
      <c r="U101" s="312" t="s">
        <v>136</v>
      </c>
      <c r="V101" s="314"/>
      <c r="W101" s="315"/>
      <c r="X101" s="315"/>
      <c r="Y101" s="316">
        <v>26.55</v>
      </c>
      <c r="Z101" s="317"/>
      <c r="AA101" s="318"/>
      <c r="AB101" s="319">
        <f t="shared" si="46"/>
        <v>0</v>
      </c>
      <c r="AC101" s="320"/>
      <c r="AD101" s="320"/>
      <c r="AE101" s="316"/>
      <c r="AF101" s="317"/>
      <c r="AG101" s="318"/>
      <c r="AH101" s="320">
        <f t="shared" si="47"/>
        <v>0</v>
      </c>
      <c r="AI101" s="320"/>
      <c r="AJ101" s="321"/>
      <c r="AK101" s="310" t="str">
        <f>IF(ISBLANK(AE101),"",1-(Y101/AE101))</f>
        <v/>
      </c>
      <c r="AL101" s="311"/>
    </row>
    <row r="102" spans="1:38" ht="18.75">
      <c r="A102" s="111" t="s">
        <v>214</v>
      </c>
      <c r="B102" s="112"/>
      <c r="C102" s="112"/>
      <c r="D102" s="112"/>
      <c r="E102" s="112"/>
      <c r="F102" s="112"/>
      <c r="G102" s="112"/>
      <c r="H102" s="113"/>
      <c r="I102" s="113"/>
      <c r="J102" s="113"/>
      <c r="K102" s="113"/>
      <c r="L102" s="113"/>
      <c r="M102" s="113"/>
      <c r="N102" s="113"/>
      <c r="O102" s="113"/>
      <c r="P102" s="113"/>
      <c r="Q102" s="113"/>
      <c r="R102" s="113"/>
      <c r="S102" s="113"/>
      <c r="T102" s="113"/>
      <c r="U102" s="113"/>
      <c r="V102" s="113"/>
      <c r="W102" s="113"/>
      <c r="X102" s="113"/>
      <c r="Y102" s="113"/>
      <c r="Z102" s="113"/>
      <c r="AA102" s="113"/>
      <c r="AB102" s="360"/>
      <c r="AC102" s="360"/>
      <c r="AD102" s="360"/>
      <c r="AE102" s="361"/>
      <c r="AF102" s="362"/>
      <c r="AG102" s="363"/>
      <c r="AH102" s="360">
        <f>SUBTOTAL(9,AH103:AJ106)</f>
        <v>0</v>
      </c>
      <c r="AI102" s="360"/>
      <c r="AJ102" s="360"/>
      <c r="AK102" s="357" t="str">
        <f>IF(AH102=0,"",1-(AB102/AH102))</f>
        <v/>
      </c>
      <c r="AL102" s="357"/>
    </row>
    <row r="103" spans="1:38" outlineLevel="1">
      <c r="A103" s="322" t="s">
        <v>215</v>
      </c>
      <c r="B103" s="322"/>
      <c r="C103" s="322"/>
      <c r="D103" s="322"/>
      <c r="E103" s="322"/>
      <c r="F103" s="322"/>
      <c r="G103" s="322"/>
      <c r="H103" s="131"/>
      <c r="I103" s="131"/>
      <c r="J103" s="131"/>
      <c r="K103" s="312"/>
      <c r="L103" s="313"/>
      <c r="M103" s="313"/>
      <c r="N103" s="314"/>
      <c r="O103" s="312"/>
      <c r="P103" s="314"/>
      <c r="Q103" s="315"/>
      <c r="R103" s="131"/>
      <c r="S103" s="315"/>
      <c r="T103" s="315"/>
      <c r="U103" s="312" t="s">
        <v>136</v>
      </c>
      <c r="V103" s="314"/>
      <c r="W103" s="315"/>
      <c r="X103" s="315"/>
      <c r="Y103" s="369"/>
      <c r="Z103" s="370"/>
      <c r="AA103" s="371"/>
      <c r="AB103" s="372"/>
      <c r="AC103" s="373"/>
      <c r="AD103" s="374"/>
      <c r="AE103" s="316"/>
      <c r="AF103" s="317"/>
      <c r="AG103" s="318"/>
      <c r="AH103" s="319">
        <f>-AE103*W103</f>
        <v>0</v>
      </c>
      <c r="AI103" s="320"/>
      <c r="AJ103" s="321"/>
      <c r="AK103" s="310" t="str">
        <f>IF(ISBLANK(AE103),"",1-(Y103/AE103))</f>
        <v/>
      </c>
      <c r="AL103" s="311"/>
    </row>
    <row r="104" spans="1:38" outlineLevel="1">
      <c r="A104" s="322" t="s">
        <v>215</v>
      </c>
      <c r="B104" s="322"/>
      <c r="C104" s="322"/>
      <c r="D104" s="322"/>
      <c r="E104" s="322"/>
      <c r="F104" s="322"/>
      <c r="G104" s="322"/>
      <c r="H104" s="131"/>
      <c r="I104" s="131"/>
      <c r="J104" s="131"/>
      <c r="K104" s="312"/>
      <c r="L104" s="313"/>
      <c r="M104" s="313"/>
      <c r="N104" s="314"/>
      <c r="O104" s="312"/>
      <c r="P104" s="314"/>
      <c r="Q104" s="315"/>
      <c r="R104" s="131"/>
      <c r="S104" s="315"/>
      <c r="T104" s="315"/>
      <c r="U104" s="312" t="s">
        <v>136</v>
      </c>
      <c r="V104" s="314"/>
      <c r="W104" s="315"/>
      <c r="X104" s="315"/>
      <c r="Y104" s="369"/>
      <c r="Z104" s="370"/>
      <c r="AA104" s="371"/>
      <c r="AB104" s="372"/>
      <c r="AC104" s="373"/>
      <c r="AD104" s="374"/>
      <c r="AE104" s="316"/>
      <c r="AF104" s="317"/>
      <c r="AG104" s="318"/>
      <c r="AH104" s="319">
        <f>-AE104*W104</f>
        <v>0</v>
      </c>
      <c r="AI104" s="320"/>
      <c r="AJ104" s="321"/>
      <c r="AK104" s="310" t="str">
        <f>IF(ISBLANK(AE104),"",1-(Y104/AE104))</f>
        <v/>
      </c>
      <c r="AL104" s="311"/>
    </row>
    <row r="105" spans="1:38" outlineLevel="1">
      <c r="A105" s="322" t="s">
        <v>215</v>
      </c>
      <c r="B105" s="322"/>
      <c r="C105" s="322"/>
      <c r="D105" s="322"/>
      <c r="E105" s="322"/>
      <c r="F105" s="322"/>
      <c r="G105" s="322"/>
      <c r="H105" s="131"/>
      <c r="I105" s="131"/>
      <c r="J105" s="131"/>
      <c r="K105" s="312"/>
      <c r="L105" s="313"/>
      <c r="M105" s="313"/>
      <c r="N105" s="314"/>
      <c r="O105" s="312"/>
      <c r="P105" s="314"/>
      <c r="Q105" s="315"/>
      <c r="R105" s="131"/>
      <c r="S105" s="315"/>
      <c r="T105" s="315"/>
      <c r="U105" s="312" t="s">
        <v>136</v>
      </c>
      <c r="V105" s="314"/>
      <c r="W105" s="315"/>
      <c r="X105" s="315"/>
      <c r="Y105" s="369"/>
      <c r="Z105" s="370"/>
      <c r="AA105" s="371"/>
      <c r="AB105" s="372"/>
      <c r="AC105" s="373"/>
      <c r="AD105" s="374"/>
      <c r="AE105" s="316"/>
      <c r="AF105" s="317"/>
      <c r="AG105" s="318"/>
      <c r="AH105" s="319">
        <f>-AE105*W105</f>
        <v>0</v>
      </c>
      <c r="AI105" s="320"/>
      <c r="AJ105" s="321"/>
      <c r="AK105" s="310" t="str">
        <f>IF(ISBLANK(AE105),"",1-(Y105/AE105))</f>
        <v/>
      </c>
      <c r="AL105" s="311"/>
    </row>
    <row r="106" spans="1:38" outlineLevel="1">
      <c r="A106" s="322" t="s">
        <v>215</v>
      </c>
      <c r="B106" s="322"/>
      <c r="C106" s="322"/>
      <c r="D106" s="322"/>
      <c r="E106" s="322"/>
      <c r="F106" s="322"/>
      <c r="G106" s="322"/>
      <c r="H106" s="131"/>
      <c r="I106" s="131"/>
      <c r="J106" s="131"/>
      <c r="K106" s="312"/>
      <c r="L106" s="313"/>
      <c r="M106" s="313"/>
      <c r="N106" s="314"/>
      <c r="O106" s="312"/>
      <c r="P106" s="314"/>
      <c r="Q106" s="315"/>
      <c r="R106" s="131"/>
      <c r="S106" s="315"/>
      <c r="T106" s="315"/>
      <c r="U106" s="312" t="s">
        <v>136</v>
      </c>
      <c r="V106" s="314"/>
      <c r="W106" s="315"/>
      <c r="X106" s="315"/>
      <c r="Y106" s="369"/>
      <c r="Z106" s="370"/>
      <c r="AA106" s="371"/>
      <c r="AB106" s="372"/>
      <c r="AC106" s="373"/>
      <c r="AD106" s="374"/>
      <c r="AE106" s="316"/>
      <c r="AF106" s="317"/>
      <c r="AG106" s="318"/>
      <c r="AH106" s="319">
        <f>-AE106*W106</f>
        <v>0</v>
      </c>
      <c r="AI106" s="320"/>
      <c r="AJ106" s="321"/>
      <c r="AK106" s="310" t="str">
        <f>IF(ISBLANK(AE106),"",1-(Y106/AE106))</f>
        <v/>
      </c>
      <c r="AL106" s="311"/>
    </row>
    <row r="107" spans="1:38" ht="24.95" customHeight="1">
      <c r="A107" s="378"/>
      <c r="B107" s="378"/>
      <c r="C107" s="378"/>
      <c r="D107" s="378"/>
      <c r="E107" s="378"/>
      <c r="F107" s="378"/>
      <c r="G107" s="378"/>
      <c r="H107" s="378"/>
      <c r="I107" s="378"/>
      <c r="J107" s="378"/>
      <c r="K107" s="378"/>
      <c r="L107" s="378"/>
      <c r="M107" s="378"/>
      <c r="N107" s="378"/>
      <c r="O107" s="378"/>
      <c r="P107" s="378"/>
      <c r="Q107" s="378"/>
      <c r="R107" s="378"/>
      <c r="S107" s="378"/>
      <c r="T107" s="306" t="s">
        <v>216</v>
      </c>
      <c r="U107" s="306"/>
      <c r="V107" s="306"/>
      <c r="W107" s="306"/>
      <c r="X107" s="306"/>
      <c r="Y107" s="306"/>
      <c r="Z107" s="306"/>
      <c r="AA107" s="306"/>
      <c r="AB107" s="379">
        <f>SUBTOTAL(9,AH15:AJ106)</f>
        <v>0</v>
      </c>
      <c r="AC107" s="380"/>
      <c r="AD107" s="380"/>
      <c r="AE107" s="380"/>
      <c r="AF107" s="380"/>
      <c r="AG107" s="380"/>
      <c r="AH107" s="381" t="str">
        <f>IFERROR(((AB107-$AB$109)/AB107),"")</f>
        <v/>
      </c>
      <c r="AI107" s="381"/>
      <c r="AJ107" s="381"/>
      <c r="AK107" s="381"/>
      <c r="AL107" s="381"/>
    </row>
    <row r="108" spans="1:38" ht="24.95" customHeight="1">
      <c r="A108" s="378"/>
      <c r="B108" s="378"/>
      <c r="C108" s="378"/>
      <c r="D108" s="378"/>
      <c r="E108" s="378"/>
      <c r="F108" s="378"/>
      <c r="G108" s="378"/>
      <c r="H108" s="378"/>
      <c r="I108" s="378"/>
      <c r="J108" s="378"/>
      <c r="K108" s="378"/>
      <c r="L108" s="378"/>
      <c r="M108" s="378"/>
      <c r="N108" s="378"/>
      <c r="O108" s="378"/>
      <c r="P108" s="378"/>
      <c r="Q108" s="378"/>
      <c r="R108" s="378"/>
      <c r="S108" s="378"/>
      <c r="T108" s="306" t="s">
        <v>217</v>
      </c>
      <c r="U108" s="306"/>
      <c r="V108" s="306"/>
      <c r="W108" s="306"/>
      <c r="X108" s="306"/>
      <c r="Y108" s="306"/>
      <c r="Z108" s="306"/>
      <c r="AA108" s="306"/>
      <c r="AB108" s="307">
        <v>0</v>
      </c>
      <c r="AC108" s="308"/>
      <c r="AD108" s="308"/>
      <c r="AE108" s="308"/>
      <c r="AF108" s="308"/>
      <c r="AG108" s="308"/>
      <c r="AH108" s="309" t="str">
        <f>IFERROR(((AB108-$AB$109)/AB108),"")</f>
        <v/>
      </c>
      <c r="AI108" s="309"/>
      <c r="AJ108" s="309"/>
      <c r="AK108" s="309"/>
      <c r="AL108" s="309"/>
    </row>
    <row r="109" spans="1:38" ht="24.95" customHeight="1">
      <c r="A109" s="378"/>
      <c r="B109" s="378"/>
      <c r="C109" s="378"/>
      <c r="D109" s="378"/>
      <c r="E109" s="378"/>
      <c r="F109" s="378"/>
      <c r="G109" s="378"/>
      <c r="H109" s="378"/>
      <c r="I109" s="378"/>
      <c r="J109" s="378"/>
      <c r="K109" s="378"/>
      <c r="L109" s="378"/>
      <c r="M109" s="378"/>
      <c r="N109" s="378"/>
      <c r="O109" s="378"/>
      <c r="P109" s="378"/>
      <c r="Q109" s="378"/>
      <c r="R109" s="378"/>
      <c r="S109" s="378"/>
      <c r="T109" s="306" t="s">
        <v>218</v>
      </c>
      <c r="U109" s="306"/>
      <c r="V109" s="306"/>
      <c r="W109" s="306"/>
      <c r="X109" s="306"/>
      <c r="Y109" s="306"/>
      <c r="Z109" s="306"/>
      <c r="AA109" s="306"/>
      <c r="AB109" s="379">
        <f>SUBTOTAL(9,AB15:AD106)</f>
        <v>0</v>
      </c>
      <c r="AC109" s="380"/>
      <c r="AD109" s="380"/>
      <c r="AE109" s="380"/>
      <c r="AF109" s="380"/>
      <c r="AG109" s="380"/>
      <c r="AH109" s="381"/>
      <c r="AI109" s="381"/>
      <c r="AJ109" s="381"/>
      <c r="AK109" s="381"/>
      <c r="AL109" s="381"/>
    </row>
    <row r="110" spans="1:38" ht="24.95" customHeight="1">
      <c r="A110" s="378"/>
      <c r="B110" s="378"/>
      <c r="C110" s="378"/>
      <c r="D110" s="378"/>
      <c r="E110" s="378"/>
      <c r="F110" s="378"/>
      <c r="G110" s="378"/>
      <c r="H110" s="378"/>
      <c r="I110" s="378"/>
      <c r="J110" s="378"/>
      <c r="K110" s="378"/>
      <c r="L110" s="378"/>
      <c r="M110" s="378"/>
      <c r="N110" s="378"/>
      <c r="O110" s="378"/>
      <c r="P110" s="378"/>
      <c r="Q110" s="378"/>
      <c r="R110" s="378"/>
      <c r="S110" s="378"/>
      <c r="T110" s="306" t="s">
        <v>219</v>
      </c>
      <c r="U110" s="306"/>
      <c r="V110" s="306"/>
      <c r="W110" s="306"/>
      <c r="X110" s="306"/>
      <c r="Y110" s="306"/>
      <c r="Z110" s="306"/>
      <c r="AA110" s="306"/>
      <c r="AB110" s="379">
        <f>AB109/0.7</f>
        <v>0</v>
      </c>
      <c r="AC110" s="380"/>
      <c r="AD110" s="380"/>
      <c r="AE110" s="380"/>
      <c r="AF110" s="380"/>
      <c r="AG110" s="380"/>
      <c r="AH110" s="381">
        <v>0.3</v>
      </c>
      <c r="AI110" s="381"/>
      <c r="AJ110" s="381"/>
      <c r="AK110" s="381"/>
      <c r="AL110" s="381"/>
    </row>
    <row r="111" spans="1:38" ht="24.95" customHeight="1">
      <c r="A111" s="378"/>
      <c r="B111" s="378"/>
      <c r="C111" s="378"/>
      <c r="D111" s="378"/>
      <c r="E111" s="378"/>
      <c r="F111" s="378"/>
      <c r="G111" s="378"/>
      <c r="H111" s="378"/>
      <c r="I111" s="378"/>
      <c r="J111" s="378"/>
      <c r="K111" s="378"/>
      <c r="L111" s="378"/>
      <c r="M111" s="378"/>
      <c r="N111" s="378"/>
      <c r="O111" s="378"/>
      <c r="P111" s="378"/>
      <c r="Q111" s="378"/>
      <c r="R111" s="378"/>
      <c r="S111" s="378"/>
      <c r="T111" s="306" t="s">
        <v>220</v>
      </c>
      <c r="U111" s="306"/>
      <c r="V111" s="306"/>
      <c r="W111" s="306"/>
      <c r="X111" s="306"/>
      <c r="Y111" s="306"/>
      <c r="Z111" s="306"/>
      <c r="AA111" s="306"/>
      <c r="AB111" s="379">
        <f>AB109/0.8</f>
        <v>0</v>
      </c>
      <c r="AC111" s="380"/>
      <c r="AD111" s="380"/>
      <c r="AE111" s="380"/>
      <c r="AF111" s="380"/>
      <c r="AG111" s="380"/>
      <c r="AH111" s="381">
        <v>0.2</v>
      </c>
      <c r="AI111" s="381"/>
      <c r="AJ111" s="381"/>
      <c r="AK111" s="381"/>
      <c r="AL111" s="381"/>
    </row>
    <row r="112" spans="1:38" ht="15.75">
      <c r="AG112" s="88" t="s">
        <v>221</v>
      </c>
    </row>
    <row r="113" spans="29:30" ht="15.75">
      <c r="AC113" s="88"/>
      <c r="AD113" s="89"/>
    </row>
  </sheetData>
  <mergeCells count="1109">
    <mergeCell ref="T107:AA107"/>
    <mergeCell ref="Y98:AA98"/>
    <mergeCell ref="W89:X89"/>
    <mergeCell ref="Y89:AA89"/>
    <mergeCell ref="W87:X87"/>
    <mergeCell ref="Y87:AA87"/>
    <mergeCell ref="W82:X82"/>
    <mergeCell ref="Y82:AA82"/>
    <mergeCell ref="W84:X84"/>
    <mergeCell ref="Y84:AA84"/>
    <mergeCell ref="W64:X64"/>
    <mergeCell ref="U54:V54"/>
    <mergeCell ref="W60:X60"/>
    <mergeCell ref="Y60:AA60"/>
    <mergeCell ref="W80:X80"/>
    <mergeCell ref="Y80:AA80"/>
    <mergeCell ref="AB80:AD80"/>
    <mergeCell ref="AB89:AD89"/>
    <mergeCell ref="AB87:AD87"/>
    <mergeCell ref="AB85:AD85"/>
    <mergeCell ref="AB69:AD69"/>
    <mergeCell ref="AB65:AD65"/>
    <mergeCell ref="S62:T62"/>
    <mergeCell ref="U62:V62"/>
    <mergeCell ref="AB64:AD64"/>
    <mergeCell ref="AB59:AD59"/>
    <mergeCell ref="U79:V79"/>
    <mergeCell ref="W79:X79"/>
    <mergeCell ref="Y79:AA79"/>
    <mergeCell ref="A81:G81"/>
    <mergeCell ref="H81:J81"/>
    <mergeCell ref="K81:N81"/>
    <mergeCell ref="O81:P81"/>
    <mergeCell ref="Q81:R81"/>
    <mergeCell ref="S81:T81"/>
    <mergeCell ref="U81:V81"/>
    <mergeCell ref="W81:X81"/>
    <mergeCell ref="Y81:AA81"/>
    <mergeCell ref="AB81:AD81"/>
    <mergeCell ref="AB83:AD83"/>
    <mergeCell ref="AB103:AD103"/>
    <mergeCell ref="Y25:AA25"/>
    <mergeCell ref="Y31:AA31"/>
    <mergeCell ref="Y35:AA35"/>
    <mergeCell ref="Y40:AA40"/>
    <mergeCell ref="Y44:AA44"/>
    <mergeCell ref="Y46:AA46"/>
    <mergeCell ref="Y51:AA51"/>
    <mergeCell ref="Y55:AA55"/>
    <mergeCell ref="Y59:AA59"/>
    <mergeCell ref="Y63:AA63"/>
    <mergeCell ref="Y70:AA70"/>
    <mergeCell ref="Y74:AA74"/>
    <mergeCell ref="Y78:AA78"/>
    <mergeCell ref="Y83:AA83"/>
    <mergeCell ref="Y92:AA92"/>
    <mergeCell ref="Y97:AA97"/>
    <mergeCell ref="AB55:AD55"/>
    <mergeCell ref="H101:J101"/>
    <mergeCell ref="K101:N101"/>
    <mergeCell ref="O101:P101"/>
    <mergeCell ref="T110:AA110"/>
    <mergeCell ref="T111:AA111"/>
    <mergeCell ref="AE15:AG15"/>
    <mergeCell ref="AE44:AG44"/>
    <mergeCell ref="AE46:AG46"/>
    <mergeCell ref="A107:S111"/>
    <mergeCell ref="AB63:AD63"/>
    <mergeCell ref="AH63:AJ63"/>
    <mergeCell ref="A98:G98"/>
    <mergeCell ref="A100:G100"/>
    <mergeCell ref="A101:G101"/>
    <mergeCell ref="A103:G103"/>
    <mergeCell ref="A104:G104"/>
    <mergeCell ref="AB106:AD106"/>
    <mergeCell ref="AE106:AG106"/>
    <mergeCell ref="AH39:AJ39"/>
    <mergeCell ref="H95:J95"/>
    <mergeCell ref="K95:N95"/>
    <mergeCell ref="O95:P95"/>
    <mergeCell ref="AH40:AJ40"/>
    <mergeCell ref="AB51:AD51"/>
    <mergeCell ref="AH51:AJ51"/>
    <mergeCell ref="AH106:AJ106"/>
    <mergeCell ref="AB111:AG111"/>
    <mergeCell ref="AH111:AL111"/>
    <mergeCell ref="AB107:AG107"/>
    <mergeCell ref="AH107:AL107"/>
    <mergeCell ref="AB109:AG109"/>
    <mergeCell ref="AH109:AL109"/>
    <mergeCell ref="AB110:AG110"/>
    <mergeCell ref="AH110:AL110"/>
    <mergeCell ref="T109:AA109"/>
    <mergeCell ref="AH83:AJ83"/>
    <mergeCell ref="AK83:AL83"/>
    <mergeCell ref="AE70:AG70"/>
    <mergeCell ref="AE74:AG74"/>
    <mergeCell ref="AE78:AG78"/>
    <mergeCell ref="AK74:AL74"/>
    <mergeCell ref="AB78:AD78"/>
    <mergeCell ref="AH78:AJ78"/>
    <mergeCell ref="AK78:AL78"/>
    <mergeCell ref="AB70:AD70"/>
    <mergeCell ref="AH70:AJ70"/>
    <mergeCell ref="AK70:AL70"/>
    <mergeCell ref="AB79:AD79"/>
    <mergeCell ref="AE79:AG79"/>
    <mergeCell ref="AH79:AJ79"/>
    <mergeCell ref="AK79:AL79"/>
    <mergeCell ref="AB82:AD82"/>
    <mergeCell ref="AE82:AG82"/>
    <mergeCell ref="AH82:AJ82"/>
    <mergeCell ref="AK82:AL82"/>
    <mergeCell ref="AB75:AD75"/>
    <mergeCell ref="AE75:AG75"/>
    <mergeCell ref="AE83:AG83"/>
    <mergeCell ref="AE80:AG80"/>
    <mergeCell ref="AH80:AJ80"/>
    <mergeCell ref="AK80:AL80"/>
    <mergeCell ref="AE81:AG81"/>
    <mergeCell ref="AH81:AJ81"/>
    <mergeCell ref="AK81:AL81"/>
    <mergeCell ref="AB73:AD73"/>
    <mergeCell ref="AE73:AG73"/>
    <mergeCell ref="AH55:AJ55"/>
    <mergeCell ref="AK55:AL55"/>
    <mergeCell ref="AB44:AD44"/>
    <mergeCell ref="AH44:AJ44"/>
    <mergeCell ref="AK44:AL44"/>
    <mergeCell ref="AB46:AD46"/>
    <mergeCell ref="AH46:AJ46"/>
    <mergeCell ref="AE48:AG48"/>
    <mergeCell ref="AH48:AJ48"/>
    <mergeCell ref="AK48:AL48"/>
    <mergeCell ref="AK47:AL47"/>
    <mergeCell ref="AK46:AL46"/>
    <mergeCell ref="AE51:AG51"/>
    <mergeCell ref="AE55:AG55"/>
    <mergeCell ref="AE47:AG47"/>
    <mergeCell ref="AH47:AJ47"/>
    <mergeCell ref="AE45:AG45"/>
    <mergeCell ref="AH45:AJ45"/>
    <mergeCell ref="AK45:AL45"/>
    <mergeCell ref="AH53:AJ53"/>
    <mergeCell ref="AK53:AL53"/>
    <mergeCell ref="AK51:AL51"/>
    <mergeCell ref="AE59:AG59"/>
    <mergeCell ref="AE63:AG63"/>
    <mergeCell ref="W77:X77"/>
    <mergeCell ref="Y77:AA77"/>
    <mergeCell ref="W75:X75"/>
    <mergeCell ref="Y75:AA75"/>
    <mergeCell ref="H76:J76"/>
    <mergeCell ref="K76:N76"/>
    <mergeCell ref="O76:P76"/>
    <mergeCell ref="Q76:R76"/>
    <mergeCell ref="S76:T76"/>
    <mergeCell ref="U76:V76"/>
    <mergeCell ref="AB76:AD76"/>
    <mergeCell ref="AE76:AG76"/>
    <mergeCell ref="AH76:AJ76"/>
    <mergeCell ref="AK76:AL76"/>
    <mergeCell ref="AB77:AD77"/>
    <mergeCell ref="AE77:AG77"/>
    <mergeCell ref="AH77:AJ77"/>
    <mergeCell ref="AK77:AL77"/>
    <mergeCell ref="AH73:AJ73"/>
    <mergeCell ref="AK73:AL73"/>
    <mergeCell ref="AK63:AL63"/>
    <mergeCell ref="AH75:AJ75"/>
    <mergeCell ref="AK75:AL75"/>
    <mergeCell ref="AB74:AD74"/>
    <mergeCell ref="AH74:AJ74"/>
    <mergeCell ref="AB71:AD71"/>
    <mergeCell ref="AE71:AG71"/>
    <mergeCell ref="AH71:AJ71"/>
    <mergeCell ref="AK71:AL71"/>
    <mergeCell ref="AB68:AD68"/>
    <mergeCell ref="AE105:AG105"/>
    <mergeCell ref="AH105:AJ105"/>
    <mergeCell ref="AK105:AL105"/>
    <mergeCell ref="H105:J105"/>
    <mergeCell ref="K105:N105"/>
    <mergeCell ref="O105:P105"/>
    <mergeCell ref="Q105:R105"/>
    <mergeCell ref="S105:T105"/>
    <mergeCell ref="U105:V105"/>
    <mergeCell ref="W105:X105"/>
    <mergeCell ref="Y105:AA105"/>
    <mergeCell ref="AK106:AL106"/>
    <mergeCell ref="H106:J106"/>
    <mergeCell ref="K106:N106"/>
    <mergeCell ref="O106:P106"/>
    <mergeCell ref="Q106:R106"/>
    <mergeCell ref="S106:T106"/>
    <mergeCell ref="U106:V106"/>
    <mergeCell ref="W106:X106"/>
    <mergeCell ref="Y106:AA106"/>
    <mergeCell ref="AB105:AD105"/>
    <mergeCell ref="AE103:AG103"/>
    <mergeCell ref="AH103:AJ103"/>
    <mergeCell ref="AK103:AL103"/>
    <mergeCell ref="H103:J103"/>
    <mergeCell ref="K103:N103"/>
    <mergeCell ref="O103:P103"/>
    <mergeCell ref="Q103:R103"/>
    <mergeCell ref="S103:T103"/>
    <mergeCell ref="U103:V103"/>
    <mergeCell ref="W103:X103"/>
    <mergeCell ref="Y103:AA103"/>
    <mergeCell ref="AB104:AD104"/>
    <mergeCell ref="AE104:AG104"/>
    <mergeCell ref="AH104:AJ104"/>
    <mergeCell ref="AK104:AL104"/>
    <mergeCell ref="H104:J104"/>
    <mergeCell ref="K104:N104"/>
    <mergeCell ref="O104:P104"/>
    <mergeCell ref="Q104:R104"/>
    <mergeCell ref="S104:T104"/>
    <mergeCell ref="U104:V104"/>
    <mergeCell ref="W104:X104"/>
    <mergeCell ref="Y104:AA104"/>
    <mergeCell ref="Q101:R101"/>
    <mergeCell ref="S101:T101"/>
    <mergeCell ref="U101:V101"/>
    <mergeCell ref="AB100:AD100"/>
    <mergeCell ref="AE100:AG100"/>
    <mergeCell ref="AH100:AJ100"/>
    <mergeCell ref="AB102:AD102"/>
    <mergeCell ref="AE102:AG102"/>
    <mergeCell ref="AH102:AJ102"/>
    <mergeCell ref="AK102:AL102"/>
    <mergeCell ref="W101:X101"/>
    <mergeCell ref="Y101:AA101"/>
    <mergeCell ref="AB101:AD101"/>
    <mergeCell ref="AE101:AG101"/>
    <mergeCell ref="AH101:AJ101"/>
    <mergeCell ref="AK101:AL101"/>
    <mergeCell ref="AB98:AD98"/>
    <mergeCell ref="AE98:AG98"/>
    <mergeCell ref="AH98:AJ98"/>
    <mergeCell ref="AK98:AL98"/>
    <mergeCell ref="H98:J98"/>
    <mergeCell ref="K98:N98"/>
    <mergeCell ref="O98:P98"/>
    <mergeCell ref="Q98:R98"/>
    <mergeCell ref="S98:T98"/>
    <mergeCell ref="U98:V98"/>
    <mergeCell ref="W98:X98"/>
    <mergeCell ref="AK100:AL100"/>
    <mergeCell ref="H100:J100"/>
    <mergeCell ref="K100:N100"/>
    <mergeCell ref="O100:P100"/>
    <mergeCell ref="Q100:R100"/>
    <mergeCell ref="S100:T100"/>
    <mergeCell ref="U100:V100"/>
    <mergeCell ref="W100:X100"/>
    <mergeCell ref="Y100:AA100"/>
    <mergeCell ref="AK95:AL95"/>
    <mergeCell ref="W95:X95"/>
    <mergeCell ref="Y95:AA95"/>
    <mergeCell ref="AB95:AD95"/>
    <mergeCell ref="AE95:AG95"/>
    <mergeCell ref="AH95:AJ95"/>
    <mergeCell ref="H96:J96"/>
    <mergeCell ref="K96:N96"/>
    <mergeCell ref="O96:P96"/>
    <mergeCell ref="Q96:R96"/>
    <mergeCell ref="S96:T96"/>
    <mergeCell ref="U96:V96"/>
    <mergeCell ref="Q95:R95"/>
    <mergeCell ref="S95:T95"/>
    <mergeCell ref="U95:V95"/>
    <mergeCell ref="AB97:AD97"/>
    <mergeCell ref="AE97:AG97"/>
    <mergeCell ref="AH97:AJ97"/>
    <mergeCell ref="AK97:AL97"/>
    <mergeCell ref="W96:X96"/>
    <mergeCell ref="Y96:AA96"/>
    <mergeCell ref="AB96:AD96"/>
    <mergeCell ref="AE96:AG96"/>
    <mergeCell ref="AH96:AJ96"/>
    <mergeCell ref="AK96:AL96"/>
    <mergeCell ref="AE93:AG93"/>
    <mergeCell ref="AH93:AJ93"/>
    <mergeCell ref="AK93:AL93"/>
    <mergeCell ref="H93:J93"/>
    <mergeCell ref="K93:N93"/>
    <mergeCell ref="O93:P93"/>
    <mergeCell ref="Q93:R93"/>
    <mergeCell ref="S93:T93"/>
    <mergeCell ref="U93:V93"/>
    <mergeCell ref="H94:J94"/>
    <mergeCell ref="K94:N94"/>
    <mergeCell ref="O94:P94"/>
    <mergeCell ref="Q94:R94"/>
    <mergeCell ref="S94:T94"/>
    <mergeCell ref="U94:V94"/>
    <mergeCell ref="W93:X93"/>
    <mergeCell ref="Y93:AA93"/>
    <mergeCell ref="AB93:AD93"/>
    <mergeCell ref="W94:X94"/>
    <mergeCell ref="Y94:AA94"/>
    <mergeCell ref="AB94:AD94"/>
    <mergeCell ref="AE94:AG94"/>
    <mergeCell ref="AH94:AJ94"/>
    <mergeCell ref="AK94:AL94"/>
    <mergeCell ref="H91:J91"/>
    <mergeCell ref="K91:N91"/>
    <mergeCell ref="O91:P91"/>
    <mergeCell ref="Q91:R91"/>
    <mergeCell ref="S91:T91"/>
    <mergeCell ref="U91:V91"/>
    <mergeCell ref="W90:X90"/>
    <mergeCell ref="Y90:AA90"/>
    <mergeCell ref="AB90:AD90"/>
    <mergeCell ref="AB92:AD92"/>
    <mergeCell ref="AE92:AG92"/>
    <mergeCell ref="AH92:AJ92"/>
    <mergeCell ref="AK92:AL92"/>
    <mergeCell ref="W91:X91"/>
    <mergeCell ref="Y91:AA91"/>
    <mergeCell ref="AB91:AD91"/>
    <mergeCell ref="AE91:AG91"/>
    <mergeCell ref="AH91:AJ91"/>
    <mergeCell ref="AK91:AL91"/>
    <mergeCell ref="AE89:AG89"/>
    <mergeCell ref="AH89:AJ89"/>
    <mergeCell ref="AK89:AL89"/>
    <mergeCell ref="H89:J89"/>
    <mergeCell ref="K89:N89"/>
    <mergeCell ref="O89:P89"/>
    <mergeCell ref="Q89:R89"/>
    <mergeCell ref="S89:T89"/>
    <mergeCell ref="U89:V89"/>
    <mergeCell ref="AE90:AG90"/>
    <mergeCell ref="AH90:AJ90"/>
    <mergeCell ref="AK90:AL90"/>
    <mergeCell ref="H90:J90"/>
    <mergeCell ref="K90:N90"/>
    <mergeCell ref="O90:P90"/>
    <mergeCell ref="Q90:R90"/>
    <mergeCell ref="S90:T90"/>
    <mergeCell ref="U90:V90"/>
    <mergeCell ref="AE87:AG87"/>
    <mergeCell ref="AH87:AJ87"/>
    <mergeCell ref="AK87:AL87"/>
    <mergeCell ref="H87:J87"/>
    <mergeCell ref="K87:N87"/>
    <mergeCell ref="O87:P87"/>
    <mergeCell ref="Q87:R87"/>
    <mergeCell ref="S87:T87"/>
    <mergeCell ref="U87:V87"/>
    <mergeCell ref="W88:X88"/>
    <mergeCell ref="Y88:AA88"/>
    <mergeCell ref="AB88:AD88"/>
    <mergeCell ref="AE88:AG88"/>
    <mergeCell ref="AH88:AJ88"/>
    <mergeCell ref="AK88:AL88"/>
    <mergeCell ref="H88:J88"/>
    <mergeCell ref="K88:N88"/>
    <mergeCell ref="O88:P88"/>
    <mergeCell ref="Q88:R88"/>
    <mergeCell ref="S88:T88"/>
    <mergeCell ref="U88:V88"/>
    <mergeCell ref="AE85:AG85"/>
    <mergeCell ref="AH85:AJ85"/>
    <mergeCell ref="AK85:AL85"/>
    <mergeCell ref="AB84:AD84"/>
    <mergeCell ref="AE84:AG84"/>
    <mergeCell ref="AH84:AJ84"/>
    <mergeCell ref="AK84:AL84"/>
    <mergeCell ref="W86:X86"/>
    <mergeCell ref="Y86:AA86"/>
    <mergeCell ref="AB86:AD86"/>
    <mergeCell ref="AE86:AG86"/>
    <mergeCell ref="AH86:AJ86"/>
    <mergeCell ref="AK86:AL86"/>
    <mergeCell ref="H86:J86"/>
    <mergeCell ref="K86:N86"/>
    <mergeCell ref="O86:P86"/>
    <mergeCell ref="Q86:R86"/>
    <mergeCell ref="S86:T86"/>
    <mergeCell ref="U86:V86"/>
    <mergeCell ref="H85:J85"/>
    <mergeCell ref="K85:N85"/>
    <mergeCell ref="O85:P85"/>
    <mergeCell ref="Q85:R85"/>
    <mergeCell ref="S85:T85"/>
    <mergeCell ref="U85:V85"/>
    <mergeCell ref="H84:J84"/>
    <mergeCell ref="K84:N84"/>
    <mergeCell ref="O84:P84"/>
    <mergeCell ref="Q84:R84"/>
    <mergeCell ref="S84:T84"/>
    <mergeCell ref="U84:V84"/>
    <mergeCell ref="H82:J82"/>
    <mergeCell ref="K82:N82"/>
    <mergeCell ref="O82:P82"/>
    <mergeCell ref="Q82:R82"/>
    <mergeCell ref="S82:T82"/>
    <mergeCell ref="U82:V82"/>
    <mergeCell ref="W85:X85"/>
    <mergeCell ref="Y85:AA85"/>
    <mergeCell ref="A73:G73"/>
    <mergeCell ref="H73:J73"/>
    <mergeCell ref="K73:N73"/>
    <mergeCell ref="O73:P73"/>
    <mergeCell ref="Q73:R73"/>
    <mergeCell ref="S73:T73"/>
    <mergeCell ref="U73:V73"/>
    <mergeCell ref="W73:X73"/>
    <mergeCell ref="Y73:AA73"/>
    <mergeCell ref="W76:X76"/>
    <mergeCell ref="Y76:AA76"/>
    <mergeCell ref="H75:J75"/>
    <mergeCell ref="K75:N75"/>
    <mergeCell ref="O75:P75"/>
    <mergeCell ref="Q75:R75"/>
    <mergeCell ref="S75:T75"/>
    <mergeCell ref="U75:V75"/>
    <mergeCell ref="A80:G80"/>
    <mergeCell ref="H80:J80"/>
    <mergeCell ref="K80:N80"/>
    <mergeCell ref="O80:P80"/>
    <mergeCell ref="Q80:R80"/>
    <mergeCell ref="S80:T80"/>
    <mergeCell ref="U80:V80"/>
    <mergeCell ref="H77:J77"/>
    <mergeCell ref="K77:N77"/>
    <mergeCell ref="O77:P77"/>
    <mergeCell ref="Q77:R77"/>
    <mergeCell ref="S77:T77"/>
    <mergeCell ref="U77:V77"/>
    <mergeCell ref="H79:J79"/>
    <mergeCell ref="K79:N79"/>
    <mergeCell ref="O79:P79"/>
    <mergeCell ref="Q79:R79"/>
    <mergeCell ref="S79:T79"/>
    <mergeCell ref="A72:G72"/>
    <mergeCell ref="H72:J72"/>
    <mergeCell ref="K72:N72"/>
    <mergeCell ref="O72:P72"/>
    <mergeCell ref="Q72:R72"/>
    <mergeCell ref="S72:T72"/>
    <mergeCell ref="A71:G71"/>
    <mergeCell ref="H71:J71"/>
    <mergeCell ref="K71:N71"/>
    <mergeCell ref="O71:P71"/>
    <mergeCell ref="Q71:R71"/>
    <mergeCell ref="S71:T71"/>
    <mergeCell ref="U71:V71"/>
    <mergeCell ref="AK72:AL72"/>
    <mergeCell ref="U72:V72"/>
    <mergeCell ref="W72:X72"/>
    <mergeCell ref="Y72:AA72"/>
    <mergeCell ref="AB72:AD72"/>
    <mergeCell ref="AE72:AG72"/>
    <mergeCell ref="AH72:AJ72"/>
    <mergeCell ref="A105:G105"/>
    <mergeCell ref="A106:G106"/>
    <mergeCell ref="A91:G91"/>
    <mergeCell ref="A93:G93"/>
    <mergeCell ref="A94:G94"/>
    <mergeCell ref="A95:G95"/>
    <mergeCell ref="A89:G89"/>
    <mergeCell ref="A90:G90"/>
    <mergeCell ref="A75:G75"/>
    <mergeCell ref="A76:G76"/>
    <mergeCell ref="A77:G77"/>
    <mergeCell ref="A79:G79"/>
    <mergeCell ref="A82:G82"/>
    <mergeCell ref="A84:G84"/>
    <mergeCell ref="A85:G85"/>
    <mergeCell ref="A86:G86"/>
    <mergeCell ref="A87:G87"/>
    <mergeCell ref="A88:G88"/>
    <mergeCell ref="A96:G96"/>
    <mergeCell ref="Y54:AA54"/>
    <mergeCell ref="AB54:AD54"/>
    <mergeCell ref="AE54:AG54"/>
    <mergeCell ref="AH54:AJ54"/>
    <mergeCell ref="AK54:AL54"/>
    <mergeCell ref="H54:J54"/>
    <mergeCell ref="K54:N54"/>
    <mergeCell ref="O54:P54"/>
    <mergeCell ref="Q54:R54"/>
    <mergeCell ref="S54:T54"/>
    <mergeCell ref="A67:G67"/>
    <mergeCell ref="A68:G68"/>
    <mergeCell ref="A69:G69"/>
    <mergeCell ref="W71:X71"/>
    <mergeCell ref="Y71:AA71"/>
    <mergeCell ref="A60:G60"/>
    <mergeCell ref="A61:G61"/>
    <mergeCell ref="A62:G62"/>
    <mergeCell ref="A64:G64"/>
    <mergeCell ref="A65:G65"/>
    <mergeCell ref="A66:G66"/>
    <mergeCell ref="W69:X69"/>
    <mergeCell ref="Y69:AA69"/>
    <mergeCell ref="W68:X68"/>
    <mergeCell ref="Y68:AA68"/>
    <mergeCell ref="W67:X67"/>
    <mergeCell ref="Y67:AA67"/>
    <mergeCell ref="W66:X66"/>
    <mergeCell ref="Y66:AA66"/>
    <mergeCell ref="W65:X65"/>
    <mergeCell ref="Y65:AA65"/>
    <mergeCell ref="AE69:AG69"/>
    <mergeCell ref="AH69:AJ69"/>
    <mergeCell ref="AK69:AL69"/>
    <mergeCell ref="H69:J69"/>
    <mergeCell ref="K69:N69"/>
    <mergeCell ref="O69:P69"/>
    <mergeCell ref="Q69:R69"/>
    <mergeCell ref="S69:T69"/>
    <mergeCell ref="U69:V69"/>
    <mergeCell ref="A53:G53"/>
    <mergeCell ref="A54:G54"/>
    <mergeCell ref="A58:G58"/>
    <mergeCell ref="A45:G45"/>
    <mergeCell ref="A47:G47"/>
    <mergeCell ref="A48:G48"/>
    <mergeCell ref="A49:G49"/>
    <mergeCell ref="A50:G50"/>
    <mergeCell ref="A52:G52"/>
    <mergeCell ref="W58:X58"/>
    <mergeCell ref="Y58:AA58"/>
    <mergeCell ref="AB58:AD58"/>
    <mergeCell ref="AE58:AG58"/>
    <mergeCell ref="AH58:AJ58"/>
    <mergeCell ref="AK58:AL58"/>
    <mergeCell ref="H58:J58"/>
    <mergeCell ref="K58:N58"/>
    <mergeCell ref="O58:P58"/>
    <mergeCell ref="Q58:R58"/>
    <mergeCell ref="S58:T58"/>
    <mergeCell ref="U58:V58"/>
    <mergeCell ref="W54:X54"/>
    <mergeCell ref="AB67:AD67"/>
    <mergeCell ref="AE67:AG67"/>
    <mergeCell ref="AH67:AJ67"/>
    <mergeCell ref="AK67:AL67"/>
    <mergeCell ref="H67:J67"/>
    <mergeCell ref="K67:N67"/>
    <mergeCell ref="O67:P67"/>
    <mergeCell ref="Q67:R67"/>
    <mergeCell ref="S67:T67"/>
    <mergeCell ref="U67:V67"/>
    <mergeCell ref="AE68:AG68"/>
    <mergeCell ref="AH68:AJ68"/>
    <mergeCell ref="AK68:AL68"/>
    <mergeCell ref="H68:J68"/>
    <mergeCell ref="K68:N68"/>
    <mergeCell ref="O68:P68"/>
    <mergeCell ref="Q68:R68"/>
    <mergeCell ref="S68:T68"/>
    <mergeCell ref="U68:V68"/>
    <mergeCell ref="AE65:AG65"/>
    <mergeCell ref="AH65:AJ65"/>
    <mergeCell ref="AK65:AL65"/>
    <mergeCell ref="H65:J65"/>
    <mergeCell ref="K65:N65"/>
    <mergeCell ref="O65:P65"/>
    <mergeCell ref="Q65:R65"/>
    <mergeCell ref="S65:T65"/>
    <mergeCell ref="U65:V65"/>
    <mergeCell ref="AB66:AD66"/>
    <mergeCell ref="AE66:AG66"/>
    <mergeCell ref="AH66:AJ66"/>
    <mergeCell ref="AK66:AL66"/>
    <mergeCell ref="H66:J66"/>
    <mergeCell ref="K66:N66"/>
    <mergeCell ref="O66:P66"/>
    <mergeCell ref="Q66:R66"/>
    <mergeCell ref="S66:T66"/>
    <mergeCell ref="U66:V66"/>
    <mergeCell ref="AE64:AG64"/>
    <mergeCell ref="AH64:AJ64"/>
    <mergeCell ref="AK64:AL64"/>
    <mergeCell ref="H64:J64"/>
    <mergeCell ref="K64:N64"/>
    <mergeCell ref="O64:P64"/>
    <mergeCell ref="Q64:R64"/>
    <mergeCell ref="S64:T64"/>
    <mergeCell ref="U64:V64"/>
    <mergeCell ref="Y64:AA64"/>
    <mergeCell ref="W62:X62"/>
    <mergeCell ref="W61:X61"/>
    <mergeCell ref="Y61:AA61"/>
    <mergeCell ref="AB61:AD61"/>
    <mergeCell ref="AE61:AG61"/>
    <mergeCell ref="AH61:AJ61"/>
    <mergeCell ref="AB60:AD60"/>
    <mergeCell ref="AE60:AG60"/>
    <mergeCell ref="AH60:AJ60"/>
    <mergeCell ref="AK60:AL60"/>
    <mergeCell ref="H60:J60"/>
    <mergeCell ref="K60:N60"/>
    <mergeCell ref="O60:P60"/>
    <mergeCell ref="Q60:R60"/>
    <mergeCell ref="S60:T60"/>
    <mergeCell ref="U60:V60"/>
    <mergeCell ref="AH59:AJ59"/>
    <mergeCell ref="AK59:AL59"/>
    <mergeCell ref="W52:X52"/>
    <mergeCell ref="Y52:AA52"/>
    <mergeCell ref="AB52:AD52"/>
    <mergeCell ref="AE52:AG52"/>
    <mergeCell ref="AH52:AJ52"/>
    <mergeCell ref="AK52:AL52"/>
    <mergeCell ref="H52:J52"/>
    <mergeCell ref="K52:N52"/>
    <mergeCell ref="O52:P52"/>
    <mergeCell ref="Q52:R52"/>
    <mergeCell ref="S52:T52"/>
    <mergeCell ref="U52:V52"/>
    <mergeCell ref="W53:X53"/>
    <mergeCell ref="Y53:AA53"/>
    <mergeCell ref="AB53:AD53"/>
    <mergeCell ref="AE53:AG53"/>
    <mergeCell ref="H53:J53"/>
    <mergeCell ref="K53:N53"/>
    <mergeCell ref="O53:P53"/>
    <mergeCell ref="Q53:R53"/>
    <mergeCell ref="S53:T53"/>
    <mergeCell ref="U53:V53"/>
    <mergeCell ref="AB56:AD56"/>
    <mergeCell ref="AE56:AG56"/>
    <mergeCell ref="AH56:AJ56"/>
    <mergeCell ref="AK56:AL56"/>
    <mergeCell ref="S56:T56"/>
    <mergeCell ref="U56:V56"/>
    <mergeCell ref="W56:X56"/>
    <mergeCell ref="AB57:AD57"/>
    <mergeCell ref="H43:J43"/>
    <mergeCell ref="K43:N43"/>
    <mergeCell ref="W49:X49"/>
    <mergeCell ref="Y49:AA49"/>
    <mergeCell ref="AB49:AD49"/>
    <mergeCell ref="AE49:AG49"/>
    <mergeCell ref="AH49:AJ49"/>
    <mergeCell ref="AK49:AL49"/>
    <mergeCell ref="H49:J49"/>
    <mergeCell ref="K49:N49"/>
    <mergeCell ref="O49:P49"/>
    <mergeCell ref="Q49:R49"/>
    <mergeCell ref="S49:T49"/>
    <mergeCell ref="U49:V49"/>
    <mergeCell ref="W50:X50"/>
    <mergeCell ref="Y50:AA50"/>
    <mergeCell ref="AB50:AD50"/>
    <mergeCell ref="AE50:AG50"/>
    <mergeCell ref="AH50:AJ50"/>
    <mergeCell ref="AK50:AL50"/>
    <mergeCell ref="H50:J50"/>
    <mergeCell ref="K50:N50"/>
    <mergeCell ref="O50:P50"/>
    <mergeCell ref="Q50:R50"/>
    <mergeCell ref="S50:T50"/>
    <mergeCell ref="U50:V50"/>
    <mergeCell ref="H45:J45"/>
    <mergeCell ref="K45:N45"/>
    <mergeCell ref="O45:P45"/>
    <mergeCell ref="Q45:R45"/>
    <mergeCell ref="S45:T45"/>
    <mergeCell ref="U45:V45"/>
    <mergeCell ref="W48:X48"/>
    <mergeCell ref="Y48:AA48"/>
    <mergeCell ref="AB48:AD48"/>
    <mergeCell ref="W45:X45"/>
    <mergeCell ref="Y45:AA45"/>
    <mergeCell ref="W47:X47"/>
    <mergeCell ref="Y47:AA47"/>
    <mergeCell ref="AB47:AD47"/>
    <mergeCell ref="AB45:AD45"/>
    <mergeCell ref="H48:J48"/>
    <mergeCell ref="K48:N48"/>
    <mergeCell ref="O48:P48"/>
    <mergeCell ref="Q48:R48"/>
    <mergeCell ref="S48:T48"/>
    <mergeCell ref="U48:V48"/>
    <mergeCell ref="H47:J47"/>
    <mergeCell ref="K47:N47"/>
    <mergeCell ref="O47:P47"/>
    <mergeCell ref="Q47:R47"/>
    <mergeCell ref="S47:T47"/>
    <mergeCell ref="U47:V47"/>
    <mergeCell ref="A36:G36"/>
    <mergeCell ref="H36:J36"/>
    <mergeCell ref="K36:N36"/>
    <mergeCell ref="O36:P36"/>
    <mergeCell ref="Q36:R36"/>
    <mergeCell ref="S36:T36"/>
    <mergeCell ref="A39:G39"/>
    <mergeCell ref="H39:J39"/>
    <mergeCell ref="K39:N39"/>
    <mergeCell ref="O39:P39"/>
    <mergeCell ref="Q39:R39"/>
    <mergeCell ref="S39:T39"/>
    <mergeCell ref="AE33:AG33"/>
    <mergeCell ref="AK36:AL36"/>
    <mergeCell ref="AB40:AD40"/>
    <mergeCell ref="AK40:AL40"/>
    <mergeCell ref="AE40:AG40"/>
    <mergeCell ref="U39:V39"/>
    <mergeCell ref="W39:X39"/>
    <mergeCell ref="AK39:AL39"/>
    <mergeCell ref="AH36:AJ36"/>
    <mergeCell ref="U33:V33"/>
    <mergeCell ref="W33:X33"/>
    <mergeCell ref="Y33:AA33"/>
    <mergeCell ref="AB33:AD33"/>
    <mergeCell ref="AE34:AG34"/>
    <mergeCell ref="H34:J34"/>
    <mergeCell ref="K34:N34"/>
    <mergeCell ref="O34:P34"/>
    <mergeCell ref="Q34:R34"/>
    <mergeCell ref="S34:T34"/>
    <mergeCell ref="U34:V34"/>
    <mergeCell ref="AB35:AD35"/>
    <mergeCell ref="AH35:AJ35"/>
    <mergeCell ref="AK35:AL35"/>
    <mergeCell ref="AE31:AG31"/>
    <mergeCell ref="AE35:AG35"/>
    <mergeCell ref="AB41:AD41"/>
    <mergeCell ref="AE41:AG41"/>
    <mergeCell ref="H41:J41"/>
    <mergeCell ref="K41:N41"/>
    <mergeCell ref="O41:P41"/>
    <mergeCell ref="Q41:R41"/>
    <mergeCell ref="AK32:AL32"/>
    <mergeCell ref="AH34:AJ34"/>
    <mergeCell ref="AK34:AL34"/>
    <mergeCell ref="Y34:AA34"/>
    <mergeCell ref="AB34:AD34"/>
    <mergeCell ref="Q30:R30"/>
    <mergeCell ref="S30:T30"/>
    <mergeCell ref="U30:V30"/>
    <mergeCell ref="AB27:AD27"/>
    <mergeCell ref="Y32:AA32"/>
    <mergeCell ref="AB32:AD32"/>
    <mergeCell ref="AE32:AG32"/>
    <mergeCell ref="AH32:AJ32"/>
    <mergeCell ref="O32:P32"/>
    <mergeCell ref="A29:G29"/>
    <mergeCell ref="H29:J29"/>
    <mergeCell ref="W34:X34"/>
    <mergeCell ref="W30:X30"/>
    <mergeCell ref="AB31:AD31"/>
    <mergeCell ref="AH31:AJ31"/>
    <mergeCell ref="AH30:AJ30"/>
    <mergeCell ref="AK30:AL30"/>
    <mergeCell ref="AK31:AL31"/>
    <mergeCell ref="K32:N32"/>
    <mergeCell ref="Q32:R32"/>
    <mergeCell ref="S32:T32"/>
    <mergeCell ref="U32:V32"/>
    <mergeCell ref="A33:G33"/>
    <mergeCell ref="H33:J33"/>
    <mergeCell ref="K33:N33"/>
    <mergeCell ref="O33:P33"/>
    <mergeCell ref="Q33:R33"/>
    <mergeCell ref="H24:J24"/>
    <mergeCell ref="Q24:R24"/>
    <mergeCell ref="S24:T24"/>
    <mergeCell ref="Y26:AA26"/>
    <mergeCell ref="AB26:AD26"/>
    <mergeCell ref="AE26:AG26"/>
    <mergeCell ref="Y30:AA30"/>
    <mergeCell ref="AB30:AD30"/>
    <mergeCell ref="AE30:AG30"/>
    <mergeCell ref="K30:N30"/>
    <mergeCell ref="O30:P30"/>
    <mergeCell ref="A30:G30"/>
    <mergeCell ref="H30:J30"/>
    <mergeCell ref="A26:G26"/>
    <mergeCell ref="H26:J26"/>
    <mergeCell ref="Q26:R26"/>
    <mergeCell ref="S26:T26"/>
    <mergeCell ref="K29:N29"/>
    <mergeCell ref="O29:P29"/>
    <mergeCell ref="A27:G27"/>
    <mergeCell ref="AK25:AL25"/>
    <mergeCell ref="AE25:AG25"/>
    <mergeCell ref="U26:V26"/>
    <mergeCell ref="W26:X26"/>
    <mergeCell ref="AK26:AL26"/>
    <mergeCell ref="AE27:AG27"/>
    <mergeCell ref="AH27:AJ27"/>
    <mergeCell ref="AK27:AL27"/>
    <mergeCell ref="W27:X27"/>
    <mergeCell ref="Y27:AA27"/>
    <mergeCell ref="Q29:R29"/>
    <mergeCell ref="S29:T29"/>
    <mergeCell ref="U29:V29"/>
    <mergeCell ref="AB18:AD18"/>
    <mergeCell ref="AE18:AG18"/>
    <mergeCell ref="AH18:AJ18"/>
    <mergeCell ref="AK18:AL18"/>
    <mergeCell ref="U24:V24"/>
    <mergeCell ref="AH24:AJ24"/>
    <mergeCell ref="W24:X24"/>
    <mergeCell ref="Y24:AA24"/>
    <mergeCell ref="AB24:AD24"/>
    <mergeCell ref="AE24:AG24"/>
    <mergeCell ref="AB25:AD25"/>
    <mergeCell ref="AH25:AJ25"/>
    <mergeCell ref="AK22:AL22"/>
    <mergeCell ref="AK24:AL24"/>
    <mergeCell ref="AH26:AJ26"/>
    <mergeCell ref="AH29:AJ29"/>
    <mergeCell ref="AK29:AL29"/>
    <mergeCell ref="AK16:AL16"/>
    <mergeCell ref="A17:G17"/>
    <mergeCell ref="Y17:AA17"/>
    <mergeCell ref="A16:G16"/>
    <mergeCell ref="O16:P16"/>
    <mergeCell ref="T5:X5"/>
    <mergeCell ref="AH16:AJ16"/>
    <mergeCell ref="AH15:AJ15"/>
    <mergeCell ref="AB15:AD15"/>
    <mergeCell ref="AE13:AG13"/>
    <mergeCell ref="T9:X9"/>
    <mergeCell ref="AB16:AD16"/>
    <mergeCell ref="AE16:AG16"/>
    <mergeCell ref="Y22:AA22"/>
    <mergeCell ref="AB22:AD22"/>
    <mergeCell ref="AE22:AG22"/>
    <mergeCell ref="W16:X16"/>
    <mergeCell ref="W22:X22"/>
    <mergeCell ref="AH22:AJ22"/>
    <mergeCell ref="AB19:AD19"/>
    <mergeCell ref="AE19:AG19"/>
    <mergeCell ref="AH19:AJ19"/>
    <mergeCell ref="Y5:AH5"/>
    <mergeCell ref="T6:X6"/>
    <mergeCell ref="Y6:AH6"/>
    <mergeCell ref="Q16:R16"/>
    <mergeCell ref="S16:T16"/>
    <mergeCell ref="U16:V16"/>
    <mergeCell ref="Y16:AA16"/>
    <mergeCell ref="K22:N22"/>
    <mergeCell ref="O22:P22"/>
    <mergeCell ref="AB17:AD17"/>
    <mergeCell ref="AE17:AG17"/>
    <mergeCell ref="AH17:AJ17"/>
    <mergeCell ref="AK17:AL17"/>
    <mergeCell ref="K8:S8"/>
    <mergeCell ref="H18:J18"/>
    <mergeCell ref="K18:N18"/>
    <mergeCell ref="O18:P18"/>
    <mergeCell ref="Q18:R18"/>
    <mergeCell ref="S18:T18"/>
    <mergeCell ref="U18:V18"/>
    <mergeCell ref="W18:X18"/>
    <mergeCell ref="Y18:AA18"/>
    <mergeCell ref="H17:J17"/>
    <mergeCell ref="K17:N17"/>
    <mergeCell ref="O17:P17"/>
    <mergeCell ref="Q17:R17"/>
    <mergeCell ref="S17:T17"/>
    <mergeCell ref="U17:V17"/>
    <mergeCell ref="W17:X17"/>
    <mergeCell ref="AK15:AL15"/>
    <mergeCell ref="H13:J13"/>
    <mergeCell ref="K13:N13"/>
    <mergeCell ref="K16:N16"/>
    <mergeCell ref="A14:S14"/>
    <mergeCell ref="T14:X14"/>
    <mergeCell ref="T1:AH4"/>
    <mergeCell ref="E5:S6"/>
    <mergeCell ref="AF14:AL14"/>
    <mergeCell ref="AB14:AE14"/>
    <mergeCell ref="R12:W12"/>
    <mergeCell ref="AB12:AD12"/>
    <mergeCell ref="AE12:AF12"/>
    <mergeCell ref="A12:G12"/>
    <mergeCell ref="K7:S7"/>
    <mergeCell ref="E8:J8"/>
    <mergeCell ref="E9:J9"/>
    <mergeCell ref="A11:AL11"/>
    <mergeCell ref="T7:X7"/>
    <mergeCell ref="T8:X8"/>
    <mergeCell ref="Y7:AH7"/>
    <mergeCell ref="Y8:AH8"/>
    <mergeCell ref="E7:J7"/>
    <mergeCell ref="Y9:AH9"/>
    <mergeCell ref="K9:S9"/>
    <mergeCell ref="AK13:AL13"/>
    <mergeCell ref="H12:I12"/>
    <mergeCell ref="Y14:AA14"/>
    <mergeCell ref="X12:Y12"/>
    <mergeCell ref="AH13:AJ13"/>
    <mergeCell ref="O13:P13"/>
    <mergeCell ref="S13:T13"/>
    <mergeCell ref="U13:V13"/>
    <mergeCell ref="W13:X13"/>
    <mergeCell ref="Q13:R13"/>
    <mergeCell ref="Y13:AA13"/>
    <mergeCell ref="AB13:AD13"/>
    <mergeCell ref="A22:G22"/>
    <mergeCell ref="A24:G24"/>
    <mergeCell ref="A13:G13"/>
    <mergeCell ref="A18:G18"/>
    <mergeCell ref="A20:G20"/>
    <mergeCell ref="H20:J20"/>
    <mergeCell ref="K20:N20"/>
    <mergeCell ref="O20:P20"/>
    <mergeCell ref="Q20:R20"/>
    <mergeCell ref="S20:T20"/>
    <mergeCell ref="U20:V20"/>
    <mergeCell ref="W20:X20"/>
    <mergeCell ref="Y20:AA20"/>
    <mergeCell ref="AB20:AD20"/>
    <mergeCell ref="AE20:AG20"/>
    <mergeCell ref="AH20:AJ20"/>
    <mergeCell ref="AK20:AL20"/>
    <mergeCell ref="A19:G19"/>
    <mergeCell ref="H19:J19"/>
    <mergeCell ref="K19:N19"/>
    <mergeCell ref="O19:P19"/>
    <mergeCell ref="Q19:R19"/>
    <mergeCell ref="S19:T19"/>
    <mergeCell ref="U19:V19"/>
    <mergeCell ref="W19:X19"/>
    <mergeCell ref="Y19:AA19"/>
    <mergeCell ref="AK19:AL19"/>
    <mergeCell ref="H22:J22"/>
    <mergeCell ref="Q22:R22"/>
    <mergeCell ref="S22:T22"/>
    <mergeCell ref="U22:V22"/>
    <mergeCell ref="H16:J16"/>
    <mergeCell ref="A43:G43"/>
    <mergeCell ref="AH33:AJ33"/>
    <mergeCell ref="AK33:AL33"/>
    <mergeCell ref="AB21:AD21"/>
    <mergeCell ref="AE21:AG21"/>
    <mergeCell ref="AH21:AJ21"/>
    <mergeCell ref="AK21:AL21"/>
    <mergeCell ref="A28:G28"/>
    <mergeCell ref="H28:J28"/>
    <mergeCell ref="K28:N28"/>
    <mergeCell ref="O28:P28"/>
    <mergeCell ref="Q28:R28"/>
    <mergeCell ref="S28:T28"/>
    <mergeCell ref="U28:V28"/>
    <mergeCell ref="W28:X28"/>
    <mergeCell ref="Y28:AA28"/>
    <mergeCell ref="AB28:AD28"/>
    <mergeCell ref="AE28:AG28"/>
    <mergeCell ref="AH28:AJ28"/>
    <mergeCell ref="AK28:AL28"/>
    <mergeCell ref="A21:G21"/>
    <mergeCell ref="H21:J21"/>
    <mergeCell ref="K21:N21"/>
    <mergeCell ref="O21:P21"/>
    <mergeCell ref="Q21:R21"/>
    <mergeCell ref="S21:T21"/>
    <mergeCell ref="U21:V21"/>
    <mergeCell ref="W21:X21"/>
    <mergeCell ref="Y21:AA21"/>
    <mergeCell ref="K24:N24"/>
    <mergeCell ref="O24:P24"/>
    <mergeCell ref="A32:G32"/>
    <mergeCell ref="A37:G37"/>
    <mergeCell ref="H37:J37"/>
    <mergeCell ref="K37:N37"/>
    <mergeCell ref="O37:P37"/>
    <mergeCell ref="Q37:R37"/>
    <mergeCell ref="S37:T37"/>
    <mergeCell ref="U37:V37"/>
    <mergeCell ref="W37:X37"/>
    <mergeCell ref="Y37:AA37"/>
    <mergeCell ref="AB37:AD37"/>
    <mergeCell ref="AE37:AG37"/>
    <mergeCell ref="K26:N26"/>
    <mergeCell ref="O26:P26"/>
    <mergeCell ref="W32:X32"/>
    <mergeCell ref="H27:J27"/>
    <mergeCell ref="K27:N27"/>
    <mergeCell ref="O27:P27"/>
    <mergeCell ref="Q27:R27"/>
    <mergeCell ref="S27:T27"/>
    <mergeCell ref="U27:V27"/>
    <mergeCell ref="H32:J32"/>
    <mergeCell ref="A34:G34"/>
    <mergeCell ref="W29:X29"/>
    <mergeCell ref="Y29:AA29"/>
    <mergeCell ref="AB29:AD29"/>
    <mergeCell ref="AE29:AG29"/>
    <mergeCell ref="Y36:AA36"/>
    <mergeCell ref="AB36:AD36"/>
    <mergeCell ref="AE36:AG36"/>
    <mergeCell ref="U36:V36"/>
    <mergeCell ref="W36:X36"/>
    <mergeCell ref="S33:T33"/>
    <mergeCell ref="AH41:AJ41"/>
    <mergeCell ref="AK41:AL41"/>
    <mergeCell ref="A42:G42"/>
    <mergeCell ref="H42:J42"/>
    <mergeCell ref="K42:N42"/>
    <mergeCell ref="O42:P42"/>
    <mergeCell ref="Q42:R42"/>
    <mergeCell ref="S42:T42"/>
    <mergeCell ref="U42:V42"/>
    <mergeCell ref="W42:X42"/>
    <mergeCell ref="S41:T41"/>
    <mergeCell ref="U41:V41"/>
    <mergeCell ref="W41:X41"/>
    <mergeCell ref="Y41:AA41"/>
    <mergeCell ref="AH38:AJ38"/>
    <mergeCell ref="AK38:AL38"/>
    <mergeCell ref="H38:J38"/>
    <mergeCell ref="K38:N38"/>
    <mergeCell ref="O38:P38"/>
    <mergeCell ref="Q38:R38"/>
    <mergeCell ref="S38:T38"/>
    <mergeCell ref="U38:V38"/>
    <mergeCell ref="W38:X38"/>
    <mergeCell ref="Y38:AA38"/>
    <mergeCell ref="AB38:AD38"/>
    <mergeCell ref="AE42:AG42"/>
    <mergeCell ref="AH42:AJ42"/>
    <mergeCell ref="AE38:AG38"/>
    <mergeCell ref="A41:G41"/>
    <mergeCell ref="O43:P43"/>
    <mergeCell ref="Q43:R43"/>
    <mergeCell ref="AK43:AL43"/>
    <mergeCell ref="S43:T43"/>
    <mergeCell ref="U43:V43"/>
    <mergeCell ref="W43:X43"/>
    <mergeCell ref="Y43:AA43"/>
    <mergeCell ref="AB43:AD43"/>
    <mergeCell ref="AE43:AG43"/>
    <mergeCell ref="AH43:AJ43"/>
    <mergeCell ref="Y42:AA42"/>
    <mergeCell ref="AB42:AD42"/>
    <mergeCell ref="A23:G23"/>
    <mergeCell ref="H23:J23"/>
    <mergeCell ref="K23:N23"/>
    <mergeCell ref="O23:P23"/>
    <mergeCell ref="Q23:R23"/>
    <mergeCell ref="S23:T23"/>
    <mergeCell ref="U23:V23"/>
    <mergeCell ref="W23:X23"/>
    <mergeCell ref="Y23:AA23"/>
    <mergeCell ref="AB23:AD23"/>
    <mergeCell ref="AE23:AG23"/>
    <mergeCell ref="AH23:AJ23"/>
    <mergeCell ref="AK23:AL23"/>
    <mergeCell ref="AH37:AJ37"/>
    <mergeCell ref="AK37:AL37"/>
    <mergeCell ref="AB39:AD39"/>
    <mergeCell ref="AE39:AG39"/>
    <mergeCell ref="A38:G38"/>
    <mergeCell ref="AK42:AL42"/>
    <mergeCell ref="Y39:AA39"/>
    <mergeCell ref="AE57:AG57"/>
    <mergeCell ref="AH57:AJ57"/>
    <mergeCell ref="AK57:AL57"/>
    <mergeCell ref="A57:G57"/>
    <mergeCell ref="H57:J57"/>
    <mergeCell ref="K57:N57"/>
    <mergeCell ref="O57:P57"/>
    <mergeCell ref="Q57:R57"/>
    <mergeCell ref="S57:T57"/>
    <mergeCell ref="U57:V57"/>
    <mergeCell ref="W57:X57"/>
    <mergeCell ref="Y57:AA57"/>
    <mergeCell ref="A56:G56"/>
    <mergeCell ref="H56:J56"/>
    <mergeCell ref="K56:N56"/>
    <mergeCell ref="O56:P56"/>
    <mergeCell ref="Q56:R56"/>
    <mergeCell ref="Y56:AA56"/>
    <mergeCell ref="T108:AA108"/>
    <mergeCell ref="AB108:AG108"/>
    <mergeCell ref="AH108:AL108"/>
    <mergeCell ref="AK61:AL61"/>
    <mergeCell ref="H61:J61"/>
    <mergeCell ref="K61:N61"/>
    <mergeCell ref="A99:G99"/>
    <mergeCell ref="H99:J99"/>
    <mergeCell ref="K99:N99"/>
    <mergeCell ref="O99:P99"/>
    <mergeCell ref="Q99:R99"/>
    <mergeCell ref="S99:T99"/>
    <mergeCell ref="U99:V99"/>
    <mergeCell ref="W99:X99"/>
    <mergeCell ref="Y99:AA99"/>
    <mergeCell ref="AB99:AD99"/>
    <mergeCell ref="AE99:AG99"/>
    <mergeCell ref="AH99:AJ99"/>
    <mergeCell ref="AK99:AL99"/>
    <mergeCell ref="O61:P61"/>
    <mergeCell ref="Q61:R61"/>
    <mergeCell ref="S61:T61"/>
    <mergeCell ref="U61:V61"/>
    <mergeCell ref="Y62:AA62"/>
    <mergeCell ref="AB62:AD62"/>
    <mergeCell ref="AE62:AG62"/>
    <mergeCell ref="AH62:AJ62"/>
    <mergeCell ref="AK62:AL62"/>
    <mergeCell ref="H62:J62"/>
    <mergeCell ref="K62:N62"/>
    <mergeCell ref="O62:P62"/>
    <mergeCell ref="Q62:R62"/>
  </mergeCells>
  <phoneticPr fontId="39" type="noConversion"/>
  <dataValidations disablePrompts="1" count="1">
    <dataValidation type="list" allowBlank="1" sqref="Y14:AA14" xr:uid="{87BFC9DB-697B-48AA-9293-F9B1771BB762}">
      <formula1>L_TypedeMurs</formula1>
    </dataValidation>
  </dataValidations>
  <printOptions horizontalCentered="1" verticalCentered="1"/>
  <pageMargins left="0.23622047244094488" right="0.23622047244094488" top="0.23622047244094488" bottom="0.23622047244094488" header="0.31496062992125984" footer="0.31496062992125984"/>
  <pageSetup paperSize="9" scale="45"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20263-A922-43CA-96C1-733475D2F94C}">
  <sheetPr codeName="Feuil2">
    <tabColor theme="4" tint="0.59999389629810485"/>
    <pageSetUpPr fitToPage="1"/>
  </sheetPr>
  <dimension ref="A1:AO48"/>
  <sheetViews>
    <sheetView view="pageBreakPreview" zoomScale="130" zoomScaleNormal="100" zoomScaleSheetLayoutView="130" workbookViewId="0">
      <selection activeCell="Z8" sqref="Z8:AI8"/>
    </sheetView>
  </sheetViews>
  <sheetFormatPr baseColWidth="10" defaultColWidth="11.42578125" defaultRowHeight="15"/>
  <cols>
    <col min="1" max="47" width="3.28515625" customWidth="1"/>
  </cols>
  <sheetData>
    <row r="1" spans="6:35" ht="14.1" customHeight="1">
      <c r="U1" s="326" t="s">
        <v>222</v>
      </c>
      <c r="V1" s="326"/>
      <c r="W1" s="326"/>
      <c r="X1" s="326"/>
      <c r="Y1" s="326"/>
      <c r="Z1" s="326"/>
      <c r="AA1" s="326"/>
      <c r="AB1" s="326"/>
      <c r="AC1" s="326"/>
      <c r="AD1" s="326"/>
      <c r="AE1" s="326"/>
      <c r="AF1" s="326"/>
      <c r="AG1" s="326"/>
      <c r="AH1" s="326"/>
      <c r="AI1" s="326"/>
    </row>
    <row r="2" spans="6:35" ht="14.1" customHeight="1">
      <c r="U2" s="327"/>
      <c r="V2" s="327"/>
      <c r="W2" s="327"/>
      <c r="X2" s="327"/>
      <c r="Y2" s="327"/>
      <c r="Z2" s="327"/>
      <c r="AA2" s="327"/>
      <c r="AB2" s="327"/>
      <c r="AC2" s="327"/>
      <c r="AD2" s="327"/>
      <c r="AE2" s="327"/>
      <c r="AF2" s="327"/>
      <c r="AG2" s="327"/>
      <c r="AH2" s="327"/>
      <c r="AI2" s="327"/>
    </row>
    <row r="3" spans="6:35" ht="14.1" customHeight="1">
      <c r="U3" s="327"/>
      <c r="V3" s="327"/>
      <c r="W3" s="327"/>
      <c r="X3" s="327"/>
      <c r="Y3" s="327"/>
      <c r="Z3" s="327"/>
      <c r="AA3" s="327"/>
      <c r="AB3" s="327"/>
      <c r="AC3" s="327"/>
      <c r="AD3" s="327"/>
      <c r="AE3" s="327"/>
      <c r="AF3" s="327"/>
      <c r="AG3" s="327"/>
      <c r="AH3" s="327"/>
      <c r="AI3" s="327"/>
    </row>
    <row r="4" spans="6:35" ht="14.1" customHeight="1" thickBot="1">
      <c r="U4" s="328"/>
      <c r="V4" s="328"/>
      <c r="W4" s="328"/>
      <c r="X4" s="328"/>
      <c r="Y4" s="328"/>
      <c r="Z4" s="328"/>
      <c r="AA4" s="328"/>
      <c r="AB4" s="328"/>
      <c r="AC4" s="328"/>
      <c r="AD4" s="328"/>
      <c r="AE4" s="328"/>
      <c r="AF4" s="328"/>
      <c r="AG4" s="328"/>
      <c r="AH4" s="328"/>
      <c r="AI4" s="328"/>
    </row>
    <row r="5" spans="6:35" ht="14.1" customHeight="1">
      <c r="F5" s="329" t="s">
        <v>1</v>
      </c>
      <c r="G5" s="330"/>
      <c r="H5" s="330"/>
      <c r="I5" s="330"/>
      <c r="J5" s="330"/>
      <c r="K5" s="330"/>
      <c r="L5" s="330"/>
      <c r="M5" s="330"/>
      <c r="N5" s="330"/>
      <c r="O5" s="330"/>
      <c r="P5" s="330"/>
      <c r="Q5" s="330"/>
      <c r="R5" s="330"/>
      <c r="S5" s="330"/>
      <c r="T5" s="331"/>
      <c r="U5" s="182" t="s">
        <v>2</v>
      </c>
      <c r="V5" s="183"/>
      <c r="W5" s="183"/>
      <c r="X5" s="183"/>
      <c r="Y5" s="184"/>
      <c r="Z5" s="336">
        <f>Client</f>
        <v>0</v>
      </c>
      <c r="AA5" s="337"/>
      <c r="AB5" s="337"/>
      <c r="AC5" s="337"/>
      <c r="AD5" s="337"/>
      <c r="AE5" s="337"/>
      <c r="AF5" s="337"/>
      <c r="AG5" s="337"/>
      <c r="AH5" s="337"/>
      <c r="AI5" s="338"/>
    </row>
    <row r="6" spans="6:35" ht="14.1" customHeight="1" thickBot="1">
      <c r="F6" s="332"/>
      <c r="G6" s="333"/>
      <c r="H6" s="333"/>
      <c r="I6" s="333"/>
      <c r="J6" s="333"/>
      <c r="K6" s="333"/>
      <c r="L6" s="333"/>
      <c r="M6" s="333"/>
      <c r="N6" s="333"/>
      <c r="O6" s="333"/>
      <c r="P6" s="333"/>
      <c r="Q6" s="333"/>
      <c r="R6" s="333"/>
      <c r="S6" s="333"/>
      <c r="T6" s="334"/>
      <c r="U6" s="178" t="s">
        <v>3</v>
      </c>
      <c r="V6" s="179"/>
      <c r="W6" s="179"/>
      <c r="X6" s="179"/>
      <c r="Y6" s="180"/>
      <c r="Z6" s="347">
        <f>Num_Devis</f>
        <v>0</v>
      </c>
      <c r="AA6" s="348"/>
      <c r="AB6" s="348"/>
      <c r="AC6" s="348"/>
      <c r="AD6" s="348"/>
      <c r="AE6" s="348"/>
      <c r="AF6" s="348"/>
      <c r="AG6" s="348"/>
      <c r="AH6" s="348"/>
      <c r="AI6" s="349"/>
    </row>
    <row r="7" spans="6:35" ht="14.1" customHeight="1">
      <c r="F7" s="147" t="s">
        <v>4</v>
      </c>
      <c r="G7" s="148"/>
      <c r="H7" s="148"/>
      <c r="I7" s="148"/>
      <c r="J7" s="148"/>
      <c r="K7" s="148"/>
      <c r="L7" s="457">
        <f>Commercial</f>
        <v>0</v>
      </c>
      <c r="M7" s="457"/>
      <c r="N7" s="457"/>
      <c r="O7" s="457"/>
      <c r="P7" s="457"/>
      <c r="Q7" s="457"/>
      <c r="R7" s="457"/>
      <c r="S7" s="457"/>
      <c r="T7" s="458"/>
      <c r="U7" s="256" t="s">
        <v>5</v>
      </c>
      <c r="V7" s="257"/>
      <c r="W7" s="257"/>
      <c r="X7" s="257"/>
      <c r="Y7" s="258"/>
      <c r="Z7" s="347">
        <f>Code_Client_Divalto</f>
        <v>0</v>
      </c>
      <c r="AA7" s="348"/>
      <c r="AB7" s="348"/>
      <c r="AC7" s="348"/>
      <c r="AD7" s="348"/>
      <c r="AE7" s="348"/>
      <c r="AF7" s="348"/>
      <c r="AG7" s="348"/>
      <c r="AH7" s="348"/>
      <c r="AI7" s="349"/>
    </row>
    <row r="8" spans="6:35" ht="14.1" customHeight="1">
      <c r="F8" s="147" t="s">
        <v>6</v>
      </c>
      <c r="G8" s="148"/>
      <c r="H8" s="148"/>
      <c r="I8" s="148"/>
      <c r="J8" s="148"/>
      <c r="K8" s="148"/>
      <c r="L8" s="347">
        <f>ICA</f>
        <v>0</v>
      </c>
      <c r="M8" s="348"/>
      <c r="N8" s="348"/>
      <c r="O8" s="348"/>
      <c r="P8" s="348"/>
      <c r="Q8" s="348"/>
      <c r="R8" s="348"/>
      <c r="S8" s="348"/>
      <c r="T8" s="349"/>
      <c r="U8" s="178" t="s">
        <v>7</v>
      </c>
      <c r="V8" s="179"/>
      <c r="W8" s="179"/>
      <c r="X8" s="179"/>
      <c r="Y8" s="180"/>
      <c r="Z8" s="459">
        <f>Affaire_Div</f>
        <v>0</v>
      </c>
      <c r="AA8" s="459"/>
      <c r="AB8" s="459"/>
      <c r="AC8" s="459"/>
      <c r="AD8" s="459"/>
      <c r="AE8" s="459"/>
      <c r="AF8" s="459"/>
      <c r="AG8" s="459"/>
      <c r="AH8" s="459"/>
      <c r="AI8" s="460"/>
    </row>
    <row r="9" spans="6:35" ht="14.1" customHeight="1" thickBot="1">
      <c r="F9" s="145" t="s">
        <v>8</v>
      </c>
      <c r="G9" s="146"/>
      <c r="H9" s="146"/>
      <c r="I9" s="146"/>
      <c r="J9" s="146"/>
      <c r="K9" s="146"/>
      <c r="L9" s="461">
        <f>ChargéAF</f>
        <v>0</v>
      </c>
      <c r="M9" s="461"/>
      <c r="N9" s="461"/>
      <c r="O9" s="461"/>
      <c r="P9" s="461"/>
      <c r="Q9" s="461"/>
      <c r="R9" s="461"/>
      <c r="S9" s="461"/>
      <c r="T9" s="462"/>
      <c r="U9" s="463" t="s">
        <v>9</v>
      </c>
      <c r="V9" s="464"/>
      <c r="W9" s="464"/>
      <c r="X9" s="464"/>
      <c r="Y9" s="465"/>
      <c r="Z9" s="461">
        <f>Projet_SF</f>
        <v>0</v>
      </c>
      <c r="AA9" s="461"/>
      <c r="AB9" s="461"/>
      <c r="AC9" s="461"/>
      <c r="AD9" s="461"/>
      <c r="AE9" s="461"/>
      <c r="AF9" s="461"/>
      <c r="AG9" s="461"/>
      <c r="AH9" s="461"/>
      <c r="AI9" s="462"/>
    </row>
    <row r="10" spans="6:35" ht="15.75" thickBot="1"/>
    <row r="11" spans="6:35" ht="20.100000000000001" customHeight="1">
      <c r="F11" s="466" t="s">
        <v>223</v>
      </c>
      <c r="G11" s="467"/>
      <c r="H11" s="467"/>
      <c r="I11" s="467"/>
      <c r="J11" s="467"/>
      <c r="K11" s="467"/>
      <c r="L11" s="467"/>
      <c r="M11" s="467"/>
      <c r="N11" s="467"/>
      <c r="O11" s="467"/>
      <c r="P11" s="467"/>
      <c r="Q11" s="467"/>
      <c r="R11" s="467"/>
      <c r="S11" s="467"/>
      <c r="T11" s="467"/>
      <c r="U11" s="467"/>
      <c r="V11" s="467"/>
      <c r="W11" s="467"/>
      <c r="X11" s="467"/>
      <c r="Y11" s="467"/>
      <c r="Z11" s="467"/>
      <c r="AA11" s="467"/>
      <c r="AB11" s="467"/>
      <c r="AC11" s="467"/>
      <c r="AD11" s="467"/>
      <c r="AE11" s="467"/>
      <c r="AF11" s="467"/>
      <c r="AG11" s="467"/>
      <c r="AH11" s="467"/>
      <c r="AI11" s="468"/>
    </row>
    <row r="12" spans="6:35" ht="20.100000000000001" customHeight="1" thickBot="1">
      <c r="F12" s="469"/>
      <c r="G12" s="470"/>
      <c r="H12" s="470"/>
      <c r="I12" s="470"/>
      <c r="J12" s="470"/>
      <c r="K12" s="470"/>
      <c r="L12" s="470"/>
      <c r="M12" s="470"/>
      <c r="N12" s="470"/>
      <c r="O12" s="470"/>
      <c r="P12" s="470"/>
      <c r="Q12" s="470"/>
      <c r="R12" s="470"/>
      <c r="S12" s="470"/>
      <c r="T12" s="470"/>
      <c r="U12" s="470"/>
      <c r="V12" s="470"/>
      <c r="W12" s="470"/>
      <c r="X12" s="470"/>
      <c r="Y12" s="470"/>
      <c r="Z12" s="470"/>
      <c r="AA12" s="470"/>
      <c r="AB12" s="470"/>
      <c r="AC12" s="470"/>
      <c r="AD12" s="470"/>
      <c r="AE12" s="470"/>
      <c r="AF12" s="470"/>
      <c r="AG12" s="470"/>
      <c r="AH12" s="470"/>
      <c r="AI12" s="471"/>
    </row>
    <row r="13" spans="6:35" ht="30" customHeight="1">
      <c r="F13" s="472" t="s">
        <v>224</v>
      </c>
      <c r="G13" s="473"/>
      <c r="H13" s="473"/>
      <c r="I13" s="473"/>
      <c r="J13" s="473"/>
      <c r="K13" s="473"/>
      <c r="L13" s="473"/>
      <c r="M13" s="474"/>
      <c r="N13" s="474"/>
      <c r="O13" s="474"/>
      <c r="P13" s="474"/>
      <c r="Q13" s="474"/>
      <c r="R13" s="475" t="s">
        <v>225</v>
      </c>
      <c r="S13" s="475"/>
      <c r="T13" s="475"/>
      <c r="U13" s="473" t="s">
        <v>226</v>
      </c>
      <c r="V13" s="473"/>
      <c r="W13" s="473"/>
      <c r="X13" s="473"/>
      <c r="Y13" s="473"/>
      <c r="Z13" s="473"/>
      <c r="AA13" s="473"/>
      <c r="AB13" s="474"/>
      <c r="AC13" s="474"/>
      <c r="AD13" s="474"/>
      <c r="AE13" s="474"/>
      <c r="AF13" s="474"/>
      <c r="AG13" s="475" t="s">
        <v>227</v>
      </c>
      <c r="AH13" s="475" t="s">
        <v>227</v>
      </c>
      <c r="AI13" s="476"/>
    </row>
    <row r="14" spans="6:35" ht="30" customHeight="1">
      <c r="F14" s="479" t="s">
        <v>228</v>
      </c>
      <c r="G14" s="480"/>
      <c r="H14" s="480"/>
      <c r="I14" s="480"/>
      <c r="J14" s="480"/>
      <c r="K14" s="480"/>
      <c r="L14" s="480"/>
      <c r="M14" s="482"/>
      <c r="N14" s="483"/>
      <c r="O14" s="483"/>
      <c r="P14" s="483"/>
      <c r="Q14" s="483"/>
      <c r="R14" s="483"/>
      <c r="S14" s="483"/>
      <c r="T14" s="484"/>
      <c r="U14" s="480" t="s">
        <v>229</v>
      </c>
      <c r="V14" s="480"/>
      <c r="W14" s="480"/>
      <c r="X14" s="480"/>
      <c r="Y14" s="480"/>
      <c r="Z14" s="480"/>
      <c r="AA14" s="480"/>
      <c r="AB14" s="481"/>
      <c r="AC14" s="481"/>
      <c r="AD14" s="481"/>
      <c r="AE14" s="481"/>
      <c r="AF14" s="481"/>
      <c r="AG14" s="477" t="s">
        <v>227</v>
      </c>
      <c r="AH14" s="477"/>
      <c r="AI14" s="478"/>
    </row>
    <row r="15" spans="6:35" ht="30" customHeight="1">
      <c r="F15" s="479" t="s">
        <v>230</v>
      </c>
      <c r="G15" s="480"/>
      <c r="H15" s="480"/>
      <c r="I15" s="480"/>
      <c r="J15" s="480"/>
      <c r="K15" s="480"/>
      <c r="L15" s="480"/>
      <c r="M15" s="481"/>
      <c r="N15" s="481"/>
      <c r="O15" s="481"/>
      <c r="P15" s="481"/>
      <c r="Q15" s="481"/>
      <c r="R15" s="477" t="s">
        <v>110</v>
      </c>
      <c r="S15" s="477"/>
      <c r="T15" s="477"/>
      <c r="U15" s="480" t="s">
        <v>231</v>
      </c>
      <c r="V15" s="480"/>
      <c r="W15" s="480"/>
      <c r="X15" s="480"/>
      <c r="Y15" s="480"/>
      <c r="Z15" s="480"/>
      <c r="AA15" s="480"/>
      <c r="AB15" s="481"/>
      <c r="AC15" s="481"/>
      <c r="AD15" s="481"/>
      <c r="AE15" s="481"/>
      <c r="AF15" s="481"/>
      <c r="AG15" s="477" t="s">
        <v>227</v>
      </c>
      <c r="AH15" s="477"/>
      <c r="AI15" s="478"/>
    </row>
    <row r="16" spans="6:35" ht="30" customHeight="1">
      <c r="F16" s="479" t="s">
        <v>232</v>
      </c>
      <c r="G16" s="480"/>
      <c r="H16" s="480"/>
      <c r="I16" s="480"/>
      <c r="J16" s="480"/>
      <c r="K16" s="480"/>
      <c r="L16" s="480"/>
      <c r="M16" s="481"/>
      <c r="N16" s="481"/>
      <c r="O16" s="481"/>
      <c r="P16" s="481"/>
      <c r="Q16" s="481"/>
      <c r="R16" s="477" t="s">
        <v>233</v>
      </c>
      <c r="S16" s="477"/>
      <c r="T16" s="477"/>
      <c r="U16" s="480" t="s">
        <v>234</v>
      </c>
      <c r="V16" s="480"/>
      <c r="W16" s="480"/>
      <c r="X16" s="480"/>
      <c r="Y16" s="480"/>
      <c r="Z16" s="480"/>
      <c r="AA16" s="480"/>
      <c r="AB16" s="481"/>
      <c r="AC16" s="481"/>
      <c r="AD16" s="481"/>
      <c r="AE16" s="481"/>
      <c r="AF16" s="481"/>
      <c r="AG16" s="477" t="s">
        <v>235</v>
      </c>
      <c r="AH16" s="477"/>
      <c r="AI16" s="478"/>
    </row>
    <row r="17" spans="1:41" ht="30" customHeight="1">
      <c r="F17" s="479" t="s">
        <v>236</v>
      </c>
      <c r="G17" s="480"/>
      <c r="H17" s="480"/>
      <c r="I17" s="480"/>
      <c r="J17" s="480"/>
      <c r="K17" s="480"/>
      <c r="L17" s="480"/>
      <c r="M17" s="481"/>
      <c r="N17" s="481"/>
      <c r="O17" s="481"/>
      <c r="P17" s="481"/>
      <c r="Q17" s="481"/>
      <c r="R17" s="477" t="s">
        <v>233</v>
      </c>
      <c r="S17" s="477"/>
      <c r="T17" s="477"/>
      <c r="U17" s="480" t="s">
        <v>237</v>
      </c>
      <c r="V17" s="480"/>
      <c r="W17" s="480"/>
      <c r="X17" s="480"/>
      <c r="Y17" s="480"/>
      <c r="Z17" s="480"/>
      <c r="AA17" s="480"/>
      <c r="AB17" s="481"/>
      <c r="AC17" s="481"/>
      <c r="AD17" s="481"/>
      <c r="AE17" s="481"/>
      <c r="AF17" s="481"/>
      <c r="AG17" s="477" t="s">
        <v>227</v>
      </c>
      <c r="AH17" s="477"/>
      <c r="AI17" s="478"/>
    </row>
    <row r="18" spans="1:41" ht="30" customHeight="1">
      <c r="F18" s="479" t="s">
        <v>238</v>
      </c>
      <c r="G18" s="480"/>
      <c r="H18" s="480"/>
      <c r="I18" s="480"/>
      <c r="J18" s="480"/>
      <c r="K18" s="480"/>
      <c r="L18" s="480"/>
      <c r="M18" s="481"/>
      <c r="N18" s="481"/>
      <c r="O18" s="481"/>
      <c r="P18" s="481"/>
      <c r="Q18" s="481"/>
      <c r="R18" s="477" t="s">
        <v>227</v>
      </c>
      <c r="S18" s="477"/>
      <c r="T18" s="477"/>
      <c r="U18" s="480" t="s">
        <v>239</v>
      </c>
      <c r="V18" s="480"/>
      <c r="W18" s="480"/>
      <c r="X18" s="480"/>
      <c r="Y18" s="480"/>
      <c r="Z18" s="480"/>
      <c r="AA18" s="480"/>
      <c r="AB18" s="481"/>
      <c r="AC18" s="481"/>
      <c r="AD18" s="481"/>
      <c r="AE18" s="481"/>
      <c r="AF18" s="481"/>
      <c r="AG18" s="477" t="s">
        <v>227</v>
      </c>
      <c r="AH18" s="477"/>
      <c r="AI18" s="478"/>
    </row>
    <row r="19" spans="1:41" ht="30" customHeight="1">
      <c r="F19" s="479" t="s">
        <v>240</v>
      </c>
      <c r="G19" s="480"/>
      <c r="H19" s="480"/>
      <c r="I19" s="480"/>
      <c r="J19" s="480"/>
      <c r="K19" s="480"/>
      <c r="L19" s="480"/>
      <c r="M19" s="481"/>
      <c r="N19" s="481"/>
      <c r="O19" s="481"/>
      <c r="P19" s="481"/>
      <c r="Q19" s="481"/>
      <c r="R19" s="477" t="s">
        <v>233</v>
      </c>
      <c r="S19" s="477"/>
      <c r="T19" s="477"/>
      <c r="U19" s="480" t="s">
        <v>241</v>
      </c>
      <c r="V19" s="480"/>
      <c r="W19" s="480"/>
      <c r="X19" s="480"/>
      <c r="Y19" s="480"/>
      <c r="Z19" s="480"/>
      <c r="AA19" s="480"/>
      <c r="AB19" s="481"/>
      <c r="AC19" s="481"/>
      <c r="AD19" s="481"/>
      <c r="AE19" s="481"/>
      <c r="AF19" s="481"/>
      <c r="AG19" s="480" t="s">
        <v>242</v>
      </c>
      <c r="AH19" s="480"/>
      <c r="AI19" s="485"/>
    </row>
    <row r="20" spans="1:41" ht="30" customHeight="1">
      <c r="F20" s="479" t="s">
        <v>243</v>
      </c>
      <c r="G20" s="480"/>
      <c r="H20" s="480"/>
      <c r="I20" s="480"/>
      <c r="J20" s="480"/>
      <c r="K20" s="480"/>
      <c r="L20" s="480"/>
      <c r="M20" s="481"/>
      <c r="N20" s="481"/>
      <c r="O20" s="481"/>
      <c r="P20" s="481"/>
      <c r="Q20" s="481"/>
      <c r="R20" s="477" t="s">
        <v>233</v>
      </c>
      <c r="S20" s="477"/>
      <c r="T20" s="477"/>
      <c r="U20" s="480" t="s">
        <v>244</v>
      </c>
      <c r="V20" s="480"/>
      <c r="W20" s="480"/>
      <c r="X20" s="480"/>
      <c r="Y20" s="480"/>
      <c r="Z20" s="480"/>
      <c r="AA20" s="480"/>
      <c r="AB20" s="481"/>
      <c r="AC20" s="481"/>
      <c r="AD20" s="481"/>
      <c r="AE20" s="481"/>
      <c r="AF20" s="481"/>
      <c r="AG20" s="477" t="s">
        <v>245</v>
      </c>
      <c r="AH20" s="477"/>
      <c r="AI20" s="478"/>
    </row>
    <row r="21" spans="1:41" ht="30" customHeight="1">
      <c r="F21" s="479" t="s">
        <v>246</v>
      </c>
      <c r="G21" s="480"/>
      <c r="H21" s="480"/>
      <c r="I21" s="480"/>
      <c r="J21" s="480"/>
      <c r="K21" s="480"/>
      <c r="L21" s="480"/>
      <c r="M21" s="481"/>
      <c r="N21" s="481"/>
      <c r="O21" s="481"/>
      <c r="P21" s="481"/>
      <c r="Q21" s="481"/>
      <c r="R21" s="477" t="s">
        <v>227</v>
      </c>
      <c r="S21" s="477"/>
      <c r="T21" s="477"/>
      <c r="U21" s="480" t="s">
        <v>247</v>
      </c>
      <c r="V21" s="480"/>
      <c r="W21" s="480"/>
      <c r="X21" s="480"/>
      <c r="Y21" s="480"/>
      <c r="Z21" s="480"/>
      <c r="AA21" s="480"/>
      <c r="AB21" s="481"/>
      <c r="AC21" s="481"/>
      <c r="AD21" s="481"/>
      <c r="AE21" s="481"/>
      <c r="AF21" s="481"/>
      <c r="AG21" s="477" t="s">
        <v>248</v>
      </c>
      <c r="AH21" s="477"/>
      <c r="AI21" s="478"/>
    </row>
    <row r="22" spans="1:41" ht="30" customHeight="1">
      <c r="F22" s="479" t="s">
        <v>249</v>
      </c>
      <c r="G22" s="480"/>
      <c r="H22" s="480"/>
      <c r="I22" s="480"/>
      <c r="J22" s="480"/>
      <c r="K22" s="480"/>
      <c r="L22" s="480"/>
      <c r="M22" s="486"/>
      <c r="N22" s="487"/>
      <c r="O22" s="487"/>
      <c r="P22" s="487"/>
      <c r="Q22" s="487"/>
      <c r="R22" s="487"/>
      <c r="S22" s="487"/>
      <c r="T22" s="488"/>
      <c r="U22" s="480" t="s">
        <v>250</v>
      </c>
      <c r="V22" s="480"/>
      <c r="W22" s="480"/>
      <c r="X22" s="480"/>
      <c r="Y22" s="480"/>
      <c r="Z22" s="480"/>
      <c r="AA22" s="480"/>
      <c r="AB22" s="489"/>
      <c r="AC22" s="490"/>
      <c r="AD22" s="490"/>
      <c r="AE22" s="490"/>
      <c r="AF22" s="490"/>
      <c r="AG22" s="490"/>
      <c r="AH22" s="490"/>
      <c r="AI22" s="491"/>
    </row>
    <row r="23" spans="1:41" ht="30" customHeight="1" thickBot="1">
      <c r="F23" s="494" t="s">
        <v>251</v>
      </c>
      <c r="G23" s="495"/>
      <c r="H23" s="495"/>
      <c r="I23" s="495"/>
      <c r="J23" s="495"/>
      <c r="K23" s="495"/>
      <c r="L23" s="495"/>
      <c r="M23" s="496"/>
      <c r="N23" s="496"/>
      <c r="O23" s="496"/>
      <c r="P23" s="496"/>
      <c r="Q23" s="496"/>
      <c r="R23" s="492" t="s">
        <v>252</v>
      </c>
      <c r="S23" s="492"/>
      <c r="T23" s="492"/>
      <c r="U23" s="495" t="s">
        <v>253</v>
      </c>
      <c r="V23" s="495"/>
      <c r="W23" s="495"/>
      <c r="X23" s="495"/>
      <c r="Y23" s="495"/>
      <c r="Z23" s="495"/>
      <c r="AA23" s="495"/>
      <c r="AB23" s="496"/>
      <c r="AC23" s="496"/>
      <c r="AD23" s="496"/>
      <c r="AE23" s="496"/>
      <c r="AF23" s="496"/>
      <c r="AG23" s="492" t="s">
        <v>227</v>
      </c>
      <c r="AH23" s="492"/>
      <c r="AI23" s="493"/>
    </row>
    <row r="24" spans="1:41" ht="21" customHeight="1">
      <c r="F24" s="40" t="s">
        <v>254</v>
      </c>
      <c r="G24" s="41"/>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2"/>
    </row>
    <row r="25" spans="1:41" ht="45" customHeight="1" thickBot="1">
      <c r="F25" s="497"/>
      <c r="G25" s="498"/>
      <c r="H25" s="498"/>
      <c r="I25" s="498"/>
      <c r="J25" s="498"/>
      <c r="K25" s="498"/>
      <c r="L25" s="498"/>
      <c r="M25" s="498"/>
      <c r="N25" s="498"/>
      <c r="O25" s="498"/>
      <c r="P25" s="498"/>
      <c r="Q25" s="498"/>
      <c r="R25" s="498"/>
      <c r="S25" s="498"/>
      <c r="T25" s="498"/>
      <c r="U25" s="498"/>
      <c r="V25" s="498"/>
      <c r="W25" s="498"/>
      <c r="X25" s="498"/>
      <c r="Y25" s="498"/>
      <c r="Z25" s="498"/>
      <c r="AA25" s="498"/>
      <c r="AB25" s="498"/>
      <c r="AC25" s="498"/>
      <c r="AD25" s="498"/>
      <c r="AE25" s="498"/>
      <c r="AF25" s="498"/>
      <c r="AG25" s="498"/>
      <c r="AH25" s="498"/>
      <c r="AI25" s="499"/>
    </row>
    <row r="27" spans="1:41" ht="15.75" thickBot="1"/>
    <row r="28" spans="1:41">
      <c r="A28" s="47"/>
      <c r="B28" s="435" t="s">
        <v>255</v>
      </c>
      <c r="C28" s="437" t="s">
        <v>256</v>
      </c>
      <c r="D28" s="438"/>
      <c r="E28" s="438"/>
      <c r="F28" s="437" t="s">
        <v>257</v>
      </c>
      <c r="G28" s="441"/>
      <c r="H28" s="443" t="s">
        <v>258</v>
      </c>
      <c r="I28" s="444"/>
      <c r="J28" s="444"/>
      <c r="K28" s="444"/>
      <c r="L28" s="444"/>
      <c r="M28" s="444"/>
      <c r="N28" s="444"/>
      <c r="O28" s="444"/>
      <c r="P28" s="444"/>
      <c r="Q28" s="444"/>
      <c r="R28" s="444"/>
      <c r="S28" s="444"/>
      <c r="T28" s="444"/>
      <c r="U28" s="444"/>
      <c r="V28" s="444"/>
      <c r="W28" s="444"/>
      <c r="X28" s="444"/>
      <c r="Y28" s="444"/>
      <c r="Z28" s="444"/>
      <c r="AA28" s="444"/>
      <c r="AB28" s="444"/>
      <c r="AC28" s="444"/>
      <c r="AD28" s="444"/>
      <c r="AE28" s="444"/>
      <c r="AF28" s="444"/>
      <c r="AG28" s="444"/>
      <c r="AH28" s="444"/>
      <c r="AI28" s="444"/>
      <c r="AJ28" s="48"/>
      <c r="AK28" s="48"/>
      <c r="AL28" s="48"/>
      <c r="AM28" s="48"/>
      <c r="AN28" s="48"/>
      <c r="AO28" s="49"/>
    </row>
    <row r="29" spans="1:41" ht="15.75" thickBot="1">
      <c r="A29" s="50"/>
      <c r="B29" s="436"/>
      <c r="C29" s="439"/>
      <c r="D29" s="440"/>
      <c r="E29" s="440"/>
      <c r="F29" s="439"/>
      <c r="G29" s="442"/>
      <c r="H29" s="445"/>
      <c r="I29" s="446"/>
      <c r="J29" s="446"/>
      <c r="K29" s="446"/>
      <c r="L29" s="446"/>
      <c r="M29" s="446"/>
      <c r="N29" s="446"/>
      <c r="O29" s="446"/>
      <c r="P29" s="446"/>
      <c r="Q29" s="446"/>
      <c r="R29" s="446"/>
      <c r="S29" s="446"/>
      <c r="T29" s="446"/>
      <c r="U29" s="446"/>
      <c r="V29" s="446"/>
      <c r="W29" s="446"/>
      <c r="X29" s="446"/>
      <c r="Y29" s="446"/>
      <c r="Z29" s="446"/>
      <c r="AA29" s="446"/>
      <c r="AB29" s="446"/>
      <c r="AC29" s="446"/>
      <c r="AD29" s="446"/>
      <c r="AE29" s="446"/>
      <c r="AF29" s="446"/>
      <c r="AG29" s="446"/>
      <c r="AH29" s="446"/>
      <c r="AI29" s="446"/>
      <c r="AJ29" s="51"/>
      <c r="AK29" s="51"/>
      <c r="AL29" s="51"/>
      <c r="AM29" s="51"/>
      <c r="AN29" s="51"/>
      <c r="AO29" s="52"/>
    </row>
    <row r="30" spans="1:41" ht="15" customHeight="1">
      <c r="A30" s="447" t="s">
        <v>259</v>
      </c>
      <c r="B30" s="53">
        <v>1</v>
      </c>
      <c r="C30" s="450"/>
      <c r="D30" s="395"/>
      <c r="E30" s="396"/>
      <c r="F30" s="450"/>
      <c r="G30" s="403"/>
      <c r="H30" s="451" t="s">
        <v>260</v>
      </c>
      <c r="I30" s="394"/>
      <c r="J30" s="394"/>
      <c r="K30" s="396"/>
      <c r="L30" s="433"/>
      <c r="M30" s="434"/>
      <c r="N30" s="419" t="s">
        <v>261</v>
      </c>
      <c r="O30" s="452"/>
      <c r="P30" s="420"/>
      <c r="Q30" s="396"/>
      <c r="R30" s="433"/>
      <c r="S30" s="433"/>
      <c r="T30" s="434"/>
      <c r="U30" s="419" t="s">
        <v>262</v>
      </c>
      <c r="V30" s="452"/>
      <c r="W30" s="420"/>
      <c r="X30" s="453"/>
      <c r="Y30" s="454"/>
      <c r="Z30" s="7" t="s">
        <v>263</v>
      </c>
      <c r="AA30" s="62" t="s">
        <v>264</v>
      </c>
      <c r="AB30" s="455"/>
      <c r="AC30" s="456"/>
      <c r="AD30" s="16" t="s">
        <v>265</v>
      </c>
      <c r="AE30" s="402" t="s">
        <v>266</v>
      </c>
      <c r="AF30" s="402"/>
      <c r="AG30" s="402"/>
      <c r="AH30" s="396"/>
      <c r="AI30" s="433"/>
      <c r="AJ30" s="434"/>
      <c r="AK30" s="419" t="s">
        <v>267</v>
      </c>
      <c r="AL30" s="420"/>
      <c r="AM30" s="395"/>
      <c r="AN30" s="395"/>
      <c r="AO30" s="403"/>
    </row>
    <row r="31" spans="1:41">
      <c r="A31" s="448"/>
      <c r="B31" s="54">
        <v>2</v>
      </c>
      <c r="C31" s="404"/>
      <c r="D31" s="131"/>
      <c r="E31" s="312"/>
      <c r="F31" s="404"/>
      <c r="G31" s="132"/>
      <c r="H31" s="421" t="s">
        <v>260</v>
      </c>
      <c r="I31" s="422"/>
      <c r="J31" s="422"/>
      <c r="K31" s="423"/>
      <c r="L31" s="424"/>
      <c r="M31" s="425"/>
      <c r="N31" s="426" t="s">
        <v>261</v>
      </c>
      <c r="O31" s="427"/>
      <c r="P31" s="428"/>
      <c r="Q31" s="423"/>
      <c r="R31" s="424"/>
      <c r="S31" s="424"/>
      <c r="T31" s="425"/>
      <c r="U31" s="410" t="s">
        <v>262</v>
      </c>
      <c r="V31" s="414"/>
      <c r="W31" s="411"/>
      <c r="X31" s="429"/>
      <c r="Y31" s="430"/>
      <c r="Z31" s="10" t="s">
        <v>263</v>
      </c>
      <c r="AA31" s="63" t="s">
        <v>264</v>
      </c>
      <c r="AB31" s="431"/>
      <c r="AC31" s="432"/>
      <c r="AD31" s="19" t="s">
        <v>265</v>
      </c>
      <c r="AE31" s="134" t="s">
        <v>266</v>
      </c>
      <c r="AF31" s="134"/>
      <c r="AG31" s="134"/>
      <c r="AH31" s="312"/>
      <c r="AI31" s="313"/>
      <c r="AJ31" s="314"/>
      <c r="AK31" s="410" t="s">
        <v>267</v>
      </c>
      <c r="AL31" s="411"/>
      <c r="AM31" s="131"/>
      <c r="AN31" s="131"/>
      <c r="AO31" s="132"/>
    </row>
    <row r="32" spans="1:41">
      <c r="A32" s="448"/>
      <c r="B32" s="54">
        <v>3</v>
      </c>
      <c r="C32" s="404"/>
      <c r="D32" s="131"/>
      <c r="E32" s="312"/>
      <c r="F32" s="404"/>
      <c r="G32" s="132"/>
      <c r="H32" s="412" t="s">
        <v>260</v>
      </c>
      <c r="I32" s="413"/>
      <c r="J32" s="413"/>
      <c r="K32" s="312"/>
      <c r="L32" s="313"/>
      <c r="M32" s="314"/>
      <c r="N32" s="410" t="s">
        <v>261</v>
      </c>
      <c r="O32" s="414"/>
      <c r="P32" s="411"/>
      <c r="Q32" s="312"/>
      <c r="R32" s="313"/>
      <c r="S32" s="313"/>
      <c r="T32" s="314"/>
      <c r="U32" s="410" t="s">
        <v>262</v>
      </c>
      <c r="V32" s="414"/>
      <c r="W32" s="411"/>
      <c r="X32" s="415"/>
      <c r="Y32" s="416"/>
      <c r="Z32" s="8" t="s">
        <v>263</v>
      </c>
      <c r="AA32" s="64" t="s">
        <v>264</v>
      </c>
      <c r="AB32" s="417"/>
      <c r="AC32" s="418"/>
      <c r="AD32" s="17" t="s">
        <v>265</v>
      </c>
      <c r="AE32" s="134" t="s">
        <v>266</v>
      </c>
      <c r="AF32" s="134"/>
      <c r="AG32" s="134"/>
      <c r="AH32" s="312"/>
      <c r="AI32" s="313"/>
      <c r="AJ32" s="314"/>
      <c r="AK32" s="410" t="s">
        <v>267</v>
      </c>
      <c r="AL32" s="411"/>
      <c r="AM32" s="131"/>
      <c r="AN32" s="131"/>
      <c r="AO32" s="132"/>
    </row>
    <row r="33" spans="1:41">
      <c r="A33" s="448"/>
      <c r="B33" s="55">
        <v>4</v>
      </c>
      <c r="C33" s="404"/>
      <c r="D33" s="131"/>
      <c r="E33" s="312"/>
      <c r="F33" s="404"/>
      <c r="G33" s="132"/>
      <c r="H33" s="412" t="s">
        <v>260</v>
      </c>
      <c r="I33" s="413"/>
      <c r="J33" s="413"/>
      <c r="K33" s="312"/>
      <c r="L33" s="313"/>
      <c r="M33" s="314"/>
      <c r="N33" s="410" t="s">
        <v>261</v>
      </c>
      <c r="O33" s="414"/>
      <c r="P33" s="411"/>
      <c r="Q33" s="312"/>
      <c r="R33" s="313"/>
      <c r="S33" s="313"/>
      <c r="T33" s="314"/>
      <c r="U33" s="410" t="s">
        <v>262</v>
      </c>
      <c r="V33" s="414"/>
      <c r="W33" s="411"/>
      <c r="X33" s="415"/>
      <c r="Y33" s="416"/>
      <c r="Z33" s="8" t="s">
        <v>263</v>
      </c>
      <c r="AA33" s="64" t="s">
        <v>264</v>
      </c>
      <c r="AB33" s="417"/>
      <c r="AC33" s="418"/>
      <c r="AD33" s="17" t="s">
        <v>265</v>
      </c>
      <c r="AE33" s="134" t="s">
        <v>266</v>
      </c>
      <c r="AF33" s="134"/>
      <c r="AG33" s="134"/>
      <c r="AH33" s="312"/>
      <c r="AI33" s="313"/>
      <c r="AJ33" s="314"/>
      <c r="AK33" s="410" t="s">
        <v>267</v>
      </c>
      <c r="AL33" s="411"/>
      <c r="AM33" s="131"/>
      <c r="AN33" s="131"/>
      <c r="AO33" s="132"/>
    </row>
    <row r="34" spans="1:41" ht="15" customHeight="1">
      <c r="A34" s="448"/>
      <c r="B34" s="55">
        <v>5</v>
      </c>
      <c r="C34" s="404"/>
      <c r="D34" s="131"/>
      <c r="E34" s="312"/>
      <c r="F34" s="404"/>
      <c r="G34" s="132"/>
      <c r="H34" s="412" t="s">
        <v>260</v>
      </c>
      <c r="I34" s="413"/>
      <c r="J34" s="413"/>
      <c r="K34" s="312"/>
      <c r="L34" s="313"/>
      <c r="M34" s="314"/>
      <c r="N34" s="410" t="s">
        <v>261</v>
      </c>
      <c r="O34" s="414"/>
      <c r="P34" s="411"/>
      <c r="Q34" s="312"/>
      <c r="R34" s="313"/>
      <c r="S34" s="313"/>
      <c r="T34" s="314"/>
      <c r="U34" s="410" t="s">
        <v>262</v>
      </c>
      <c r="V34" s="414"/>
      <c r="W34" s="411"/>
      <c r="X34" s="415"/>
      <c r="Y34" s="416"/>
      <c r="Z34" s="8" t="s">
        <v>263</v>
      </c>
      <c r="AA34" s="64" t="s">
        <v>264</v>
      </c>
      <c r="AB34" s="417"/>
      <c r="AC34" s="418"/>
      <c r="AD34" s="17" t="s">
        <v>265</v>
      </c>
      <c r="AE34" s="134" t="s">
        <v>266</v>
      </c>
      <c r="AF34" s="134"/>
      <c r="AG34" s="134"/>
      <c r="AH34" s="312"/>
      <c r="AI34" s="313"/>
      <c r="AJ34" s="314"/>
      <c r="AK34" s="410" t="s">
        <v>267</v>
      </c>
      <c r="AL34" s="411"/>
      <c r="AM34" s="131"/>
      <c r="AN34" s="131"/>
      <c r="AO34" s="132"/>
    </row>
    <row r="35" spans="1:41">
      <c r="A35" s="448"/>
      <c r="B35" s="55">
        <v>6</v>
      </c>
      <c r="C35" s="404"/>
      <c r="D35" s="131"/>
      <c r="E35" s="312"/>
      <c r="F35" s="404"/>
      <c r="G35" s="132"/>
      <c r="H35" s="412" t="s">
        <v>260</v>
      </c>
      <c r="I35" s="413"/>
      <c r="J35" s="413"/>
      <c r="K35" s="312"/>
      <c r="L35" s="313"/>
      <c r="M35" s="314"/>
      <c r="N35" s="410" t="s">
        <v>261</v>
      </c>
      <c r="O35" s="414"/>
      <c r="P35" s="411"/>
      <c r="Q35" s="312"/>
      <c r="R35" s="313"/>
      <c r="S35" s="313"/>
      <c r="T35" s="314"/>
      <c r="U35" s="410" t="s">
        <v>262</v>
      </c>
      <c r="V35" s="414"/>
      <c r="W35" s="411"/>
      <c r="X35" s="415"/>
      <c r="Y35" s="416"/>
      <c r="Z35" s="8" t="s">
        <v>263</v>
      </c>
      <c r="AA35" s="64" t="s">
        <v>264</v>
      </c>
      <c r="AB35" s="417"/>
      <c r="AC35" s="418"/>
      <c r="AD35" s="17" t="s">
        <v>265</v>
      </c>
      <c r="AE35" s="134" t="s">
        <v>266</v>
      </c>
      <c r="AF35" s="134"/>
      <c r="AG35" s="134"/>
      <c r="AH35" s="312"/>
      <c r="AI35" s="313"/>
      <c r="AJ35" s="314"/>
      <c r="AK35" s="410" t="s">
        <v>267</v>
      </c>
      <c r="AL35" s="411"/>
      <c r="AM35" s="131"/>
      <c r="AN35" s="131"/>
      <c r="AO35" s="132"/>
    </row>
    <row r="36" spans="1:41" ht="15.75" customHeight="1" thickBot="1">
      <c r="A36" s="449"/>
      <c r="B36" s="56">
        <v>7</v>
      </c>
      <c r="C36" s="405"/>
      <c r="D36" s="126"/>
      <c r="E36" s="406"/>
      <c r="F36" s="405"/>
      <c r="G36" s="127"/>
      <c r="H36" s="407" t="s">
        <v>260</v>
      </c>
      <c r="I36" s="408"/>
      <c r="J36" s="408"/>
      <c r="K36" s="386"/>
      <c r="L36" s="387"/>
      <c r="M36" s="388"/>
      <c r="N36" s="382" t="s">
        <v>261</v>
      </c>
      <c r="O36" s="409"/>
      <c r="P36" s="383"/>
      <c r="Q36" s="386"/>
      <c r="R36" s="387"/>
      <c r="S36" s="387"/>
      <c r="T36" s="388"/>
      <c r="U36" s="410" t="s">
        <v>262</v>
      </c>
      <c r="V36" s="414"/>
      <c r="W36" s="411"/>
      <c r="X36" s="389"/>
      <c r="Y36" s="390"/>
      <c r="Z36" s="20" t="s">
        <v>263</v>
      </c>
      <c r="AA36" s="65" t="s">
        <v>264</v>
      </c>
      <c r="AB36" s="391"/>
      <c r="AC36" s="392"/>
      <c r="AD36" s="21" t="s">
        <v>265</v>
      </c>
      <c r="AE36" s="393" t="s">
        <v>266</v>
      </c>
      <c r="AF36" s="393"/>
      <c r="AG36" s="393"/>
      <c r="AH36" s="386"/>
      <c r="AI36" s="387"/>
      <c r="AJ36" s="388"/>
      <c r="AK36" s="382" t="s">
        <v>267</v>
      </c>
      <c r="AL36" s="383"/>
      <c r="AM36" s="384"/>
      <c r="AN36" s="384"/>
      <c r="AO36" s="385"/>
    </row>
    <row r="37" spans="1:41">
      <c r="A37" s="500" t="s">
        <v>268</v>
      </c>
      <c r="B37" s="57">
        <v>1</v>
      </c>
      <c r="C37" s="450"/>
      <c r="D37" s="395"/>
      <c r="E37" s="396"/>
      <c r="F37" s="450"/>
      <c r="G37" s="396"/>
      <c r="H37" s="451" t="s">
        <v>269</v>
      </c>
      <c r="I37" s="394"/>
      <c r="J37" s="394"/>
      <c r="K37" s="505"/>
      <c r="L37" s="505"/>
      <c r="M37" s="505"/>
      <c r="N37" s="505"/>
      <c r="O37" s="505"/>
      <c r="P37" s="505"/>
      <c r="Q37" s="505"/>
      <c r="R37" s="505"/>
      <c r="S37" s="505"/>
      <c r="T37" s="505"/>
      <c r="U37" s="402" t="s">
        <v>270</v>
      </c>
      <c r="V37" s="402"/>
      <c r="W37" s="402"/>
      <c r="X37" s="395"/>
      <c r="Y37" s="395"/>
      <c r="Z37" s="395"/>
      <c r="AA37" s="395"/>
      <c r="AB37" s="395"/>
      <c r="AC37" s="395"/>
      <c r="AD37" s="395"/>
      <c r="AE37" s="395"/>
      <c r="AF37" s="395"/>
      <c r="AG37" s="395"/>
      <c r="AH37" s="395"/>
      <c r="AI37" s="395"/>
      <c r="AJ37" s="395"/>
      <c r="AK37" s="402" t="s">
        <v>267</v>
      </c>
      <c r="AL37" s="402"/>
      <c r="AM37" s="395"/>
      <c r="AN37" s="395"/>
      <c r="AO37" s="403"/>
    </row>
    <row r="38" spans="1:41">
      <c r="A38" s="501"/>
      <c r="B38" s="58">
        <v>2</v>
      </c>
      <c r="C38" s="404"/>
      <c r="D38" s="131"/>
      <c r="E38" s="312"/>
      <c r="F38" s="404"/>
      <c r="G38" s="312"/>
      <c r="H38" s="412" t="s">
        <v>269</v>
      </c>
      <c r="I38" s="413"/>
      <c r="J38" s="413"/>
      <c r="K38" s="506"/>
      <c r="L38" s="506"/>
      <c r="M38" s="506"/>
      <c r="N38" s="506"/>
      <c r="O38" s="506"/>
      <c r="P38" s="506"/>
      <c r="Q38" s="506"/>
      <c r="R38" s="506"/>
      <c r="S38" s="506"/>
      <c r="T38" s="506"/>
      <c r="U38" s="134" t="s">
        <v>270</v>
      </c>
      <c r="V38" s="134"/>
      <c r="W38" s="134"/>
      <c r="X38" s="131"/>
      <c r="Y38" s="131"/>
      <c r="Z38" s="131"/>
      <c r="AA38" s="131"/>
      <c r="AB38" s="131"/>
      <c r="AC38" s="131"/>
      <c r="AD38" s="131"/>
      <c r="AE38" s="131"/>
      <c r="AF38" s="131"/>
      <c r="AG38" s="131"/>
      <c r="AH38" s="131"/>
      <c r="AI38" s="131"/>
      <c r="AJ38" s="131"/>
      <c r="AK38" s="134" t="s">
        <v>267</v>
      </c>
      <c r="AL38" s="134"/>
      <c r="AM38" s="131"/>
      <c r="AN38" s="131"/>
      <c r="AO38" s="132"/>
    </row>
    <row r="39" spans="1:41" ht="15.75" thickBot="1">
      <c r="A39" s="502"/>
      <c r="B39" s="59">
        <v>3</v>
      </c>
      <c r="C39" s="405"/>
      <c r="D39" s="126"/>
      <c r="E39" s="406"/>
      <c r="F39" s="405"/>
      <c r="G39" s="406"/>
      <c r="H39" s="503" t="s">
        <v>269</v>
      </c>
      <c r="I39" s="504"/>
      <c r="J39" s="504"/>
      <c r="K39" s="507"/>
      <c r="L39" s="507"/>
      <c r="M39" s="507"/>
      <c r="N39" s="507"/>
      <c r="O39" s="507"/>
      <c r="P39" s="507"/>
      <c r="Q39" s="507"/>
      <c r="R39" s="507"/>
      <c r="S39" s="507"/>
      <c r="T39" s="507"/>
      <c r="U39" s="393" t="s">
        <v>270</v>
      </c>
      <c r="V39" s="393"/>
      <c r="W39" s="393"/>
      <c r="X39" s="384"/>
      <c r="Y39" s="384"/>
      <c r="Z39" s="384"/>
      <c r="AA39" s="384"/>
      <c r="AB39" s="384"/>
      <c r="AC39" s="384"/>
      <c r="AD39" s="384"/>
      <c r="AE39" s="384"/>
      <c r="AF39" s="384"/>
      <c r="AG39" s="384"/>
      <c r="AH39" s="384"/>
      <c r="AI39" s="384"/>
      <c r="AJ39" s="384"/>
      <c r="AK39" s="393" t="s">
        <v>267</v>
      </c>
      <c r="AL39" s="393"/>
      <c r="AM39" s="384"/>
      <c r="AN39" s="384"/>
      <c r="AO39" s="385"/>
    </row>
    <row r="40" spans="1:41" ht="15" customHeight="1">
      <c r="A40" s="447" t="s">
        <v>271</v>
      </c>
      <c r="B40" s="53">
        <v>1</v>
      </c>
      <c r="C40" s="450"/>
      <c r="D40" s="395"/>
      <c r="E40" s="396"/>
      <c r="F40" s="450"/>
      <c r="G40" s="396"/>
      <c r="H40" s="451" t="s">
        <v>272</v>
      </c>
      <c r="I40" s="394"/>
      <c r="J40" s="394"/>
      <c r="K40" s="395"/>
      <c r="L40" s="396"/>
      <c r="M40" s="397" t="s">
        <v>110</v>
      </c>
      <c r="N40" s="524"/>
      <c r="O40" s="394" t="s">
        <v>273</v>
      </c>
      <c r="P40" s="394"/>
      <c r="Q40" s="394"/>
      <c r="R40" s="395"/>
      <c r="S40" s="396"/>
      <c r="T40" s="397" t="s">
        <v>274</v>
      </c>
      <c r="U40" s="398"/>
      <c r="V40" s="399"/>
      <c r="W40" s="400"/>
      <c r="X40" s="401"/>
      <c r="Y40" s="402" t="s">
        <v>262</v>
      </c>
      <c r="Z40" s="402"/>
      <c r="AA40" s="402"/>
      <c r="AB40" s="455"/>
      <c r="AC40" s="456"/>
      <c r="AD40" s="7" t="s">
        <v>263</v>
      </c>
      <c r="AE40" s="402" t="s">
        <v>113</v>
      </c>
      <c r="AF40" s="402"/>
      <c r="AG40" s="402"/>
      <c r="AH40" s="395"/>
      <c r="AI40" s="396"/>
      <c r="AJ40" s="11" t="s">
        <v>114</v>
      </c>
      <c r="AK40" s="402" t="s">
        <v>267</v>
      </c>
      <c r="AL40" s="402"/>
      <c r="AM40" s="395"/>
      <c r="AN40" s="395"/>
      <c r="AO40" s="403"/>
    </row>
    <row r="41" spans="1:41">
      <c r="A41" s="448"/>
      <c r="B41" s="54">
        <v>2</v>
      </c>
      <c r="C41" s="404"/>
      <c r="D41" s="131"/>
      <c r="E41" s="312"/>
      <c r="F41" s="404"/>
      <c r="G41" s="312"/>
      <c r="H41" s="412" t="s">
        <v>272</v>
      </c>
      <c r="I41" s="413"/>
      <c r="J41" s="413"/>
      <c r="K41" s="131"/>
      <c r="L41" s="312"/>
      <c r="M41" s="510" t="s">
        <v>110</v>
      </c>
      <c r="N41" s="525"/>
      <c r="O41" s="413" t="s">
        <v>273</v>
      </c>
      <c r="P41" s="413"/>
      <c r="Q41" s="413"/>
      <c r="R41" s="131"/>
      <c r="S41" s="312"/>
      <c r="T41" s="510" t="s">
        <v>274</v>
      </c>
      <c r="U41" s="511"/>
      <c r="V41" s="512"/>
      <c r="W41" s="513"/>
      <c r="X41" s="514"/>
      <c r="Y41" s="134" t="s">
        <v>262</v>
      </c>
      <c r="Z41" s="134"/>
      <c r="AA41" s="134"/>
      <c r="AB41" s="417"/>
      <c r="AC41" s="418"/>
      <c r="AD41" s="8" t="s">
        <v>263</v>
      </c>
      <c r="AE41" s="134" t="s">
        <v>113</v>
      </c>
      <c r="AF41" s="134"/>
      <c r="AG41" s="134"/>
      <c r="AH41" s="131"/>
      <c r="AI41" s="312"/>
      <c r="AJ41" s="12" t="s">
        <v>114</v>
      </c>
      <c r="AK41" s="134" t="s">
        <v>267</v>
      </c>
      <c r="AL41" s="134"/>
      <c r="AM41" s="131"/>
      <c r="AN41" s="131"/>
      <c r="AO41" s="132"/>
    </row>
    <row r="42" spans="1:41">
      <c r="A42" s="448"/>
      <c r="B42" s="54">
        <v>3</v>
      </c>
      <c r="C42" s="404"/>
      <c r="D42" s="131"/>
      <c r="E42" s="312"/>
      <c r="F42" s="404"/>
      <c r="G42" s="312"/>
      <c r="H42" s="412" t="s">
        <v>272</v>
      </c>
      <c r="I42" s="413"/>
      <c r="J42" s="413"/>
      <c r="K42" s="131"/>
      <c r="L42" s="312"/>
      <c r="M42" s="510" t="s">
        <v>110</v>
      </c>
      <c r="N42" s="525"/>
      <c r="O42" s="413" t="s">
        <v>273</v>
      </c>
      <c r="P42" s="413"/>
      <c r="Q42" s="413"/>
      <c r="R42" s="131"/>
      <c r="S42" s="312"/>
      <c r="T42" s="510" t="s">
        <v>274</v>
      </c>
      <c r="U42" s="511"/>
      <c r="V42" s="512"/>
      <c r="W42" s="513"/>
      <c r="X42" s="514"/>
      <c r="Y42" s="134" t="s">
        <v>262</v>
      </c>
      <c r="Z42" s="134"/>
      <c r="AA42" s="134"/>
      <c r="AB42" s="417"/>
      <c r="AC42" s="418"/>
      <c r="AD42" s="8" t="s">
        <v>263</v>
      </c>
      <c r="AE42" s="134" t="s">
        <v>113</v>
      </c>
      <c r="AF42" s="134"/>
      <c r="AG42" s="134"/>
      <c r="AH42" s="131"/>
      <c r="AI42" s="312"/>
      <c r="AJ42" s="12" t="s">
        <v>114</v>
      </c>
      <c r="AK42" s="134" t="s">
        <v>267</v>
      </c>
      <c r="AL42" s="134"/>
      <c r="AM42" s="131"/>
      <c r="AN42" s="131"/>
      <c r="AO42" s="132"/>
    </row>
    <row r="43" spans="1:41" ht="15.75" thickBot="1">
      <c r="A43" s="449"/>
      <c r="B43" s="56">
        <v>4</v>
      </c>
      <c r="C43" s="405"/>
      <c r="D43" s="126"/>
      <c r="E43" s="406"/>
      <c r="F43" s="405"/>
      <c r="G43" s="406"/>
      <c r="H43" s="522" t="s">
        <v>272</v>
      </c>
      <c r="I43" s="523"/>
      <c r="J43" s="523"/>
      <c r="K43" s="126"/>
      <c r="L43" s="406"/>
      <c r="M43" s="526" t="s">
        <v>110</v>
      </c>
      <c r="N43" s="527"/>
      <c r="O43" s="515" t="s">
        <v>273</v>
      </c>
      <c r="P43" s="515"/>
      <c r="Q43" s="515"/>
      <c r="R43" s="516"/>
      <c r="S43" s="423"/>
      <c r="T43" s="517" t="s">
        <v>274</v>
      </c>
      <c r="U43" s="518"/>
      <c r="V43" s="519"/>
      <c r="W43" s="520"/>
      <c r="X43" s="521"/>
      <c r="Y43" s="125" t="s">
        <v>262</v>
      </c>
      <c r="Z43" s="125"/>
      <c r="AA43" s="125"/>
      <c r="AB43" s="508"/>
      <c r="AC43" s="509"/>
      <c r="AD43" s="9" t="s">
        <v>263</v>
      </c>
      <c r="AE43" s="125" t="s">
        <v>113</v>
      </c>
      <c r="AF43" s="125"/>
      <c r="AG43" s="125"/>
      <c r="AH43" s="126"/>
      <c r="AI43" s="406"/>
      <c r="AJ43" s="13" t="s">
        <v>114</v>
      </c>
      <c r="AK43" s="125" t="s">
        <v>267</v>
      </c>
      <c r="AL43" s="125"/>
      <c r="AM43" s="126"/>
      <c r="AN43" s="126"/>
      <c r="AO43" s="127"/>
    </row>
    <row r="44" spans="1:41" ht="15" customHeight="1">
      <c r="A44" s="447" t="s">
        <v>275</v>
      </c>
      <c r="B44" s="58">
        <v>1</v>
      </c>
      <c r="C44" s="450"/>
      <c r="D44" s="395"/>
      <c r="E44" s="396"/>
      <c r="F44" s="450"/>
      <c r="G44" s="396"/>
      <c r="H44" s="528" t="s">
        <v>276</v>
      </c>
      <c r="I44" s="402"/>
      <c r="J44" s="402"/>
      <c r="K44" s="396"/>
      <c r="L44" s="433"/>
      <c r="M44" s="433"/>
      <c r="N44" s="434"/>
      <c r="O44" s="549" t="s">
        <v>277</v>
      </c>
      <c r="P44" s="550"/>
      <c r="Q44" s="551"/>
      <c r="R44" s="396"/>
      <c r="S44" s="433"/>
      <c r="T44" s="433"/>
      <c r="U44" s="549" t="s">
        <v>278</v>
      </c>
      <c r="V44" s="550"/>
      <c r="W44" s="551"/>
      <c r="X44" s="396"/>
      <c r="Y44" s="433"/>
      <c r="Z44" s="433"/>
      <c r="AA44" s="16" t="s">
        <v>279</v>
      </c>
      <c r="AB44" s="399"/>
      <c r="AC44" s="400"/>
      <c r="AD44" s="400"/>
      <c r="AE44" s="400"/>
      <c r="AF44" s="400"/>
      <c r="AG44" s="400"/>
      <c r="AH44" s="400"/>
      <c r="AI44" s="400"/>
      <c r="AJ44" s="401"/>
      <c r="AK44" s="402" t="s">
        <v>267</v>
      </c>
      <c r="AL44" s="402"/>
      <c r="AM44" s="395"/>
      <c r="AN44" s="395"/>
      <c r="AO44" s="403"/>
    </row>
    <row r="45" spans="1:41" ht="15" customHeight="1">
      <c r="A45" s="448"/>
      <c r="B45" s="55">
        <v>2</v>
      </c>
      <c r="C45" s="404"/>
      <c r="D45" s="131"/>
      <c r="E45" s="312"/>
      <c r="F45" s="404"/>
      <c r="G45" s="312"/>
      <c r="H45" s="133" t="s">
        <v>276</v>
      </c>
      <c r="I45" s="134"/>
      <c r="J45" s="134"/>
      <c r="K45" s="312"/>
      <c r="L45" s="313"/>
      <c r="M45" s="313"/>
      <c r="N45" s="314"/>
      <c r="O45" s="552" t="s">
        <v>277</v>
      </c>
      <c r="P45" s="553"/>
      <c r="Q45" s="554"/>
      <c r="R45" s="312"/>
      <c r="S45" s="313"/>
      <c r="T45" s="313"/>
      <c r="U45" s="552" t="s">
        <v>278</v>
      </c>
      <c r="V45" s="553"/>
      <c r="W45" s="554"/>
      <c r="X45" s="312"/>
      <c r="Y45" s="313"/>
      <c r="Z45" s="313"/>
      <c r="AA45" s="17" t="s">
        <v>279</v>
      </c>
      <c r="AB45" s="512"/>
      <c r="AC45" s="513"/>
      <c r="AD45" s="513"/>
      <c r="AE45" s="513"/>
      <c r="AF45" s="513"/>
      <c r="AG45" s="513"/>
      <c r="AH45" s="513"/>
      <c r="AI45" s="513"/>
      <c r="AJ45" s="514"/>
      <c r="AK45" s="134" t="s">
        <v>267</v>
      </c>
      <c r="AL45" s="134"/>
      <c r="AM45" s="131"/>
      <c r="AN45" s="131"/>
      <c r="AO45" s="132"/>
    </row>
    <row r="46" spans="1:41" ht="15.75" customHeight="1" thickBot="1">
      <c r="A46" s="448"/>
      <c r="B46" s="55">
        <v>3</v>
      </c>
      <c r="C46" s="530"/>
      <c r="D46" s="384"/>
      <c r="E46" s="386"/>
      <c r="F46" s="530"/>
      <c r="G46" s="386"/>
      <c r="H46" s="529" t="s">
        <v>276</v>
      </c>
      <c r="I46" s="393"/>
      <c r="J46" s="393"/>
      <c r="K46" s="386"/>
      <c r="L46" s="387"/>
      <c r="M46" s="387"/>
      <c r="N46" s="388"/>
      <c r="O46" s="531" t="s">
        <v>277</v>
      </c>
      <c r="P46" s="532"/>
      <c r="Q46" s="533"/>
      <c r="R46" s="534"/>
      <c r="S46" s="535"/>
      <c r="T46" s="535"/>
      <c r="U46" s="531" t="s">
        <v>278</v>
      </c>
      <c r="V46" s="532"/>
      <c r="W46" s="533"/>
      <c r="X46" s="534"/>
      <c r="Y46" s="535"/>
      <c r="Z46" s="535"/>
      <c r="AA46" s="21" t="s">
        <v>279</v>
      </c>
      <c r="AB46" s="544"/>
      <c r="AC46" s="545"/>
      <c r="AD46" s="545"/>
      <c r="AE46" s="545"/>
      <c r="AF46" s="545"/>
      <c r="AG46" s="545"/>
      <c r="AH46" s="545"/>
      <c r="AI46" s="545"/>
      <c r="AJ46" s="546"/>
      <c r="AK46" s="393" t="s">
        <v>267</v>
      </c>
      <c r="AL46" s="393"/>
      <c r="AM46" s="384"/>
      <c r="AN46" s="384"/>
      <c r="AO46" s="385"/>
    </row>
    <row r="47" spans="1:41">
      <c r="A47" s="60"/>
      <c r="B47" s="547" t="s">
        <v>280</v>
      </c>
      <c r="C47" s="548"/>
      <c r="D47" s="548"/>
      <c r="E47" s="548"/>
      <c r="F47" s="548"/>
      <c r="G47" s="536"/>
      <c r="H47" s="536"/>
      <c r="I47" s="536"/>
      <c r="J47" s="536"/>
      <c r="K47" s="536"/>
      <c r="L47" s="548" t="s">
        <v>281</v>
      </c>
      <c r="M47" s="548"/>
      <c r="N47" s="548"/>
      <c r="O47" s="548"/>
      <c r="P47" s="548"/>
      <c r="Q47" s="536"/>
      <c r="R47" s="536"/>
      <c r="S47" s="536"/>
      <c r="T47" s="536"/>
      <c r="U47" s="536"/>
      <c r="V47" s="548" t="s">
        <v>282</v>
      </c>
      <c r="W47" s="548"/>
      <c r="X47" s="548"/>
      <c r="Y47" s="548"/>
      <c r="Z47" s="548"/>
      <c r="AA47" s="536"/>
      <c r="AB47" s="536"/>
      <c r="AC47" s="536"/>
      <c r="AD47" s="536"/>
      <c r="AE47" s="536"/>
      <c r="AF47" s="548" t="s">
        <v>283</v>
      </c>
      <c r="AG47" s="548"/>
      <c r="AH47" s="548"/>
      <c r="AI47" s="548"/>
      <c r="AJ47" s="548"/>
      <c r="AK47" s="536"/>
      <c r="AL47" s="536"/>
      <c r="AM47" s="536"/>
      <c r="AN47" s="536"/>
      <c r="AO47" s="537"/>
    </row>
    <row r="48" spans="1:41" ht="15.75" thickBot="1">
      <c r="A48" s="61"/>
      <c r="B48" s="538" t="s">
        <v>284</v>
      </c>
      <c r="C48" s="539"/>
      <c r="D48" s="539"/>
      <c r="E48" s="539"/>
      <c r="F48" s="539"/>
      <c r="G48" s="540"/>
      <c r="H48" s="540"/>
      <c r="I48" s="540"/>
      <c r="J48" s="540"/>
      <c r="K48" s="540"/>
      <c r="L48" s="539" t="s">
        <v>285</v>
      </c>
      <c r="M48" s="539"/>
      <c r="N48" s="539"/>
      <c r="O48" s="539"/>
      <c r="P48" s="539"/>
      <c r="Q48" s="540"/>
      <c r="R48" s="540"/>
      <c r="S48" s="540"/>
      <c r="T48" s="540"/>
      <c r="U48" s="540"/>
      <c r="V48" s="541"/>
      <c r="W48" s="542"/>
      <c r="X48" s="542"/>
      <c r="Y48" s="542"/>
      <c r="Z48" s="542"/>
      <c r="AA48" s="542"/>
      <c r="AB48" s="542"/>
      <c r="AC48" s="542"/>
      <c r="AD48" s="542"/>
      <c r="AE48" s="542"/>
      <c r="AF48" s="542"/>
      <c r="AG48" s="542"/>
      <c r="AH48" s="542"/>
      <c r="AI48" s="542"/>
      <c r="AJ48" s="542"/>
      <c r="AK48" s="542"/>
      <c r="AL48" s="542"/>
      <c r="AM48" s="542"/>
      <c r="AN48" s="542"/>
      <c r="AO48" s="543"/>
    </row>
  </sheetData>
  <sheetProtection sheet="1" objects="1" scenarios="1"/>
  <mergeCells count="312">
    <mergeCell ref="AK47:AO47"/>
    <mergeCell ref="B48:F48"/>
    <mergeCell ref="G48:K48"/>
    <mergeCell ref="L48:P48"/>
    <mergeCell ref="Q48:U48"/>
    <mergeCell ref="V48:AO48"/>
    <mergeCell ref="AB44:AJ44"/>
    <mergeCell ref="AB45:AJ45"/>
    <mergeCell ref="AB46:AJ46"/>
    <mergeCell ref="B47:F47"/>
    <mergeCell ref="G47:K47"/>
    <mergeCell ref="L47:P47"/>
    <mergeCell ref="Q47:U47"/>
    <mergeCell ref="V47:Z47"/>
    <mergeCell ref="AA47:AE47"/>
    <mergeCell ref="AF47:AJ47"/>
    <mergeCell ref="K46:N46"/>
    <mergeCell ref="O44:Q44"/>
    <mergeCell ref="O45:Q45"/>
    <mergeCell ref="O46:Q46"/>
    <mergeCell ref="U44:W44"/>
    <mergeCell ref="X44:Z44"/>
    <mergeCell ref="U45:W45"/>
    <mergeCell ref="X45:Z45"/>
    <mergeCell ref="U46:W46"/>
    <mergeCell ref="X46:Z46"/>
    <mergeCell ref="R44:T44"/>
    <mergeCell ref="R45:T45"/>
    <mergeCell ref="R46:T46"/>
    <mergeCell ref="AK44:AL44"/>
    <mergeCell ref="AM44:AO44"/>
    <mergeCell ref="AK45:AL45"/>
    <mergeCell ref="AM45:AO45"/>
    <mergeCell ref="AK46:AL46"/>
    <mergeCell ref="AM46:AO46"/>
    <mergeCell ref="A44:A46"/>
    <mergeCell ref="H44:J44"/>
    <mergeCell ref="H45:J45"/>
    <mergeCell ref="H46:J46"/>
    <mergeCell ref="C44:E44"/>
    <mergeCell ref="F44:G44"/>
    <mergeCell ref="C45:E45"/>
    <mergeCell ref="F45:G45"/>
    <mergeCell ref="C46:E46"/>
    <mergeCell ref="F46:G46"/>
    <mergeCell ref="K44:N44"/>
    <mergeCell ref="K45:N45"/>
    <mergeCell ref="H41:J41"/>
    <mergeCell ref="H42:J42"/>
    <mergeCell ref="H43:J43"/>
    <mergeCell ref="M40:N40"/>
    <mergeCell ref="M41:N41"/>
    <mergeCell ref="M42:N42"/>
    <mergeCell ref="M43:N43"/>
    <mergeCell ref="K40:L40"/>
    <mergeCell ref="K41:L41"/>
    <mergeCell ref="K42:L42"/>
    <mergeCell ref="K43:L43"/>
    <mergeCell ref="R42:S42"/>
    <mergeCell ref="T42:U42"/>
    <mergeCell ref="V42:X42"/>
    <mergeCell ref="O43:Q43"/>
    <mergeCell ref="R43:S43"/>
    <mergeCell ref="T43:U43"/>
    <mergeCell ref="V43:X43"/>
    <mergeCell ref="C40:E40"/>
    <mergeCell ref="F40:G40"/>
    <mergeCell ref="C41:E41"/>
    <mergeCell ref="F41:G41"/>
    <mergeCell ref="C42:E42"/>
    <mergeCell ref="F42:G42"/>
    <mergeCell ref="C43:E43"/>
    <mergeCell ref="F43:G43"/>
    <mergeCell ref="H40:J40"/>
    <mergeCell ref="AE43:AG43"/>
    <mergeCell ref="AH43:AI43"/>
    <mergeCell ref="U30:W30"/>
    <mergeCell ref="U31:W31"/>
    <mergeCell ref="U32:W32"/>
    <mergeCell ref="U33:W33"/>
    <mergeCell ref="U34:W34"/>
    <mergeCell ref="U35:W35"/>
    <mergeCell ref="U36:W36"/>
    <mergeCell ref="Y40:AA40"/>
    <mergeCell ref="Y41:AA41"/>
    <mergeCell ref="Y42:AA42"/>
    <mergeCell ref="Y43:AA43"/>
    <mergeCell ref="AE34:AG34"/>
    <mergeCell ref="A40:A43"/>
    <mergeCell ref="AK40:AL40"/>
    <mergeCell ref="AM40:AO40"/>
    <mergeCell ref="AK41:AL41"/>
    <mergeCell ref="AM41:AO41"/>
    <mergeCell ref="AK42:AL42"/>
    <mergeCell ref="AM42:AO42"/>
    <mergeCell ref="AK43:AL43"/>
    <mergeCell ref="AM43:AO43"/>
    <mergeCell ref="AB40:AC40"/>
    <mergeCell ref="AE40:AG40"/>
    <mergeCell ref="AH40:AI40"/>
    <mergeCell ref="AB41:AC41"/>
    <mergeCell ref="AE41:AG41"/>
    <mergeCell ref="AH41:AI41"/>
    <mergeCell ref="AB42:AC42"/>
    <mergeCell ref="AE42:AG42"/>
    <mergeCell ref="AH42:AI42"/>
    <mergeCell ref="AB43:AC43"/>
    <mergeCell ref="O41:Q41"/>
    <mergeCell ref="R41:S41"/>
    <mergeCell ref="T41:U41"/>
    <mergeCell ref="V41:X41"/>
    <mergeCell ref="O42:Q42"/>
    <mergeCell ref="AG23:AI23"/>
    <mergeCell ref="F23:L23"/>
    <mergeCell ref="M23:Q23"/>
    <mergeCell ref="R23:T23"/>
    <mergeCell ref="U23:AA23"/>
    <mergeCell ref="AB23:AF23"/>
    <mergeCell ref="F25:AI25"/>
    <mergeCell ref="A37:A39"/>
    <mergeCell ref="H37:J37"/>
    <mergeCell ref="H38:J38"/>
    <mergeCell ref="H39:J39"/>
    <mergeCell ref="U37:W37"/>
    <mergeCell ref="U39:W39"/>
    <mergeCell ref="U38:W38"/>
    <mergeCell ref="C37:E37"/>
    <mergeCell ref="F37:G37"/>
    <mergeCell ref="C38:E38"/>
    <mergeCell ref="F38:G38"/>
    <mergeCell ref="C39:E39"/>
    <mergeCell ref="F39:G39"/>
    <mergeCell ref="K37:T37"/>
    <mergeCell ref="K38:T38"/>
    <mergeCell ref="K39:T39"/>
    <mergeCell ref="X37:AJ37"/>
    <mergeCell ref="AG20:AI20"/>
    <mergeCell ref="F22:L22"/>
    <mergeCell ref="M22:T22"/>
    <mergeCell ref="U21:AA21"/>
    <mergeCell ref="AB21:AF21"/>
    <mergeCell ref="AG21:AI21"/>
    <mergeCell ref="F20:L20"/>
    <mergeCell ref="M20:Q20"/>
    <mergeCell ref="R20:T20"/>
    <mergeCell ref="U20:AA20"/>
    <mergeCell ref="AB20:AF20"/>
    <mergeCell ref="F21:L21"/>
    <mergeCell ref="M21:Q21"/>
    <mergeCell ref="R21:T21"/>
    <mergeCell ref="U22:AA22"/>
    <mergeCell ref="AB22:AI22"/>
    <mergeCell ref="AG18:AI18"/>
    <mergeCell ref="F19:L19"/>
    <mergeCell ref="M19:Q19"/>
    <mergeCell ref="R19:T19"/>
    <mergeCell ref="U19:AA19"/>
    <mergeCell ref="AB19:AF19"/>
    <mergeCell ref="AG19:AI19"/>
    <mergeCell ref="F18:L18"/>
    <mergeCell ref="M18:Q18"/>
    <mergeCell ref="R18:T18"/>
    <mergeCell ref="U18:AA18"/>
    <mergeCell ref="AB18:AF18"/>
    <mergeCell ref="AG16:AI16"/>
    <mergeCell ref="F17:L17"/>
    <mergeCell ref="M17:Q17"/>
    <mergeCell ref="R17:T17"/>
    <mergeCell ref="U17:AA17"/>
    <mergeCell ref="AB17:AF17"/>
    <mergeCell ref="AG17:AI17"/>
    <mergeCell ref="F16:L16"/>
    <mergeCell ref="M16:Q16"/>
    <mergeCell ref="R16:T16"/>
    <mergeCell ref="U16:AA16"/>
    <mergeCell ref="AB16:AF16"/>
    <mergeCell ref="F11:AI12"/>
    <mergeCell ref="F13:L13"/>
    <mergeCell ref="M13:Q13"/>
    <mergeCell ref="R13:T13"/>
    <mergeCell ref="U13:AA13"/>
    <mergeCell ref="AB13:AF13"/>
    <mergeCell ref="AG13:AI13"/>
    <mergeCell ref="AG14:AI14"/>
    <mergeCell ref="F15:L15"/>
    <mergeCell ref="M15:Q15"/>
    <mergeCell ref="R15:T15"/>
    <mergeCell ref="U15:AA15"/>
    <mergeCell ref="AB15:AF15"/>
    <mergeCell ref="AG15:AI15"/>
    <mergeCell ref="F14:L14"/>
    <mergeCell ref="U14:AA14"/>
    <mergeCell ref="AB14:AF14"/>
    <mergeCell ref="M14:T14"/>
    <mergeCell ref="F7:K7"/>
    <mergeCell ref="L7:T7"/>
    <mergeCell ref="U8:Y8"/>
    <mergeCell ref="Z8:AI8"/>
    <mergeCell ref="F9:K9"/>
    <mergeCell ref="L9:T9"/>
    <mergeCell ref="U9:Y9"/>
    <mergeCell ref="Z9:AI9"/>
    <mergeCell ref="F5:T6"/>
    <mergeCell ref="F8:K8"/>
    <mergeCell ref="L8:T8"/>
    <mergeCell ref="U5:Y5"/>
    <mergeCell ref="Z5:AI5"/>
    <mergeCell ref="U6:Y6"/>
    <mergeCell ref="Z6:AI6"/>
    <mergeCell ref="U1:AI4"/>
    <mergeCell ref="U7:Y7"/>
    <mergeCell ref="Z7:AI7"/>
    <mergeCell ref="B28:B29"/>
    <mergeCell ref="C28:E29"/>
    <mergeCell ref="F28:G29"/>
    <mergeCell ref="H28:AI29"/>
    <mergeCell ref="A30:A36"/>
    <mergeCell ref="C30:E30"/>
    <mergeCell ref="F30:G30"/>
    <mergeCell ref="H30:J30"/>
    <mergeCell ref="K30:M30"/>
    <mergeCell ref="N30:P30"/>
    <mergeCell ref="Q30:T30"/>
    <mergeCell ref="X30:Y30"/>
    <mergeCell ref="AB30:AC30"/>
    <mergeCell ref="AE30:AG30"/>
    <mergeCell ref="C32:E32"/>
    <mergeCell ref="H32:J32"/>
    <mergeCell ref="K32:M32"/>
    <mergeCell ref="N32:P32"/>
    <mergeCell ref="Q32:T32"/>
    <mergeCell ref="C34:E34"/>
    <mergeCell ref="F34:G34"/>
    <mergeCell ref="H34:J34"/>
    <mergeCell ref="K34:M34"/>
    <mergeCell ref="N34:P34"/>
    <mergeCell ref="AK30:AL30"/>
    <mergeCell ref="AM30:AO30"/>
    <mergeCell ref="C31:E31"/>
    <mergeCell ref="F31:G31"/>
    <mergeCell ref="H31:J31"/>
    <mergeCell ref="K31:M31"/>
    <mergeCell ref="N31:P31"/>
    <mergeCell ref="Q31:T31"/>
    <mergeCell ref="X31:Y31"/>
    <mergeCell ref="AB31:AC31"/>
    <mergeCell ref="AE31:AG31"/>
    <mergeCell ref="AK31:AL31"/>
    <mergeCell ref="AM31:AO31"/>
    <mergeCell ref="AH30:AJ30"/>
    <mergeCell ref="AH31:AJ31"/>
    <mergeCell ref="AM32:AO32"/>
    <mergeCell ref="C33:E33"/>
    <mergeCell ref="F33:G33"/>
    <mergeCell ref="H33:J33"/>
    <mergeCell ref="K33:M33"/>
    <mergeCell ref="N33:P33"/>
    <mergeCell ref="Q33:T33"/>
    <mergeCell ref="X33:Y33"/>
    <mergeCell ref="AB33:AC33"/>
    <mergeCell ref="AE33:AG33"/>
    <mergeCell ref="AK33:AL33"/>
    <mergeCell ref="AM33:AO33"/>
    <mergeCell ref="AH32:AJ32"/>
    <mergeCell ref="AH33:AJ33"/>
    <mergeCell ref="X32:Y32"/>
    <mergeCell ref="AB32:AC32"/>
    <mergeCell ref="AE32:AG32"/>
    <mergeCell ref="AK32:AL32"/>
    <mergeCell ref="F32:G32"/>
    <mergeCell ref="C36:E36"/>
    <mergeCell ref="F36:G36"/>
    <mergeCell ref="H36:J36"/>
    <mergeCell ref="K36:M36"/>
    <mergeCell ref="N36:P36"/>
    <mergeCell ref="AK34:AL34"/>
    <mergeCell ref="AM34:AO34"/>
    <mergeCell ref="C35:E35"/>
    <mergeCell ref="F35:G35"/>
    <mergeCell ref="H35:J35"/>
    <mergeCell ref="K35:M35"/>
    <mergeCell ref="N35:P35"/>
    <mergeCell ref="Q35:T35"/>
    <mergeCell ref="X35:Y35"/>
    <mergeCell ref="AB35:AC35"/>
    <mergeCell ref="AE35:AG35"/>
    <mergeCell ref="AK35:AL35"/>
    <mergeCell ref="AM35:AO35"/>
    <mergeCell ref="AH34:AJ34"/>
    <mergeCell ref="AH35:AJ35"/>
    <mergeCell ref="Q34:T34"/>
    <mergeCell ref="X34:Y34"/>
    <mergeCell ref="AB34:AC34"/>
    <mergeCell ref="AK36:AL36"/>
    <mergeCell ref="AM36:AO36"/>
    <mergeCell ref="Q36:T36"/>
    <mergeCell ref="X36:Y36"/>
    <mergeCell ref="AB36:AC36"/>
    <mergeCell ref="AE36:AG36"/>
    <mergeCell ref="AH36:AJ36"/>
    <mergeCell ref="O40:Q40"/>
    <mergeCell ref="R40:S40"/>
    <mergeCell ref="T40:U40"/>
    <mergeCell ref="V40:X40"/>
    <mergeCell ref="AK37:AL37"/>
    <mergeCell ref="AK38:AL38"/>
    <mergeCell ref="AM37:AO37"/>
    <mergeCell ref="AM38:AO38"/>
    <mergeCell ref="AK39:AL39"/>
    <mergeCell ref="AM39:AO39"/>
    <mergeCell ref="X38:AJ38"/>
    <mergeCell ref="X39:AJ39"/>
  </mergeCells>
  <dataValidations count="6">
    <dataValidation type="list" allowBlank="1" showInputMessage="1" sqref="F30:G46" xr:uid="{07E18626-51CC-4C74-91DE-94A41EFE9A99}">
      <formula1>L_Responsabilité</formula1>
    </dataValidation>
    <dataValidation type="list" allowBlank="1" showInputMessage="1" sqref="C30:E46" xr:uid="{C16D0086-601A-45E3-9BAB-9507D4E326D2}">
      <formula1>L_Status</formula1>
    </dataValidation>
    <dataValidation type="list" allowBlank="1" showInputMessage="1" sqref="K44:N46" xr:uid="{A7D6CE3D-277E-4E83-9B52-E997E43450EE}">
      <formula1>L_Matière_Cuve</formula1>
    </dataValidation>
    <dataValidation type="list" allowBlank="1" showInputMessage="1" sqref="R44:T46 G48:K48" xr:uid="{468E502E-65FA-4D75-8E0A-9CC992F398BE}">
      <formula1>L_Oui_Non</formula1>
    </dataValidation>
    <dataValidation type="list" allowBlank="1" showInputMessage="1" sqref="Q48:U48" xr:uid="{3B27C0A4-8737-48F3-802C-6E9283D46400}">
      <formula1>L_Repris</formula1>
    </dataValidation>
    <dataValidation type="list" allowBlank="1" showInputMessage="1" sqref="AK47:AO47 AA47:AE47 Q47:U47" xr:uid="{A826EB07-51C6-464B-97FD-0135A7BBE57A}">
      <formula1>L_Travaux</formula1>
    </dataValidation>
  </dataValidations>
  <printOptions horizontalCentered="1" verticalCentered="1"/>
  <pageMargins left="0.23622047244094491" right="0.23622047244094491" top="0.23622047244094491" bottom="0.23622047244094491" header="0.31496062992125984" footer="0.31496062992125984"/>
  <pageSetup paperSize="9" fitToHeight="0" orientation="landscape" r:id="rId1"/>
  <rowBreaks count="1" manualBreakCount="1">
    <brk id="25" max="40" man="1"/>
  </rowBreaks>
  <colBreaks count="1" manualBreakCount="1">
    <brk id="40" max="47"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59E9-9AA1-4801-A9DD-B8D2259B8493}">
  <sheetPr codeName="Feuil3">
    <tabColor theme="4" tint="0.59999389629810485"/>
  </sheetPr>
  <dimension ref="A1:BJ57"/>
  <sheetViews>
    <sheetView view="pageBreakPreview" topLeftCell="A11" zoomScaleNormal="100" zoomScaleSheetLayoutView="100" workbookViewId="0">
      <selection activeCell="C23" sqref="C23:E23"/>
    </sheetView>
  </sheetViews>
  <sheetFormatPr baseColWidth="10" defaultColWidth="11.42578125" defaultRowHeight="15"/>
  <cols>
    <col min="1" max="55" width="3.28515625" customWidth="1"/>
  </cols>
  <sheetData>
    <row r="1" spans="6:35" ht="14.1" customHeight="1">
      <c r="U1" s="326" t="s">
        <v>286</v>
      </c>
      <c r="V1" s="326"/>
      <c r="W1" s="326"/>
      <c r="X1" s="326"/>
      <c r="Y1" s="326"/>
      <c r="Z1" s="326"/>
      <c r="AA1" s="326"/>
      <c r="AB1" s="326"/>
      <c r="AC1" s="326"/>
      <c r="AD1" s="326"/>
      <c r="AE1" s="326"/>
      <c r="AF1" s="326"/>
      <c r="AG1" s="326"/>
      <c r="AH1" s="326"/>
      <c r="AI1" s="326"/>
    </row>
    <row r="2" spans="6:35" ht="14.1" customHeight="1">
      <c r="U2" s="327"/>
      <c r="V2" s="327"/>
      <c r="W2" s="327"/>
      <c r="X2" s="327"/>
      <c r="Y2" s="327"/>
      <c r="Z2" s="327"/>
      <c r="AA2" s="327"/>
      <c r="AB2" s="327"/>
      <c r="AC2" s="327"/>
      <c r="AD2" s="327"/>
      <c r="AE2" s="327"/>
      <c r="AF2" s="327"/>
      <c r="AG2" s="327"/>
      <c r="AH2" s="327"/>
      <c r="AI2" s="327"/>
    </row>
    <row r="3" spans="6:35" ht="14.1" customHeight="1">
      <c r="U3" s="327"/>
      <c r="V3" s="327"/>
      <c r="W3" s="327"/>
      <c r="X3" s="327"/>
      <c r="Y3" s="327"/>
      <c r="Z3" s="327"/>
      <c r="AA3" s="327"/>
      <c r="AB3" s="327"/>
      <c r="AC3" s="327"/>
      <c r="AD3" s="327"/>
      <c r="AE3" s="327"/>
      <c r="AF3" s="327"/>
      <c r="AG3" s="327"/>
      <c r="AH3" s="327"/>
      <c r="AI3" s="327"/>
    </row>
    <row r="4" spans="6:35" ht="14.1" customHeight="1" thickBot="1">
      <c r="U4" s="328"/>
      <c r="V4" s="328"/>
      <c r="W4" s="328"/>
      <c r="X4" s="328"/>
      <c r="Y4" s="328"/>
      <c r="Z4" s="328"/>
      <c r="AA4" s="328"/>
      <c r="AB4" s="328"/>
      <c r="AC4" s="328"/>
      <c r="AD4" s="328"/>
      <c r="AE4" s="328"/>
      <c r="AF4" s="328"/>
      <c r="AG4" s="328"/>
      <c r="AH4" s="328"/>
      <c r="AI4" s="328"/>
    </row>
    <row r="5" spans="6:35" ht="14.1" customHeight="1">
      <c r="F5" s="329" t="s">
        <v>1</v>
      </c>
      <c r="G5" s="330"/>
      <c r="H5" s="330"/>
      <c r="I5" s="330"/>
      <c r="J5" s="330"/>
      <c r="K5" s="330"/>
      <c r="L5" s="330"/>
      <c r="M5" s="330"/>
      <c r="N5" s="330"/>
      <c r="O5" s="330"/>
      <c r="P5" s="330"/>
      <c r="Q5" s="330"/>
      <c r="R5" s="330"/>
      <c r="S5" s="330"/>
      <c r="T5" s="331"/>
      <c r="U5" s="182" t="s">
        <v>2</v>
      </c>
      <c r="V5" s="183"/>
      <c r="W5" s="183"/>
      <c r="X5" s="183"/>
      <c r="Y5" s="184"/>
      <c r="Z5" s="690">
        <f>Client</f>
        <v>0</v>
      </c>
      <c r="AA5" s="691"/>
      <c r="AB5" s="691"/>
      <c r="AC5" s="691"/>
      <c r="AD5" s="691"/>
      <c r="AE5" s="691"/>
      <c r="AF5" s="691"/>
      <c r="AG5" s="691"/>
      <c r="AH5" s="691"/>
      <c r="AI5" s="692"/>
    </row>
    <row r="6" spans="6:35" ht="14.1" customHeight="1" thickBot="1">
      <c r="F6" s="332"/>
      <c r="G6" s="333"/>
      <c r="H6" s="333"/>
      <c r="I6" s="333"/>
      <c r="J6" s="333"/>
      <c r="K6" s="333"/>
      <c r="L6" s="333"/>
      <c r="M6" s="333"/>
      <c r="N6" s="333"/>
      <c r="O6" s="333"/>
      <c r="P6" s="333"/>
      <c r="Q6" s="333"/>
      <c r="R6" s="333"/>
      <c r="S6" s="333"/>
      <c r="T6" s="334"/>
      <c r="U6" s="178" t="s">
        <v>3</v>
      </c>
      <c r="V6" s="179"/>
      <c r="W6" s="179"/>
      <c r="X6" s="179"/>
      <c r="Y6" s="180"/>
      <c r="Z6" s="163">
        <f>Num_Devis</f>
        <v>0</v>
      </c>
      <c r="AA6" s="688"/>
      <c r="AB6" s="688"/>
      <c r="AC6" s="688"/>
      <c r="AD6" s="688"/>
      <c r="AE6" s="688"/>
      <c r="AF6" s="688"/>
      <c r="AG6" s="688"/>
      <c r="AH6" s="688"/>
      <c r="AI6" s="689"/>
    </row>
    <row r="7" spans="6:35" ht="15.95" customHeight="1">
      <c r="F7" s="147" t="s">
        <v>4</v>
      </c>
      <c r="G7" s="148"/>
      <c r="H7" s="148"/>
      <c r="I7" s="148"/>
      <c r="J7" s="148"/>
      <c r="K7" s="148"/>
      <c r="L7" s="457">
        <f>Commercial</f>
        <v>0</v>
      </c>
      <c r="M7" s="457"/>
      <c r="N7" s="457"/>
      <c r="O7" s="457"/>
      <c r="P7" s="457"/>
      <c r="Q7" s="457"/>
      <c r="R7" s="457"/>
      <c r="S7" s="457"/>
      <c r="T7" s="458"/>
      <c r="U7" s="256" t="s">
        <v>5</v>
      </c>
      <c r="V7" s="257"/>
      <c r="W7" s="257"/>
      <c r="X7" s="257"/>
      <c r="Y7" s="258"/>
      <c r="Z7" s="163">
        <f>Code_Client_Divalto</f>
        <v>0</v>
      </c>
      <c r="AA7" s="688"/>
      <c r="AB7" s="688"/>
      <c r="AC7" s="688"/>
      <c r="AD7" s="688"/>
      <c r="AE7" s="688"/>
      <c r="AF7" s="688"/>
      <c r="AG7" s="688"/>
      <c r="AH7" s="688"/>
      <c r="AI7" s="689"/>
    </row>
    <row r="8" spans="6:35" ht="15.95" customHeight="1">
      <c r="F8" s="147" t="s">
        <v>6</v>
      </c>
      <c r="G8" s="148"/>
      <c r="H8" s="148"/>
      <c r="I8" s="148"/>
      <c r="J8" s="148"/>
      <c r="K8" s="148"/>
      <c r="L8" s="347">
        <f>ICA</f>
        <v>0</v>
      </c>
      <c r="M8" s="348"/>
      <c r="N8" s="348"/>
      <c r="O8" s="348"/>
      <c r="P8" s="348"/>
      <c r="Q8" s="348"/>
      <c r="R8" s="348"/>
      <c r="S8" s="348"/>
      <c r="T8" s="349"/>
      <c r="U8" s="178" t="s">
        <v>7</v>
      </c>
      <c r="V8" s="179"/>
      <c r="W8" s="179"/>
      <c r="X8" s="179"/>
      <c r="Y8" s="180"/>
      <c r="Z8" s="459">
        <f>Affaire_Div</f>
        <v>0</v>
      </c>
      <c r="AA8" s="459"/>
      <c r="AB8" s="459"/>
      <c r="AC8" s="459"/>
      <c r="AD8" s="459"/>
      <c r="AE8" s="459"/>
      <c r="AF8" s="459"/>
      <c r="AG8" s="459"/>
      <c r="AH8" s="459"/>
      <c r="AI8" s="460"/>
    </row>
    <row r="9" spans="6:35" ht="15.95" customHeight="1" thickBot="1">
      <c r="F9" s="145" t="s">
        <v>8</v>
      </c>
      <c r="G9" s="146"/>
      <c r="H9" s="146"/>
      <c r="I9" s="146"/>
      <c r="J9" s="146"/>
      <c r="K9" s="146"/>
      <c r="L9" s="461">
        <f>ChargéAF</f>
        <v>0</v>
      </c>
      <c r="M9" s="461"/>
      <c r="N9" s="461"/>
      <c r="O9" s="461"/>
      <c r="P9" s="461"/>
      <c r="Q9" s="461"/>
      <c r="R9" s="461"/>
      <c r="S9" s="461"/>
      <c r="T9" s="462"/>
      <c r="U9" s="463" t="s">
        <v>9</v>
      </c>
      <c r="V9" s="464"/>
      <c r="W9" s="464"/>
      <c r="X9" s="464"/>
      <c r="Y9" s="465"/>
      <c r="Z9" s="461">
        <f>Projet_SF</f>
        <v>0</v>
      </c>
      <c r="AA9" s="461"/>
      <c r="AB9" s="461"/>
      <c r="AC9" s="461"/>
      <c r="AD9" s="461"/>
      <c r="AE9" s="461"/>
      <c r="AF9" s="461"/>
      <c r="AG9" s="461"/>
      <c r="AH9" s="461"/>
      <c r="AI9" s="462"/>
    </row>
    <row r="10" spans="6:35" ht="15.75" thickBot="1">
      <c r="F10" s="84"/>
      <c r="G10" s="84"/>
      <c r="H10" s="84"/>
      <c r="I10" s="84"/>
      <c r="J10" s="84"/>
      <c r="K10" s="84"/>
      <c r="L10" s="24"/>
      <c r="M10" s="24"/>
      <c r="N10" s="24"/>
      <c r="O10" s="24"/>
      <c r="P10" s="24"/>
      <c r="Q10" s="24"/>
      <c r="R10" s="24"/>
      <c r="S10" s="24"/>
      <c r="T10" s="24"/>
      <c r="U10" s="84"/>
      <c r="V10" s="84"/>
      <c r="W10" s="84"/>
      <c r="X10" s="84"/>
      <c r="Y10" s="84"/>
      <c r="Z10" s="24"/>
      <c r="AA10" s="24"/>
      <c r="AB10" s="24"/>
      <c r="AC10" s="24"/>
      <c r="AD10" s="24"/>
      <c r="AE10" s="24"/>
      <c r="AF10" s="24"/>
      <c r="AG10" s="24"/>
      <c r="AH10" s="24"/>
      <c r="AI10" s="24"/>
    </row>
    <row r="11" spans="6:35" ht="15" customHeight="1">
      <c r="F11" s="684" t="s">
        <v>287</v>
      </c>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c r="AE11" s="326"/>
      <c r="AF11" s="326"/>
      <c r="AG11" s="326"/>
      <c r="AH11" s="326"/>
      <c r="AI11" s="685"/>
    </row>
    <row r="12" spans="6:35" ht="15.75" customHeight="1" thickBot="1">
      <c r="F12" s="686"/>
      <c r="G12" s="328"/>
      <c r="H12" s="328"/>
      <c r="I12" s="328"/>
      <c r="J12" s="328"/>
      <c r="K12" s="328"/>
      <c r="L12" s="328"/>
      <c r="M12" s="328"/>
      <c r="N12" s="328"/>
      <c r="O12" s="328"/>
      <c r="P12" s="328"/>
      <c r="Q12" s="328"/>
      <c r="R12" s="328"/>
      <c r="S12" s="328"/>
      <c r="T12" s="328"/>
      <c r="U12" s="328"/>
      <c r="V12" s="328"/>
      <c r="W12" s="328"/>
      <c r="X12" s="328"/>
      <c r="Y12" s="328"/>
      <c r="Z12" s="328"/>
      <c r="AA12" s="328"/>
      <c r="AB12" s="328"/>
      <c r="AC12" s="328"/>
      <c r="AD12" s="328"/>
      <c r="AE12" s="328"/>
      <c r="AF12" s="328"/>
      <c r="AG12" s="328"/>
      <c r="AH12" s="328"/>
      <c r="AI12" s="687"/>
    </row>
    <row r="13" spans="6:35" ht="23.25" customHeight="1">
      <c r="F13" s="660" t="s">
        <v>288</v>
      </c>
      <c r="G13" s="661"/>
      <c r="H13" s="661"/>
      <c r="I13" s="661"/>
      <c r="J13" s="661"/>
      <c r="K13" s="661"/>
      <c r="L13" s="662"/>
      <c r="M13" s="663"/>
      <c r="N13" s="664"/>
      <c r="O13" s="664"/>
      <c r="P13" s="664"/>
      <c r="Q13" s="665"/>
      <c r="R13" s="666" t="s">
        <v>225</v>
      </c>
      <c r="S13" s="667"/>
      <c r="T13" s="668"/>
      <c r="U13" s="669" t="s">
        <v>289</v>
      </c>
      <c r="V13" s="661"/>
      <c r="W13" s="661"/>
      <c r="X13" s="661"/>
      <c r="Y13" s="661"/>
      <c r="Z13" s="661"/>
      <c r="AA13" s="662"/>
      <c r="AB13" s="663"/>
      <c r="AC13" s="664"/>
      <c r="AD13" s="664"/>
      <c r="AE13" s="664"/>
      <c r="AF13" s="665"/>
      <c r="AG13" s="666" t="s">
        <v>110</v>
      </c>
      <c r="AH13" s="667"/>
      <c r="AI13" s="693"/>
    </row>
    <row r="14" spans="6:35" ht="24" customHeight="1" thickBot="1">
      <c r="F14" s="681" t="s">
        <v>290</v>
      </c>
      <c r="G14" s="682"/>
      <c r="H14" s="682"/>
      <c r="I14" s="682"/>
      <c r="J14" s="682"/>
      <c r="K14" s="682"/>
      <c r="L14" s="683"/>
      <c r="M14" s="648"/>
      <c r="N14" s="649"/>
      <c r="O14" s="649"/>
      <c r="P14" s="649"/>
      <c r="Q14" s="649"/>
      <c r="R14" s="649"/>
      <c r="S14" s="649"/>
      <c r="T14" s="650"/>
      <c r="U14" s="639" t="s">
        <v>291</v>
      </c>
      <c r="V14" s="640"/>
      <c r="W14" s="640"/>
      <c r="X14" s="640"/>
      <c r="Y14" s="640"/>
      <c r="Z14" s="640"/>
      <c r="AA14" s="641"/>
      <c r="AB14" s="642"/>
      <c r="AC14" s="643"/>
      <c r="AD14" s="643"/>
      <c r="AE14" s="643"/>
      <c r="AF14" s="644"/>
      <c r="AG14" s="645" t="s">
        <v>292</v>
      </c>
      <c r="AH14" s="646"/>
      <c r="AI14" s="647"/>
    </row>
    <row r="15" spans="6:35" ht="23.25" customHeight="1">
      <c r="F15" s="660" t="s">
        <v>293</v>
      </c>
      <c r="G15" s="661"/>
      <c r="H15" s="661"/>
      <c r="I15" s="661"/>
      <c r="J15" s="661"/>
      <c r="K15" s="661"/>
      <c r="L15" s="662"/>
      <c r="M15" s="663"/>
      <c r="N15" s="664"/>
      <c r="O15" s="664"/>
      <c r="P15" s="664"/>
      <c r="Q15" s="665"/>
      <c r="R15" s="666" t="s">
        <v>225</v>
      </c>
      <c r="S15" s="667"/>
      <c r="T15" s="668"/>
      <c r="U15" s="669" t="s">
        <v>289</v>
      </c>
      <c r="V15" s="661"/>
      <c r="W15" s="661"/>
      <c r="X15" s="661"/>
      <c r="Y15" s="661"/>
      <c r="Z15" s="661"/>
      <c r="AA15" s="662"/>
      <c r="AB15" s="663"/>
      <c r="AC15" s="664"/>
      <c r="AD15" s="664"/>
      <c r="AE15" s="664"/>
      <c r="AF15" s="665"/>
      <c r="AG15" s="666" t="s">
        <v>110</v>
      </c>
      <c r="AH15" s="667"/>
      <c r="AI15" s="693"/>
    </row>
    <row r="16" spans="6:35" ht="24" customHeight="1" thickBot="1">
      <c r="F16" s="681" t="s">
        <v>294</v>
      </c>
      <c r="G16" s="682"/>
      <c r="H16" s="682"/>
      <c r="I16" s="682"/>
      <c r="J16" s="682"/>
      <c r="K16" s="682"/>
      <c r="L16" s="683"/>
      <c r="M16" s="648"/>
      <c r="N16" s="649"/>
      <c r="O16" s="649"/>
      <c r="P16" s="649"/>
      <c r="Q16" s="649"/>
      <c r="R16" s="649"/>
      <c r="S16" s="649"/>
      <c r="T16" s="650"/>
      <c r="U16" s="639" t="s">
        <v>291</v>
      </c>
      <c r="V16" s="640"/>
      <c r="W16" s="640"/>
      <c r="X16" s="640"/>
      <c r="Y16" s="640"/>
      <c r="Z16" s="640"/>
      <c r="AA16" s="641"/>
      <c r="AB16" s="642"/>
      <c r="AC16" s="643"/>
      <c r="AD16" s="643"/>
      <c r="AE16" s="643"/>
      <c r="AF16" s="644"/>
      <c r="AG16" s="645" t="s">
        <v>292</v>
      </c>
      <c r="AH16" s="646"/>
      <c r="AI16" s="647"/>
    </row>
    <row r="17" spans="1:62" ht="24" customHeight="1" thickBot="1">
      <c r="F17" s="651" t="s">
        <v>295</v>
      </c>
      <c r="G17" s="652"/>
      <c r="H17" s="652"/>
      <c r="I17" s="652"/>
      <c r="J17" s="652"/>
      <c r="K17" s="652"/>
      <c r="L17" s="653"/>
      <c r="M17" s="654"/>
      <c r="N17" s="655"/>
      <c r="O17" s="655"/>
      <c r="P17" s="655"/>
      <c r="Q17" s="656"/>
      <c r="R17" s="694" t="s">
        <v>263</v>
      </c>
      <c r="S17" s="695"/>
      <c r="T17" s="696"/>
      <c r="U17" s="657"/>
      <c r="V17" s="658"/>
      <c r="W17" s="658"/>
      <c r="X17" s="658"/>
      <c r="Y17" s="658"/>
      <c r="Z17" s="658"/>
      <c r="AA17" s="658"/>
      <c r="AB17" s="658"/>
      <c r="AC17" s="658"/>
      <c r="AD17" s="658"/>
      <c r="AE17" s="658"/>
      <c r="AF17" s="658"/>
      <c r="AG17" s="658"/>
      <c r="AH17" s="658"/>
      <c r="AI17" s="659"/>
    </row>
    <row r="18" spans="1:62" ht="24" customHeight="1">
      <c r="F18" s="40" t="s">
        <v>254</v>
      </c>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2"/>
    </row>
    <row r="19" spans="1:62" ht="68.25" customHeight="1" thickBot="1">
      <c r="F19" s="497"/>
      <c r="G19" s="498"/>
      <c r="H19" s="498"/>
      <c r="I19" s="498"/>
      <c r="J19" s="498"/>
      <c r="K19" s="498"/>
      <c r="L19" s="498"/>
      <c r="M19" s="498"/>
      <c r="N19" s="498"/>
      <c r="O19" s="498"/>
      <c r="P19" s="498"/>
      <c r="Q19" s="498"/>
      <c r="R19" s="498"/>
      <c r="S19" s="498"/>
      <c r="T19" s="498"/>
      <c r="U19" s="498"/>
      <c r="V19" s="498"/>
      <c r="W19" s="498"/>
      <c r="X19" s="498"/>
      <c r="Y19" s="498"/>
      <c r="Z19" s="498"/>
      <c r="AA19" s="498"/>
      <c r="AB19" s="498"/>
      <c r="AC19" s="498"/>
      <c r="AD19" s="498"/>
      <c r="AE19" s="498"/>
      <c r="AF19" s="498"/>
      <c r="AG19" s="498"/>
      <c r="AH19" s="498"/>
      <c r="AI19" s="499"/>
      <c r="AJ19" s="6"/>
      <c r="AK19" s="6"/>
      <c r="AL19" s="6"/>
      <c r="AM19" s="6"/>
      <c r="AN19" s="6"/>
      <c r="AO19" s="6"/>
      <c r="AP19" s="6"/>
      <c r="AQ19" s="6"/>
      <c r="AR19" s="6"/>
    </row>
    <row r="20" spans="1:62" ht="24" thickBot="1">
      <c r="AP20" s="6"/>
      <c r="AQ20" s="6"/>
      <c r="AR20" s="6"/>
    </row>
    <row r="21" spans="1:62" ht="20.100000000000001" customHeight="1">
      <c r="A21" s="47"/>
      <c r="B21" s="435" t="s">
        <v>255</v>
      </c>
      <c r="C21" s="437" t="s">
        <v>256</v>
      </c>
      <c r="D21" s="438"/>
      <c r="E21" s="438"/>
      <c r="F21" s="437" t="s">
        <v>257</v>
      </c>
      <c r="G21" s="441"/>
      <c r="H21" s="443" t="s">
        <v>296</v>
      </c>
      <c r="I21" s="444"/>
      <c r="J21" s="444"/>
      <c r="K21" s="444"/>
      <c r="L21" s="444"/>
      <c r="M21" s="444"/>
      <c r="N21" s="444"/>
      <c r="O21" s="444"/>
      <c r="P21" s="444"/>
      <c r="Q21" s="444"/>
      <c r="R21" s="444"/>
      <c r="S21" s="444"/>
      <c r="T21" s="444"/>
      <c r="U21" s="444"/>
      <c r="V21" s="444"/>
      <c r="W21" s="444"/>
      <c r="X21" s="444"/>
      <c r="Y21" s="444"/>
      <c r="Z21" s="444"/>
      <c r="AA21" s="444"/>
      <c r="AB21" s="444"/>
      <c r="AC21" s="444"/>
      <c r="AD21" s="444"/>
      <c r="AE21" s="444"/>
      <c r="AF21" s="444"/>
      <c r="AG21" s="444"/>
      <c r="AH21" s="444"/>
      <c r="AI21" s="444"/>
      <c r="AJ21" s="43"/>
      <c r="AK21" s="43"/>
      <c r="AL21" s="43"/>
      <c r="AM21" s="43"/>
      <c r="AN21" s="43"/>
      <c r="AO21" s="44"/>
    </row>
    <row r="22" spans="1:62" ht="20.100000000000001" customHeight="1" thickBot="1">
      <c r="A22" s="50"/>
      <c r="B22" s="436"/>
      <c r="C22" s="439"/>
      <c r="D22" s="440"/>
      <c r="E22" s="440"/>
      <c r="F22" s="439"/>
      <c r="G22" s="442"/>
      <c r="H22" s="445"/>
      <c r="I22" s="446"/>
      <c r="J22" s="446"/>
      <c r="K22" s="446"/>
      <c r="L22" s="446"/>
      <c r="M22" s="446"/>
      <c r="N22" s="446"/>
      <c r="O22" s="446"/>
      <c r="P22" s="446"/>
      <c r="Q22" s="446"/>
      <c r="R22" s="446"/>
      <c r="S22" s="446"/>
      <c r="T22" s="446"/>
      <c r="U22" s="446"/>
      <c r="V22" s="446"/>
      <c r="W22" s="446"/>
      <c r="X22" s="446"/>
      <c r="Y22" s="446"/>
      <c r="Z22" s="446"/>
      <c r="AA22" s="446"/>
      <c r="AB22" s="446"/>
      <c r="AC22" s="446"/>
      <c r="AD22" s="446"/>
      <c r="AE22" s="446"/>
      <c r="AF22" s="446"/>
      <c r="AG22" s="446"/>
      <c r="AH22" s="446"/>
      <c r="AI22" s="446"/>
      <c r="AJ22" s="45"/>
      <c r="AK22" s="45"/>
      <c r="AL22" s="45"/>
      <c r="AM22" s="45"/>
      <c r="AN22" s="45"/>
      <c r="AO22" s="46"/>
      <c r="AQ22" s="82"/>
      <c r="AR22" s="82"/>
      <c r="AS22" s="82"/>
      <c r="AT22" s="82"/>
      <c r="BG22" s="106"/>
      <c r="BH22" s="106"/>
      <c r="BI22" s="106"/>
      <c r="BJ22" s="106"/>
    </row>
    <row r="23" spans="1:62" ht="15" customHeight="1">
      <c r="A23" s="447" t="s">
        <v>297</v>
      </c>
      <c r="B23" s="53">
        <v>1</v>
      </c>
      <c r="C23" s="450" t="s">
        <v>298</v>
      </c>
      <c r="D23" s="395"/>
      <c r="E23" s="396"/>
      <c r="F23" s="450"/>
      <c r="G23" s="403"/>
      <c r="H23" s="451" t="s">
        <v>260</v>
      </c>
      <c r="I23" s="394"/>
      <c r="J23" s="394"/>
      <c r="K23" s="396" t="s">
        <v>299</v>
      </c>
      <c r="L23" s="433"/>
      <c r="M23" s="434"/>
      <c r="N23" s="419" t="s">
        <v>261</v>
      </c>
      <c r="O23" s="452"/>
      <c r="P23" s="420"/>
      <c r="Q23" s="396" t="s">
        <v>300</v>
      </c>
      <c r="R23" s="433"/>
      <c r="S23" s="433"/>
      <c r="T23" s="434"/>
      <c r="U23" s="670" t="s">
        <v>301</v>
      </c>
      <c r="V23" s="671"/>
      <c r="W23" s="453"/>
      <c r="X23" s="454"/>
      <c r="Y23" s="23" t="s">
        <v>263</v>
      </c>
      <c r="Z23" s="670" t="s">
        <v>302</v>
      </c>
      <c r="AA23" s="671"/>
      <c r="AB23" s="455"/>
      <c r="AC23" s="456"/>
      <c r="AD23" s="16" t="s">
        <v>265</v>
      </c>
      <c r="AE23" s="402" t="s">
        <v>303</v>
      </c>
      <c r="AF23" s="402"/>
      <c r="AG23" s="402"/>
      <c r="AH23" s="395"/>
      <c r="AI23" s="396"/>
      <c r="AJ23" s="11" t="s">
        <v>304</v>
      </c>
      <c r="AK23" s="419" t="s">
        <v>267</v>
      </c>
      <c r="AL23" s="420"/>
      <c r="AM23" s="395"/>
      <c r="AN23" s="395"/>
      <c r="AO23" s="403"/>
      <c r="AQ23" s="721" t="s">
        <v>133</v>
      </c>
      <c r="AR23" s="722"/>
      <c r="AS23" s="722"/>
      <c r="AT23" s="723"/>
      <c r="AU23" s="415"/>
      <c r="AV23" s="416"/>
      <c r="AW23" s="416"/>
      <c r="AX23" s="416"/>
      <c r="AY23" s="416"/>
      <c r="AZ23" s="416"/>
      <c r="BA23" s="416"/>
      <c r="BB23" s="416"/>
      <c r="BC23" s="720"/>
      <c r="BD23" s="64" t="s">
        <v>305</v>
      </c>
      <c r="BE23" s="415">
        <v>123</v>
      </c>
      <c r="BF23" s="720"/>
      <c r="BG23" s="106"/>
      <c r="BH23" s="106"/>
      <c r="BI23" s="106"/>
      <c r="BJ23" s="106"/>
    </row>
    <row r="24" spans="1:62">
      <c r="A24" s="448"/>
      <c r="B24" s="54">
        <v>2</v>
      </c>
      <c r="C24" s="404" t="s">
        <v>306</v>
      </c>
      <c r="D24" s="131"/>
      <c r="E24" s="312"/>
      <c r="F24" s="404"/>
      <c r="G24" s="132"/>
      <c r="H24" s="421" t="s">
        <v>260</v>
      </c>
      <c r="I24" s="422"/>
      <c r="J24" s="422"/>
      <c r="K24" s="312" t="s">
        <v>299</v>
      </c>
      <c r="L24" s="313"/>
      <c r="M24" s="314"/>
      <c r="N24" s="426" t="s">
        <v>261</v>
      </c>
      <c r="O24" s="427"/>
      <c r="P24" s="428"/>
      <c r="Q24" s="423" t="s">
        <v>307</v>
      </c>
      <c r="R24" s="424"/>
      <c r="S24" s="424"/>
      <c r="T24" s="425"/>
      <c r="U24" s="555" t="s">
        <v>301</v>
      </c>
      <c r="V24" s="556"/>
      <c r="W24" s="637"/>
      <c r="X24" s="638"/>
      <c r="Y24" s="8" t="s">
        <v>263</v>
      </c>
      <c r="Z24" s="555" t="s">
        <v>302</v>
      </c>
      <c r="AA24" s="556"/>
      <c r="AB24" s="636"/>
      <c r="AC24" s="607"/>
      <c r="AD24" s="19" t="s">
        <v>265</v>
      </c>
      <c r="AE24" s="134" t="s">
        <v>303</v>
      </c>
      <c r="AF24" s="134"/>
      <c r="AG24" s="134"/>
      <c r="AH24" s="131"/>
      <c r="AI24" s="312"/>
      <c r="AJ24" s="12" t="s">
        <v>304</v>
      </c>
      <c r="AK24" s="410" t="s">
        <v>267</v>
      </c>
      <c r="AL24" s="411"/>
      <c r="AM24" s="131"/>
      <c r="AN24" s="131"/>
      <c r="AO24" s="132"/>
      <c r="AQ24" s="721" t="s">
        <v>133</v>
      </c>
      <c r="AR24" s="722"/>
      <c r="AS24" s="722"/>
      <c r="AT24" s="723"/>
      <c r="AU24" s="415"/>
      <c r="AV24" s="416"/>
      <c r="AW24" s="416"/>
      <c r="AX24" s="416"/>
      <c r="AY24" s="416"/>
      <c r="AZ24" s="416"/>
      <c r="BA24" s="416"/>
      <c r="BB24" s="416"/>
      <c r="BC24" s="720"/>
      <c r="BD24" s="64" t="s">
        <v>305</v>
      </c>
      <c r="BE24" s="415">
        <v>234</v>
      </c>
      <c r="BF24" s="720"/>
      <c r="BG24" s="106"/>
      <c r="BH24" s="106"/>
      <c r="BI24" s="106"/>
      <c r="BJ24" s="106"/>
    </row>
    <row r="25" spans="1:62" ht="15" customHeight="1">
      <c r="A25" s="448"/>
      <c r="B25" s="54">
        <v>3</v>
      </c>
      <c r="C25" s="404"/>
      <c r="D25" s="131"/>
      <c r="E25" s="312"/>
      <c r="F25" s="404"/>
      <c r="G25" s="132"/>
      <c r="H25" s="412" t="s">
        <v>260</v>
      </c>
      <c r="I25" s="413"/>
      <c r="J25" s="413"/>
      <c r="K25" s="312" t="s">
        <v>308</v>
      </c>
      <c r="L25" s="313"/>
      <c r="M25" s="314"/>
      <c r="N25" s="410" t="s">
        <v>261</v>
      </c>
      <c r="O25" s="414"/>
      <c r="P25" s="411"/>
      <c r="Q25" s="312"/>
      <c r="R25" s="313"/>
      <c r="S25" s="313"/>
      <c r="T25" s="314"/>
      <c r="U25" s="555" t="s">
        <v>301</v>
      </c>
      <c r="V25" s="556"/>
      <c r="W25" s="415"/>
      <c r="X25" s="416"/>
      <c r="Y25" s="8" t="s">
        <v>263</v>
      </c>
      <c r="Z25" s="555" t="s">
        <v>302</v>
      </c>
      <c r="AA25" s="556"/>
      <c r="AB25" s="417"/>
      <c r="AC25" s="418"/>
      <c r="AD25" s="17" t="s">
        <v>265</v>
      </c>
      <c r="AE25" s="134" t="s">
        <v>303</v>
      </c>
      <c r="AF25" s="134"/>
      <c r="AG25" s="134"/>
      <c r="AH25" s="131"/>
      <c r="AI25" s="312"/>
      <c r="AJ25" s="12" t="s">
        <v>304</v>
      </c>
      <c r="AK25" s="410" t="s">
        <v>267</v>
      </c>
      <c r="AL25" s="411"/>
      <c r="AM25" s="131"/>
      <c r="AN25" s="131"/>
      <c r="AO25" s="132"/>
      <c r="AQ25" s="721" t="s">
        <v>133</v>
      </c>
      <c r="AR25" s="722"/>
      <c r="AS25" s="722"/>
      <c r="AT25" s="723"/>
      <c r="AU25" s="415"/>
      <c r="AV25" s="416"/>
      <c r="AW25" s="416"/>
      <c r="AX25" s="416"/>
      <c r="AY25" s="416"/>
      <c r="AZ25" s="416"/>
      <c r="BA25" s="416"/>
      <c r="BB25" s="416"/>
      <c r="BC25" s="720"/>
      <c r="BD25" s="64" t="s">
        <v>305</v>
      </c>
      <c r="BE25" s="415">
        <v>345</v>
      </c>
      <c r="BF25" s="720"/>
      <c r="BG25" s="106"/>
      <c r="BH25" s="106"/>
      <c r="BI25" s="106"/>
      <c r="BJ25" s="106"/>
    </row>
    <row r="26" spans="1:62" ht="15" customHeight="1">
      <c r="A26" s="448"/>
      <c r="B26" s="55">
        <v>4</v>
      </c>
      <c r="C26" s="404" t="s">
        <v>309</v>
      </c>
      <c r="D26" s="131"/>
      <c r="E26" s="312"/>
      <c r="F26" s="404"/>
      <c r="G26" s="132"/>
      <c r="H26" s="412" t="s">
        <v>260</v>
      </c>
      <c r="I26" s="413"/>
      <c r="J26" s="413"/>
      <c r="K26" s="312" t="s">
        <v>299</v>
      </c>
      <c r="L26" s="313"/>
      <c r="M26" s="314"/>
      <c r="N26" s="410" t="s">
        <v>261</v>
      </c>
      <c r="O26" s="414"/>
      <c r="P26" s="411"/>
      <c r="Q26" s="312" t="s">
        <v>310</v>
      </c>
      <c r="R26" s="313"/>
      <c r="S26" s="313"/>
      <c r="T26" s="314"/>
      <c r="U26" s="555" t="s">
        <v>301</v>
      </c>
      <c r="V26" s="556"/>
      <c r="W26" s="415"/>
      <c r="X26" s="416"/>
      <c r="Y26" s="8" t="s">
        <v>263</v>
      </c>
      <c r="Z26" s="555" t="s">
        <v>302</v>
      </c>
      <c r="AA26" s="556"/>
      <c r="AB26" s="417"/>
      <c r="AC26" s="418"/>
      <c r="AD26" s="17" t="s">
        <v>265</v>
      </c>
      <c r="AE26" s="134" t="s">
        <v>303</v>
      </c>
      <c r="AF26" s="134"/>
      <c r="AG26" s="134"/>
      <c r="AH26" s="131"/>
      <c r="AI26" s="312"/>
      <c r="AJ26" s="12" t="s">
        <v>304</v>
      </c>
      <c r="AK26" s="410" t="s">
        <v>267</v>
      </c>
      <c r="AL26" s="411"/>
      <c r="AM26" s="131"/>
      <c r="AN26" s="131"/>
      <c r="AO26" s="132"/>
      <c r="AQ26" s="721" t="s">
        <v>133</v>
      </c>
      <c r="AR26" s="722"/>
      <c r="AS26" s="722"/>
      <c r="AT26" s="723"/>
      <c r="AU26" s="415"/>
      <c r="AV26" s="416"/>
      <c r="AW26" s="416"/>
      <c r="AX26" s="416"/>
      <c r="AY26" s="416"/>
      <c r="AZ26" s="416"/>
      <c r="BA26" s="416"/>
      <c r="BB26" s="416"/>
      <c r="BC26" s="720"/>
      <c r="BD26" s="64" t="s">
        <v>305</v>
      </c>
      <c r="BE26" s="415">
        <v>456</v>
      </c>
      <c r="BF26" s="720"/>
      <c r="BG26" s="106"/>
      <c r="BH26" s="106"/>
      <c r="BI26" s="106"/>
      <c r="BJ26" s="106"/>
    </row>
    <row r="27" spans="1:62" ht="15" customHeight="1">
      <c r="A27" s="448"/>
      <c r="B27" s="55">
        <v>5</v>
      </c>
      <c r="C27" s="404"/>
      <c r="D27" s="131"/>
      <c r="E27" s="312"/>
      <c r="F27" s="404"/>
      <c r="G27" s="132"/>
      <c r="H27" s="412" t="s">
        <v>260</v>
      </c>
      <c r="I27" s="413"/>
      <c r="J27" s="413"/>
      <c r="K27" s="312"/>
      <c r="L27" s="313"/>
      <c r="M27" s="314"/>
      <c r="N27" s="410" t="s">
        <v>261</v>
      </c>
      <c r="O27" s="414"/>
      <c r="P27" s="411"/>
      <c r="Q27" s="312"/>
      <c r="R27" s="313"/>
      <c r="S27" s="313"/>
      <c r="T27" s="314"/>
      <c r="U27" s="555" t="s">
        <v>301</v>
      </c>
      <c r="V27" s="556"/>
      <c r="W27" s="415"/>
      <c r="X27" s="416"/>
      <c r="Y27" s="8" t="s">
        <v>263</v>
      </c>
      <c r="Z27" s="555" t="s">
        <v>302</v>
      </c>
      <c r="AA27" s="556"/>
      <c r="AB27" s="417"/>
      <c r="AC27" s="418"/>
      <c r="AD27" s="17" t="s">
        <v>265</v>
      </c>
      <c r="AE27" s="134" t="s">
        <v>303</v>
      </c>
      <c r="AF27" s="134"/>
      <c r="AG27" s="134"/>
      <c r="AH27" s="131"/>
      <c r="AI27" s="312"/>
      <c r="AJ27" s="12" t="s">
        <v>304</v>
      </c>
      <c r="AK27" s="410" t="s">
        <v>267</v>
      </c>
      <c r="AL27" s="411"/>
      <c r="AM27" s="131"/>
      <c r="AN27" s="131"/>
      <c r="AO27" s="132"/>
      <c r="AQ27" s="721" t="s">
        <v>133</v>
      </c>
      <c r="AR27" s="722"/>
      <c r="AS27" s="722"/>
      <c r="AT27" s="723"/>
      <c r="AU27" s="415"/>
      <c r="AV27" s="416"/>
      <c r="AW27" s="416"/>
      <c r="AX27" s="416"/>
      <c r="AY27" s="416"/>
      <c r="AZ27" s="416"/>
      <c r="BA27" s="416"/>
      <c r="BB27" s="416"/>
      <c r="BC27" s="720"/>
      <c r="BD27" s="64" t="s">
        <v>305</v>
      </c>
      <c r="BE27" s="415"/>
      <c r="BF27" s="720"/>
      <c r="BG27" s="106"/>
      <c r="BH27" s="106"/>
      <c r="BI27" s="106"/>
      <c r="BJ27" s="106"/>
    </row>
    <row r="28" spans="1:62" ht="15" customHeight="1">
      <c r="A28" s="448"/>
      <c r="B28" s="55">
        <v>6</v>
      </c>
      <c r="C28" s="404"/>
      <c r="D28" s="131"/>
      <c r="E28" s="312"/>
      <c r="F28" s="404"/>
      <c r="G28" s="132"/>
      <c r="H28" s="412" t="s">
        <v>260</v>
      </c>
      <c r="I28" s="413"/>
      <c r="J28" s="413"/>
      <c r="K28" s="312"/>
      <c r="L28" s="313"/>
      <c r="M28" s="314"/>
      <c r="N28" s="410" t="s">
        <v>261</v>
      </c>
      <c r="O28" s="414"/>
      <c r="P28" s="411"/>
      <c r="Q28" s="312"/>
      <c r="R28" s="313"/>
      <c r="S28" s="313"/>
      <c r="T28" s="314"/>
      <c r="U28" s="555" t="s">
        <v>301</v>
      </c>
      <c r="V28" s="556"/>
      <c r="W28" s="415"/>
      <c r="X28" s="416"/>
      <c r="Y28" s="8" t="s">
        <v>263</v>
      </c>
      <c r="Z28" s="555" t="s">
        <v>302</v>
      </c>
      <c r="AA28" s="556"/>
      <c r="AB28" s="417"/>
      <c r="AC28" s="418"/>
      <c r="AD28" s="17" t="s">
        <v>265</v>
      </c>
      <c r="AE28" s="134" t="s">
        <v>303</v>
      </c>
      <c r="AF28" s="134"/>
      <c r="AG28" s="134"/>
      <c r="AH28" s="131"/>
      <c r="AI28" s="312"/>
      <c r="AJ28" s="12" t="s">
        <v>304</v>
      </c>
      <c r="AK28" s="410" t="s">
        <v>267</v>
      </c>
      <c r="AL28" s="411"/>
      <c r="AM28" s="131"/>
      <c r="AN28" s="131"/>
      <c r="AO28" s="132"/>
      <c r="AQ28" s="721" t="s">
        <v>133</v>
      </c>
      <c r="AR28" s="722"/>
      <c r="AS28" s="722"/>
      <c r="AT28" s="723"/>
      <c r="AU28" s="415"/>
      <c r="AV28" s="416"/>
      <c r="AW28" s="416"/>
      <c r="AX28" s="416"/>
      <c r="AY28" s="416"/>
      <c r="AZ28" s="416"/>
      <c r="BA28" s="416"/>
      <c r="BB28" s="416"/>
      <c r="BC28" s="720"/>
      <c r="BD28" s="64" t="s">
        <v>305</v>
      </c>
      <c r="BE28" s="415"/>
      <c r="BF28" s="720"/>
      <c r="BG28" s="106"/>
      <c r="BH28" s="106"/>
      <c r="BI28" s="106"/>
      <c r="BJ28" s="106"/>
    </row>
    <row r="29" spans="1:62" ht="15" customHeight="1" thickBot="1">
      <c r="A29" s="449"/>
      <c r="B29" s="56">
        <v>7</v>
      </c>
      <c r="C29" s="405"/>
      <c r="D29" s="126"/>
      <c r="E29" s="406"/>
      <c r="F29" s="405"/>
      <c r="G29" s="127"/>
      <c r="H29" s="522" t="s">
        <v>260</v>
      </c>
      <c r="I29" s="523"/>
      <c r="J29" s="523"/>
      <c r="K29" s="406"/>
      <c r="L29" s="698"/>
      <c r="M29" s="699"/>
      <c r="N29" s="634" t="s">
        <v>261</v>
      </c>
      <c r="O29" s="700"/>
      <c r="P29" s="635"/>
      <c r="Q29" s="406"/>
      <c r="R29" s="698"/>
      <c r="S29" s="698"/>
      <c r="T29" s="699"/>
      <c r="U29" s="579" t="s">
        <v>301</v>
      </c>
      <c r="V29" s="580"/>
      <c r="W29" s="581"/>
      <c r="X29" s="582"/>
      <c r="Y29" s="9" t="s">
        <v>263</v>
      </c>
      <c r="Z29" s="579" t="s">
        <v>302</v>
      </c>
      <c r="AA29" s="580"/>
      <c r="AB29" s="508"/>
      <c r="AC29" s="509"/>
      <c r="AD29" s="18" t="s">
        <v>265</v>
      </c>
      <c r="AE29" s="125" t="s">
        <v>303</v>
      </c>
      <c r="AF29" s="125"/>
      <c r="AG29" s="125"/>
      <c r="AH29" s="126"/>
      <c r="AI29" s="406"/>
      <c r="AJ29" s="13" t="s">
        <v>304</v>
      </c>
      <c r="AK29" s="634" t="s">
        <v>267</v>
      </c>
      <c r="AL29" s="635"/>
      <c r="AM29" s="126"/>
      <c r="AN29" s="126"/>
      <c r="AO29" s="127"/>
      <c r="AQ29" s="721" t="s">
        <v>133</v>
      </c>
      <c r="AR29" s="722"/>
      <c r="AS29" s="722"/>
      <c r="AT29" s="723"/>
      <c r="AU29" s="415"/>
      <c r="AV29" s="416"/>
      <c r="AW29" s="416"/>
      <c r="AX29" s="416"/>
      <c r="AY29" s="416"/>
      <c r="AZ29" s="416"/>
      <c r="BA29" s="416"/>
      <c r="BB29" s="416"/>
      <c r="BC29" s="720"/>
      <c r="BD29" s="64" t="s">
        <v>305</v>
      </c>
      <c r="BE29" s="415"/>
      <c r="BF29" s="720"/>
      <c r="BG29" s="106"/>
      <c r="BH29" s="106"/>
      <c r="BI29" s="106"/>
      <c r="BJ29" s="106"/>
    </row>
    <row r="30" spans="1:62" ht="15" customHeight="1">
      <c r="A30" s="631" t="s">
        <v>275</v>
      </c>
      <c r="B30" s="66">
        <v>1</v>
      </c>
      <c r="C30" s="697"/>
      <c r="D30" s="516"/>
      <c r="E30" s="423"/>
      <c r="F30" s="697"/>
      <c r="G30" s="613"/>
      <c r="H30" s="680" t="s">
        <v>260</v>
      </c>
      <c r="I30" s="394"/>
      <c r="J30" s="394"/>
      <c r="K30" s="395"/>
      <c r="L30" s="395"/>
      <c r="M30" s="395"/>
      <c r="N30" s="395"/>
      <c r="O30" s="402" t="s">
        <v>278</v>
      </c>
      <c r="P30" s="402"/>
      <c r="Q30" s="402"/>
      <c r="R30" s="395"/>
      <c r="S30" s="396"/>
      <c r="T30" s="7" t="s">
        <v>279</v>
      </c>
      <c r="U30" s="402" t="s">
        <v>276</v>
      </c>
      <c r="V30" s="402"/>
      <c r="W30" s="402"/>
      <c r="X30" s="395"/>
      <c r="Y30" s="395"/>
      <c r="Z30" s="395"/>
      <c r="AA30" s="402" t="s">
        <v>311</v>
      </c>
      <c r="AB30" s="402"/>
      <c r="AC30" s="402"/>
      <c r="AD30" s="99"/>
      <c r="AE30" s="402" t="s">
        <v>303</v>
      </c>
      <c r="AF30" s="402"/>
      <c r="AG30" s="402"/>
      <c r="AH30" s="395"/>
      <c r="AI30" s="396"/>
      <c r="AJ30" s="11" t="s">
        <v>304</v>
      </c>
      <c r="AK30" s="402" t="s">
        <v>267</v>
      </c>
      <c r="AL30" s="402"/>
      <c r="AM30" s="395"/>
      <c r="AN30" s="395"/>
      <c r="AO30" s="403"/>
      <c r="AQ30" s="721" t="s">
        <v>133</v>
      </c>
      <c r="AR30" s="722"/>
      <c r="AS30" s="722"/>
      <c r="AT30" s="723"/>
      <c r="AU30" s="415"/>
      <c r="AV30" s="416"/>
      <c r="AW30" s="416"/>
      <c r="AX30" s="416"/>
      <c r="AY30" s="416"/>
      <c r="AZ30" s="416"/>
      <c r="BA30" s="416"/>
      <c r="BB30" s="416"/>
      <c r="BC30" s="720"/>
      <c r="BD30" s="64" t="s">
        <v>312</v>
      </c>
      <c r="BE30" s="104"/>
      <c r="BF30" s="64" t="s">
        <v>313</v>
      </c>
      <c r="BG30" s="104"/>
      <c r="BH30" s="106"/>
      <c r="BI30" s="106"/>
      <c r="BJ30" s="106"/>
    </row>
    <row r="31" spans="1:62" ht="15" customHeight="1">
      <c r="A31" s="632"/>
      <c r="B31" s="67">
        <v>2</v>
      </c>
      <c r="C31" s="404"/>
      <c r="D31" s="131"/>
      <c r="E31" s="312"/>
      <c r="F31" s="404"/>
      <c r="G31" s="132"/>
      <c r="H31" s="614" t="s">
        <v>260</v>
      </c>
      <c r="I31" s="413"/>
      <c r="J31" s="413"/>
      <c r="K31" s="131"/>
      <c r="L31" s="131"/>
      <c r="M31" s="131"/>
      <c r="N31" s="131"/>
      <c r="O31" s="134" t="s">
        <v>278</v>
      </c>
      <c r="P31" s="134"/>
      <c r="Q31" s="134"/>
      <c r="R31" s="131"/>
      <c r="S31" s="312"/>
      <c r="T31" s="8" t="s">
        <v>279</v>
      </c>
      <c r="U31" s="134" t="s">
        <v>276</v>
      </c>
      <c r="V31" s="134"/>
      <c r="W31" s="134"/>
      <c r="X31" s="131"/>
      <c r="Y31" s="131"/>
      <c r="Z31" s="131"/>
      <c r="AA31" s="134" t="s">
        <v>311</v>
      </c>
      <c r="AB31" s="134"/>
      <c r="AC31" s="134"/>
      <c r="AD31" s="100"/>
      <c r="AE31" s="134" t="s">
        <v>303</v>
      </c>
      <c r="AF31" s="134"/>
      <c r="AG31" s="134"/>
      <c r="AH31" s="131"/>
      <c r="AI31" s="312"/>
      <c r="AJ31" s="12" t="s">
        <v>304</v>
      </c>
      <c r="AK31" s="134" t="s">
        <v>267</v>
      </c>
      <c r="AL31" s="134"/>
      <c r="AM31" s="131"/>
      <c r="AN31" s="131"/>
      <c r="AO31" s="132"/>
      <c r="AQ31" s="721" t="s">
        <v>133</v>
      </c>
      <c r="AR31" s="722"/>
      <c r="AS31" s="722"/>
      <c r="AT31" s="723"/>
      <c r="AU31" s="415"/>
      <c r="AV31" s="416"/>
      <c r="AW31" s="416"/>
      <c r="AX31" s="416"/>
      <c r="AY31" s="416"/>
      <c r="AZ31" s="416"/>
      <c r="BA31" s="416"/>
      <c r="BB31" s="416"/>
      <c r="BC31" s="720"/>
      <c r="BD31" s="64" t="s">
        <v>312</v>
      </c>
      <c r="BE31" s="104"/>
      <c r="BF31" s="64" t="s">
        <v>313</v>
      </c>
      <c r="BG31" s="104"/>
      <c r="BH31" s="106"/>
      <c r="BI31" s="106"/>
      <c r="BJ31" s="106"/>
    </row>
    <row r="32" spans="1:62" ht="15" customHeight="1">
      <c r="A32" s="632"/>
      <c r="B32" s="67">
        <v>3</v>
      </c>
      <c r="C32" s="404"/>
      <c r="D32" s="131"/>
      <c r="E32" s="312"/>
      <c r="F32" s="404"/>
      <c r="G32" s="132"/>
      <c r="H32" s="614" t="s">
        <v>260</v>
      </c>
      <c r="I32" s="413"/>
      <c r="J32" s="413"/>
      <c r="K32" s="131"/>
      <c r="L32" s="131"/>
      <c r="M32" s="131"/>
      <c r="N32" s="131"/>
      <c r="O32" s="134" t="s">
        <v>278</v>
      </c>
      <c r="P32" s="134"/>
      <c r="Q32" s="134"/>
      <c r="R32" s="131"/>
      <c r="S32" s="312"/>
      <c r="T32" s="8" t="s">
        <v>279</v>
      </c>
      <c r="U32" s="134" t="s">
        <v>276</v>
      </c>
      <c r="V32" s="134"/>
      <c r="W32" s="134"/>
      <c r="X32" s="131"/>
      <c r="Y32" s="131"/>
      <c r="Z32" s="131"/>
      <c r="AA32" s="134" t="s">
        <v>311</v>
      </c>
      <c r="AB32" s="134"/>
      <c r="AC32" s="134"/>
      <c r="AD32" s="100"/>
      <c r="AE32" s="134" t="s">
        <v>303</v>
      </c>
      <c r="AF32" s="134"/>
      <c r="AG32" s="134"/>
      <c r="AH32" s="131"/>
      <c r="AI32" s="312"/>
      <c r="AJ32" s="12" t="s">
        <v>304</v>
      </c>
      <c r="AK32" s="134" t="s">
        <v>267</v>
      </c>
      <c r="AL32" s="134"/>
      <c r="AM32" s="131"/>
      <c r="AN32" s="131"/>
      <c r="AO32" s="132"/>
      <c r="AQ32" s="721" t="s">
        <v>133</v>
      </c>
      <c r="AR32" s="722"/>
      <c r="AS32" s="722"/>
      <c r="AT32" s="723"/>
      <c r="AU32" s="415"/>
      <c r="AV32" s="416"/>
      <c r="AW32" s="416"/>
      <c r="AX32" s="416"/>
      <c r="AY32" s="416"/>
      <c r="AZ32" s="416"/>
      <c r="BA32" s="416"/>
      <c r="BB32" s="416"/>
      <c r="BC32" s="720"/>
      <c r="BD32" s="64" t="s">
        <v>312</v>
      </c>
      <c r="BE32" s="104"/>
      <c r="BF32" s="64" t="s">
        <v>313</v>
      </c>
      <c r="BG32" s="104"/>
      <c r="BH32" s="106"/>
      <c r="BI32" s="106"/>
      <c r="BJ32" s="106"/>
    </row>
    <row r="33" spans="1:62" ht="15" customHeight="1" thickBot="1">
      <c r="A33" s="633"/>
      <c r="B33" s="68">
        <v>4</v>
      </c>
      <c r="C33" s="530"/>
      <c r="D33" s="384"/>
      <c r="E33" s="386"/>
      <c r="F33" s="530"/>
      <c r="G33" s="385"/>
      <c r="H33" s="620" t="s">
        <v>260</v>
      </c>
      <c r="I33" s="523"/>
      <c r="J33" s="523"/>
      <c r="K33" s="126"/>
      <c r="L33" s="126"/>
      <c r="M33" s="126"/>
      <c r="N33" s="126"/>
      <c r="O33" s="125" t="s">
        <v>278</v>
      </c>
      <c r="P33" s="125"/>
      <c r="Q33" s="125"/>
      <c r="R33" s="126"/>
      <c r="S33" s="406"/>
      <c r="T33" s="9" t="s">
        <v>279</v>
      </c>
      <c r="U33" s="125" t="s">
        <v>276</v>
      </c>
      <c r="V33" s="125"/>
      <c r="W33" s="125"/>
      <c r="X33" s="126"/>
      <c r="Y33" s="126"/>
      <c r="Z33" s="126"/>
      <c r="AA33" s="125" t="s">
        <v>311</v>
      </c>
      <c r="AB33" s="125"/>
      <c r="AC33" s="125"/>
      <c r="AD33" s="101"/>
      <c r="AE33" s="125" t="s">
        <v>303</v>
      </c>
      <c r="AF33" s="125"/>
      <c r="AG33" s="125"/>
      <c r="AH33" s="126"/>
      <c r="AI33" s="406"/>
      <c r="AJ33" s="13" t="s">
        <v>304</v>
      </c>
      <c r="AK33" s="125" t="s">
        <v>267</v>
      </c>
      <c r="AL33" s="125"/>
      <c r="AM33" s="126"/>
      <c r="AN33" s="126"/>
      <c r="AO33" s="127"/>
      <c r="AQ33" s="721" t="s">
        <v>133</v>
      </c>
      <c r="AR33" s="722"/>
      <c r="AS33" s="722"/>
      <c r="AT33" s="723"/>
      <c r="AU33" s="415"/>
      <c r="AV33" s="416"/>
      <c r="AW33" s="416"/>
      <c r="AX33" s="416"/>
      <c r="AY33" s="416"/>
      <c r="AZ33" s="416"/>
      <c r="BA33" s="416"/>
      <c r="BB33" s="416"/>
      <c r="BC33" s="720"/>
      <c r="BD33" s="64" t="s">
        <v>312</v>
      </c>
      <c r="BE33" s="104"/>
      <c r="BF33" s="64" t="s">
        <v>313</v>
      </c>
      <c r="BG33" s="104"/>
      <c r="BH33" s="106"/>
      <c r="BI33" s="106"/>
      <c r="BJ33" s="106"/>
    </row>
    <row r="34" spans="1:62" ht="15" customHeight="1">
      <c r="A34" s="615" t="s">
        <v>314</v>
      </c>
      <c r="B34" s="66">
        <v>1</v>
      </c>
      <c r="C34" s="450"/>
      <c r="D34" s="395"/>
      <c r="E34" s="396"/>
      <c r="F34" s="450"/>
      <c r="G34" s="403"/>
      <c r="H34" s="680" t="s">
        <v>261</v>
      </c>
      <c r="I34" s="394"/>
      <c r="J34" s="394"/>
      <c r="K34" s="396"/>
      <c r="L34" s="433"/>
      <c r="M34" s="433"/>
      <c r="N34" s="433"/>
      <c r="O34" s="433"/>
      <c r="P34" s="433"/>
      <c r="Q34" s="434"/>
      <c r="R34" s="419" t="s">
        <v>270</v>
      </c>
      <c r="S34" s="452"/>
      <c r="T34" s="420"/>
      <c r="U34" s="396"/>
      <c r="V34" s="433"/>
      <c r="W34" s="434"/>
      <c r="X34" s="402" t="s">
        <v>262</v>
      </c>
      <c r="Y34" s="402"/>
      <c r="Z34" s="402"/>
      <c r="AA34" s="402"/>
      <c r="AB34" s="455"/>
      <c r="AC34" s="456"/>
      <c r="AD34" s="7" t="s">
        <v>263</v>
      </c>
      <c r="AE34" s="402" t="s">
        <v>113</v>
      </c>
      <c r="AF34" s="402"/>
      <c r="AG34" s="402"/>
      <c r="AH34" s="395"/>
      <c r="AI34" s="396"/>
      <c r="AJ34" s="11" t="s">
        <v>114</v>
      </c>
      <c r="AK34" s="402" t="s">
        <v>267</v>
      </c>
      <c r="AL34" s="402"/>
      <c r="AM34" s="395"/>
      <c r="AN34" s="395"/>
      <c r="AO34" s="403"/>
      <c r="AQ34" s="721" t="s">
        <v>133</v>
      </c>
      <c r="AR34" s="722"/>
      <c r="AS34" s="722"/>
      <c r="AT34" s="723"/>
      <c r="AU34" s="415"/>
      <c r="AV34" s="416"/>
      <c r="AW34" s="416"/>
      <c r="AX34" s="416"/>
      <c r="AY34" s="416"/>
      <c r="AZ34" s="416"/>
      <c r="BA34" s="416"/>
      <c r="BB34" s="416"/>
      <c r="BC34" s="720"/>
      <c r="BD34" s="64" t="s">
        <v>302</v>
      </c>
      <c r="BE34" s="104"/>
      <c r="BF34" s="64" t="s">
        <v>305</v>
      </c>
      <c r="BG34" s="415"/>
      <c r="BH34" s="720"/>
      <c r="BI34" s="106"/>
      <c r="BJ34" s="106"/>
    </row>
    <row r="35" spans="1:62" ht="15" customHeight="1">
      <c r="A35" s="616"/>
      <c r="B35" s="67">
        <v>2</v>
      </c>
      <c r="C35" s="404"/>
      <c r="D35" s="131"/>
      <c r="E35" s="312"/>
      <c r="F35" s="404"/>
      <c r="G35" s="132"/>
      <c r="H35" s="614" t="s">
        <v>261</v>
      </c>
      <c r="I35" s="413"/>
      <c r="J35" s="413"/>
      <c r="K35" s="423"/>
      <c r="L35" s="424"/>
      <c r="M35" s="424"/>
      <c r="N35" s="424"/>
      <c r="O35" s="424"/>
      <c r="P35" s="424"/>
      <c r="Q35" s="425"/>
      <c r="R35" s="426" t="s">
        <v>270</v>
      </c>
      <c r="S35" s="427"/>
      <c r="T35" s="428"/>
      <c r="U35" s="423"/>
      <c r="V35" s="424"/>
      <c r="W35" s="425"/>
      <c r="X35" s="134" t="s">
        <v>262</v>
      </c>
      <c r="Y35" s="134"/>
      <c r="Z35" s="134"/>
      <c r="AA35" s="134"/>
      <c r="AB35" s="417"/>
      <c r="AC35" s="418"/>
      <c r="AD35" s="8" t="s">
        <v>263</v>
      </c>
      <c r="AE35" s="134" t="s">
        <v>113</v>
      </c>
      <c r="AF35" s="134"/>
      <c r="AG35" s="134"/>
      <c r="AH35" s="131"/>
      <c r="AI35" s="312"/>
      <c r="AJ35" s="12" t="s">
        <v>114</v>
      </c>
      <c r="AK35" s="134" t="s">
        <v>267</v>
      </c>
      <c r="AL35" s="134"/>
      <c r="AM35" s="131"/>
      <c r="AN35" s="131"/>
      <c r="AO35" s="132"/>
      <c r="AQ35" s="721" t="s">
        <v>133</v>
      </c>
      <c r="AR35" s="722"/>
      <c r="AS35" s="722"/>
      <c r="AT35" s="723"/>
      <c r="AU35" s="415"/>
      <c r="AV35" s="416"/>
      <c r="AW35" s="416"/>
      <c r="AX35" s="416"/>
      <c r="AY35" s="416"/>
      <c r="AZ35" s="416"/>
      <c r="BA35" s="416"/>
      <c r="BB35" s="416"/>
      <c r="BC35" s="720"/>
      <c r="BD35" s="64" t="s">
        <v>302</v>
      </c>
      <c r="BE35" s="104"/>
      <c r="BF35" s="64" t="s">
        <v>305</v>
      </c>
      <c r="BG35" s="724"/>
      <c r="BH35" s="725"/>
      <c r="BI35" s="106"/>
      <c r="BJ35" s="106"/>
    </row>
    <row r="36" spans="1:62" ht="15" customHeight="1">
      <c r="A36" s="616"/>
      <c r="B36" s="67">
        <v>3</v>
      </c>
      <c r="C36" s="404"/>
      <c r="D36" s="131"/>
      <c r="E36" s="312"/>
      <c r="F36" s="404"/>
      <c r="G36" s="132"/>
      <c r="H36" s="614" t="s">
        <v>261</v>
      </c>
      <c r="I36" s="413"/>
      <c r="J36" s="413"/>
      <c r="K36" s="423"/>
      <c r="L36" s="424"/>
      <c r="M36" s="424"/>
      <c r="N36" s="424"/>
      <c r="O36" s="424"/>
      <c r="P36" s="424"/>
      <c r="Q36" s="425"/>
      <c r="R36" s="426" t="s">
        <v>270</v>
      </c>
      <c r="S36" s="427"/>
      <c r="T36" s="428"/>
      <c r="U36" s="423"/>
      <c r="V36" s="424"/>
      <c r="W36" s="425"/>
      <c r="X36" s="134" t="s">
        <v>262</v>
      </c>
      <c r="Y36" s="134"/>
      <c r="Z36" s="134"/>
      <c r="AA36" s="134"/>
      <c r="AB36" s="417"/>
      <c r="AC36" s="418"/>
      <c r="AD36" s="8" t="s">
        <v>263</v>
      </c>
      <c r="AE36" s="134" t="s">
        <v>113</v>
      </c>
      <c r="AF36" s="134"/>
      <c r="AG36" s="134"/>
      <c r="AH36" s="131"/>
      <c r="AI36" s="312"/>
      <c r="AJ36" s="12" t="s">
        <v>114</v>
      </c>
      <c r="AK36" s="134" t="s">
        <v>267</v>
      </c>
      <c r="AL36" s="134"/>
      <c r="AM36" s="131"/>
      <c r="AN36" s="131"/>
      <c r="AO36" s="132"/>
      <c r="AQ36" s="721" t="s">
        <v>133</v>
      </c>
      <c r="AR36" s="722"/>
      <c r="AS36" s="722"/>
      <c r="AT36" s="723"/>
      <c r="AU36" s="415"/>
      <c r="AV36" s="416"/>
      <c r="AW36" s="416"/>
      <c r="AX36" s="416"/>
      <c r="AY36" s="416"/>
      <c r="AZ36" s="416"/>
      <c r="BA36" s="416"/>
      <c r="BB36" s="416"/>
      <c r="BC36" s="720"/>
      <c r="BD36" s="64" t="s">
        <v>302</v>
      </c>
      <c r="BE36" s="104"/>
      <c r="BF36" s="64" t="s">
        <v>305</v>
      </c>
      <c r="BG36" s="724"/>
      <c r="BH36" s="725"/>
      <c r="BI36" s="106"/>
      <c r="BJ36" s="106"/>
    </row>
    <row r="37" spans="1:62" ht="15" customHeight="1" thickBot="1">
      <c r="A37" s="617"/>
      <c r="B37" s="68">
        <v>4</v>
      </c>
      <c r="C37" s="405"/>
      <c r="D37" s="126"/>
      <c r="E37" s="406"/>
      <c r="F37" s="405"/>
      <c r="G37" s="127"/>
      <c r="H37" s="620" t="s">
        <v>261</v>
      </c>
      <c r="I37" s="523"/>
      <c r="J37" s="523"/>
      <c r="K37" s="583"/>
      <c r="L37" s="584"/>
      <c r="M37" s="584"/>
      <c r="N37" s="584"/>
      <c r="O37" s="584"/>
      <c r="P37" s="584"/>
      <c r="Q37" s="704"/>
      <c r="R37" s="585" t="s">
        <v>270</v>
      </c>
      <c r="S37" s="586"/>
      <c r="T37" s="705"/>
      <c r="U37" s="583"/>
      <c r="V37" s="584"/>
      <c r="W37" s="704"/>
      <c r="X37" s="125" t="s">
        <v>262</v>
      </c>
      <c r="Y37" s="125"/>
      <c r="Z37" s="125"/>
      <c r="AA37" s="125"/>
      <c r="AB37" s="621"/>
      <c r="AC37" s="622"/>
      <c r="AD37" s="15" t="s">
        <v>263</v>
      </c>
      <c r="AE37" s="629" t="s">
        <v>113</v>
      </c>
      <c r="AF37" s="629"/>
      <c r="AG37" s="629"/>
      <c r="AH37" s="628"/>
      <c r="AI37" s="583"/>
      <c r="AJ37" s="14" t="s">
        <v>114</v>
      </c>
      <c r="AK37" s="629" t="s">
        <v>267</v>
      </c>
      <c r="AL37" s="629"/>
      <c r="AM37" s="628"/>
      <c r="AN37" s="628"/>
      <c r="AO37" s="630"/>
      <c r="AQ37" s="721" t="s">
        <v>133</v>
      </c>
      <c r="AR37" s="722"/>
      <c r="AS37" s="722"/>
      <c r="AT37" s="723"/>
      <c r="AU37" s="415"/>
      <c r="AV37" s="416"/>
      <c r="AW37" s="416"/>
      <c r="AX37" s="416"/>
      <c r="AY37" s="416"/>
      <c r="AZ37" s="416"/>
      <c r="BA37" s="416"/>
      <c r="BB37" s="416"/>
      <c r="BC37" s="720"/>
      <c r="BD37" s="64" t="s">
        <v>302</v>
      </c>
      <c r="BE37" s="104"/>
      <c r="BF37" s="64" t="s">
        <v>305</v>
      </c>
      <c r="BG37" s="724"/>
      <c r="BH37" s="725"/>
      <c r="BI37" s="106"/>
      <c r="BJ37" s="106"/>
    </row>
    <row r="38" spans="1:62" ht="15" customHeight="1">
      <c r="A38" s="615" t="s">
        <v>315</v>
      </c>
      <c r="B38" s="66">
        <v>1</v>
      </c>
      <c r="C38" s="697"/>
      <c r="D38" s="516"/>
      <c r="E38" s="423"/>
      <c r="F38" s="697"/>
      <c r="G38" s="613"/>
      <c r="H38" s="618" t="s">
        <v>261</v>
      </c>
      <c r="I38" s="422"/>
      <c r="J38" s="422"/>
      <c r="K38" s="423"/>
      <c r="L38" s="424"/>
      <c r="M38" s="424"/>
      <c r="N38" s="424"/>
      <c r="O38" s="424"/>
      <c r="P38" s="424"/>
      <c r="Q38" s="425"/>
      <c r="R38" s="426" t="s">
        <v>270</v>
      </c>
      <c r="S38" s="427"/>
      <c r="T38" s="428"/>
      <c r="U38" s="423"/>
      <c r="V38" s="424"/>
      <c r="W38" s="425"/>
      <c r="X38" s="612" t="s">
        <v>311</v>
      </c>
      <c r="Y38" s="612"/>
      <c r="Z38" s="612"/>
      <c r="AA38" s="612"/>
      <c r="AB38" s="432"/>
      <c r="AC38" s="592"/>
      <c r="AD38" s="592"/>
      <c r="AE38" s="593"/>
      <c r="AF38" s="590" t="s">
        <v>316</v>
      </c>
      <c r="AG38" s="590"/>
      <c r="AH38" s="591"/>
      <c r="AI38" s="592"/>
      <c r="AJ38" s="593"/>
      <c r="AK38" s="612" t="s">
        <v>267</v>
      </c>
      <c r="AL38" s="612"/>
      <c r="AM38" s="516"/>
      <c r="AN38" s="516"/>
      <c r="AO38" s="613"/>
      <c r="AQ38" s="105"/>
      <c r="AR38" s="105"/>
      <c r="AS38" s="105"/>
      <c r="AT38" s="105"/>
      <c r="AU38" s="106"/>
      <c r="AV38" s="106"/>
      <c r="AW38" s="106"/>
      <c r="AX38" s="106"/>
      <c r="AY38" s="106"/>
      <c r="AZ38" s="106"/>
      <c r="BA38" s="106"/>
      <c r="BB38" s="106"/>
      <c r="BC38" s="106"/>
      <c r="BD38" s="106"/>
      <c r="BE38" s="106"/>
      <c r="BF38" s="106"/>
      <c r="BG38" s="106"/>
      <c r="BH38" s="106"/>
      <c r="BI38" s="106"/>
      <c r="BJ38" s="106"/>
    </row>
    <row r="39" spans="1:62" ht="15" customHeight="1">
      <c r="A39" s="616"/>
      <c r="B39" s="67">
        <v>2</v>
      </c>
      <c r="C39" s="404"/>
      <c r="D39" s="131"/>
      <c r="E39" s="312"/>
      <c r="F39" s="404"/>
      <c r="G39" s="132"/>
      <c r="H39" s="614" t="s">
        <v>261</v>
      </c>
      <c r="I39" s="413"/>
      <c r="J39" s="413"/>
      <c r="K39" s="423"/>
      <c r="L39" s="424"/>
      <c r="M39" s="424"/>
      <c r="N39" s="424"/>
      <c r="O39" s="424"/>
      <c r="P39" s="424"/>
      <c r="Q39" s="425"/>
      <c r="R39" s="426" t="s">
        <v>270</v>
      </c>
      <c r="S39" s="427"/>
      <c r="T39" s="428"/>
      <c r="U39" s="423"/>
      <c r="V39" s="424"/>
      <c r="W39" s="425"/>
      <c r="X39" s="134" t="s">
        <v>311</v>
      </c>
      <c r="Y39" s="134"/>
      <c r="Z39" s="134"/>
      <c r="AA39" s="134"/>
      <c r="AB39" s="418"/>
      <c r="AC39" s="605"/>
      <c r="AD39" s="605"/>
      <c r="AE39" s="606"/>
      <c r="AF39" s="594" t="s">
        <v>316</v>
      </c>
      <c r="AG39" s="594"/>
      <c r="AH39" s="595"/>
      <c r="AI39" s="605"/>
      <c r="AJ39" s="606"/>
      <c r="AK39" s="134" t="s">
        <v>267</v>
      </c>
      <c r="AL39" s="134"/>
      <c r="AM39" s="131"/>
      <c r="AN39" s="131"/>
      <c r="AO39" s="132"/>
      <c r="AQ39" s="106"/>
      <c r="AR39" s="106"/>
      <c r="AS39" s="106" t="s">
        <v>317</v>
      </c>
      <c r="AT39" s="106"/>
      <c r="AU39" s="106"/>
      <c r="AV39" s="106"/>
      <c r="AW39" s="106"/>
      <c r="AX39" s="106"/>
      <c r="AY39" s="106"/>
      <c r="AZ39" s="106"/>
      <c r="BA39" s="106"/>
      <c r="BB39" s="106"/>
      <c r="BC39" s="106"/>
      <c r="BD39" s="106"/>
      <c r="BE39" s="106"/>
      <c r="BF39" s="106"/>
      <c r="BG39" s="106"/>
      <c r="BH39" s="106"/>
      <c r="BI39" s="106"/>
      <c r="BJ39" s="106"/>
    </row>
    <row r="40" spans="1:62" ht="15" customHeight="1">
      <c r="A40" s="616"/>
      <c r="B40" s="67">
        <v>3</v>
      </c>
      <c r="C40" s="404"/>
      <c r="D40" s="131"/>
      <c r="E40" s="312"/>
      <c r="F40" s="404"/>
      <c r="G40" s="132"/>
      <c r="H40" s="614" t="s">
        <v>261</v>
      </c>
      <c r="I40" s="413"/>
      <c r="J40" s="413"/>
      <c r="K40" s="423"/>
      <c r="L40" s="424"/>
      <c r="M40" s="424"/>
      <c r="N40" s="424"/>
      <c r="O40" s="424"/>
      <c r="P40" s="424"/>
      <c r="Q40" s="425"/>
      <c r="R40" s="426" t="s">
        <v>270</v>
      </c>
      <c r="S40" s="427"/>
      <c r="T40" s="428"/>
      <c r="U40" s="423"/>
      <c r="V40" s="424"/>
      <c r="W40" s="425"/>
      <c r="X40" s="134" t="s">
        <v>311</v>
      </c>
      <c r="Y40" s="134"/>
      <c r="Z40" s="134"/>
      <c r="AA40" s="134"/>
      <c r="AB40" s="418"/>
      <c r="AC40" s="605"/>
      <c r="AD40" s="605"/>
      <c r="AE40" s="606"/>
      <c r="AF40" s="594" t="s">
        <v>316</v>
      </c>
      <c r="AG40" s="594"/>
      <c r="AH40" s="595"/>
      <c r="AI40" s="592"/>
      <c r="AJ40" s="593"/>
      <c r="AK40" s="134" t="s">
        <v>267</v>
      </c>
      <c r="AL40" s="134"/>
      <c r="AM40" s="131"/>
      <c r="AN40" s="131"/>
      <c r="AO40" s="132"/>
      <c r="AQ40" s="106"/>
      <c r="AR40" s="106"/>
      <c r="AS40" s="106"/>
      <c r="AT40" s="106"/>
      <c r="AU40" s="106"/>
      <c r="AV40" s="106"/>
      <c r="AW40" s="106"/>
      <c r="AX40" s="106"/>
      <c r="AY40" s="106"/>
      <c r="AZ40" s="106"/>
      <c r="BA40" s="106"/>
      <c r="BB40" s="106"/>
      <c r="BC40" s="106"/>
      <c r="BD40" s="106"/>
      <c r="BE40" s="106"/>
      <c r="BF40" s="106"/>
      <c r="BG40" s="106"/>
      <c r="BH40" s="106"/>
      <c r="BI40" s="106"/>
      <c r="BJ40" s="106"/>
    </row>
    <row r="41" spans="1:62" ht="15" customHeight="1">
      <c r="A41" s="616"/>
      <c r="B41" s="67">
        <v>4</v>
      </c>
      <c r="C41" s="404"/>
      <c r="D41" s="131"/>
      <c r="E41" s="312"/>
      <c r="F41" s="404"/>
      <c r="G41" s="132"/>
      <c r="H41" s="614" t="s">
        <v>261</v>
      </c>
      <c r="I41" s="413"/>
      <c r="J41" s="413"/>
      <c r="K41" s="423"/>
      <c r="L41" s="424"/>
      <c r="M41" s="424"/>
      <c r="N41" s="424"/>
      <c r="O41" s="424"/>
      <c r="P41" s="424"/>
      <c r="Q41" s="425"/>
      <c r="R41" s="426" t="s">
        <v>270</v>
      </c>
      <c r="S41" s="427"/>
      <c r="T41" s="428"/>
      <c r="U41" s="423"/>
      <c r="V41" s="424"/>
      <c r="W41" s="425"/>
      <c r="X41" s="134" t="s">
        <v>311</v>
      </c>
      <c r="Y41" s="134"/>
      <c r="Z41" s="134"/>
      <c r="AA41" s="134"/>
      <c r="AB41" s="418"/>
      <c r="AC41" s="605"/>
      <c r="AD41" s="605"/>
      <c r="AE41" s="606"/>
      <c r="AF41" s="594" t="s">
        <v>316</v>
      </c>
      <c r="AG41" s="594"/>
      <c r="AH41" s="595"/>
      <c r="AI41" s="592"/>
      <c r="AJ41" s="593"/>
      <c r="AK41" s="134" t="s">
        <v>267</v>
      </c>
      <c r="AL41" s="134"/>
      <c r="AM41" s="131"/>
      <c r="AN41" s="131"/>
      <c r="AO41" s="132"/>
      <c r="AQ41" s="106"/>
      <c r="AR41" s="106"/>
      <c r="AS41" s="106"/>
      <c r="AT41" s="106"/>
      <c r="AU41" s="106"/>
      <c r="AV41" s="106"/>
      <c r="AW41" s="106"/>
      <c r="AX41" s="106"/>
      <c r="AY41" s="106"/>
      <c r="AZ41" s="106"/>
      <c r="BA41" s="106"/>
      <c r="BB41" s="106"/>
      <c r="BC41" s="106"/>
      <c r="BD41" s="106"/>
      <c r="BE41" s="106"/>
      <c r="BF41" s="106"/>
      <c r="BG41" s="106"/>
      <c r="BH41" s="106"/>
      <c r="BI41" s="106"/>
      <c r="BJ41" s="106"/>
    </row>
    <row r="42" spans="1:62" ht="15" customHeight="1">
      <c r="A42" s="616"/>
      <c r="B42" s="67">
        <v>5</v>
      </c>
      <c r="C42" s="404"/>
      <c r="D42" s="131"/>
      <c r="E42" s="312"/>
      <c r="F42" s="404"/>
      <c r="G42" s="132"/>
      <c r="H42" s="614" t="s">
        <v>261</v>
      </c>
      <c r="I42" s="413"/>
      <c r="J42" s="413"/>
      <c r="K42" s="423"/>
      <c r="L42" s="424"/>
      <c r="M42" s="424"/>
      <c r="N42" s="424"/>
      <c r="O42" s="424"/>
      <c r="P42" s="424"/>
      <c r="Q42" s="425"/>
      <c r="R42" s="426" t="s">
        <v>270</v>
      </c>
      <c r="S42" s="427"/>
      <c r="T42" s="428"/>
      <c r="U42" s="423"/>
      <c r="V42" s="424"/>
      <c r="W42" s="425"/>
      <c r="X42" s="134" t="s">
        <v>311</v>
      </c>
      <c r="Y42" s="134"/>
      <c r="Z42" s="134"/>
      <c r="AA42" s="134"/>
      <c r="AB42" s="418"/>
      <c r="AC42" s="605"/>
      <c r="AD42" s="605"/>
      <c r="AE42" s="606"/>
      <c r="AF42" s="594" t="s">
        <v>316</v>
      </c>
      <c r="AG42" s="594"/>
      <c r="AH42" s="595"/>
      <c r="AI42" s="592"/>
      <c r="AJ42" s="593"/>
      <c r="AK42" s="134" t="s">
        <v>267</v>
      </c>
      <c r="AL42" s="134"/>
      <c r="AM42" s="131"/>
      <c r="AN42" s="131"/>
      <c r="AO42" s="132"/>
      <c r="AQ42" s="106"/>
      <c r="AR42" s="106"/>
      <c r="AS42" s="106"/>
      <c r="AT42" s="106"/>
      <c r="AU42" s="106"/>
      <c r="AV42" s="106"/>
      <c r="AW42" s="106"/>
      <c r="AX42" s="106"/>
      <c r="AY42" s="106"/>
      <c r="AZ42" s="106"/>
      <c r="BA42" s="106"/>
      <c r="BB42" s="106"/>
      <c r="BC42" s="106"/>
      <c r="BD42" s="106"/>
      <c r="BE42" s="106"/>
      <c r="BF42" s="106"/>
      <c r="BG42" s="106"/>
      <c r="BH42" s="106"/>
      <c r="BI42" s="106"/>
      <c r="BJ42" s="106"/>
    </row>
    <row r="43" spans="1:62" ht="15" customHeight="1" thickBot="1">
      <c r="A43" s="616"/>
      <c r="B43" s="69">
        <v>6</v>
      </c>
      <c r="C43" s="530"/>
      <c r="D43" s="384"/>
      <c r="E43" s="386"/>
      <c r="F43" s="530"/>
      <c r="G43" s="385"/>
      <c r="H43" s="619" t="s">
        <v>261</v>
      </c>
      <c r="I43" s="408"/>
      <c r="J43" s="408"/>
      <c r="K43" s="534"/>
      <c r="L43" s="535"/>
      <c r="M43" s="535"/>
      <c r="N43" s="535"/>
      <c r="O43" s="535"/>
      <c r="P43" s="535"/>
      <c r="Q43" s="703"/>
      <c r="R43" s="426" t="s">
        <v>270</v>
      </c>
      <c r="S43" s="427"/>
      <c r="T43" s="428"/>
      <c r="U43" s="423"/>
      <c r="V43" s="424"/>
      <c r="W43" s="425"/>
      <c r="X43" s="393" t="s">
        <v>311</v>
      </c>
      <c r="Y43" s="393"/>
      <c r="Z43" s="393"/>
      <c r="AA43" s="393"/>
      <c r="AB43" s="607"/>
      <c r="AC43" s="608"/>
      <c r="AD43" s="608"/>
      <c r="AE43" s="609"/>
      <c r="AF43" s="610" t="s">
        <v>316</v>
      </c>
      <c r="AG43" s="610"/>
      <c r="AH43" s="611"/>
      <c r="AI43" s="608"/>
      <c r="AJ43" s="609"/>
      <c r="AK43" s="587" t="s">
        <v>267</v>
      </c>
      <c r="AL43" s="587"/>
      <c r="AM43" s="588"/>
      <c r="AN43" s="588"/>
      <c r="AO43" s="589"/>
      <c r="AQ43" s="106"/>
      <c r="AR43" s="106"/>
      <c r="AS43" s="106"/>
      <c r="AT43" s="106"/>
      <c r="AU43" s="106"/>
      <c r="AV43" s="106"/>
      <c r="AW43" s="106"/>
      <c r="AX43" s="106"/>
      <c r="AY43" s="106"/>
      <c r="AZ43" s="106"/>
      <c r="BA43" s="106"/>
      <c r="BB43" s="106"/>
      <c r="BC43" s="106"/>
      <c r="BD43" s="106"/>
      <c r="BE43" s="106"/>
      <c r="BF43" s="106"/>
      <c r="BG43" s="106"/>
      <c r="BH43" s="106"/>
      <c r="BI43" s="106"/>
      <c r="BJ43" s="106"/>
    </row>
    <row r="44" spans="1:62" ht="15" customHeight="1">
      <c r="A44" s="623" t="s">
        <v>318</v>
      </c>
      <c r="B44" s="66"/>
      <c r="C44" s="450"/>
      <c r="D44" s="395"/>
      <c r="E44" s="396"/>
      <c r="F44" s="450"/>
      <c r="G44" s="403"/>
      <c r="H44" s="626" t="s">
        <v>319</v>
      </c>
      <c r="I44" s="627"/>
      <c r="J44" s="627"/>
      <c r="K44" s="627"/>
      <c r="L44" s="402" t="s">
        <v>276</v>
      </c>
      <c r="M44" s="402"/>
      <c r="N44" s="402"/>
      <c r="O44" s="563"/>
      <c r="P44" s="564"/>
      <c r="Q44" s="564"/>
      <c r="R44" s="564"/>
      <c r="S44" s="564"/>
      <c r="T44" s="564"/>
      <c r="U44" s="564"/>
      <c r="V44" s="564"/>
      <c r="W44" s="564"/>
      <c r="X44" s="564"/>
      <c r="Y44" s="564"/>
      <c r="Z44" s="564"/>
      <c r="AA44" s="564"/>
      <c r="AB44" s="564"/>
      <c r="AC44" s="564"/>
      <c r="AD44" s="564"/>
      <c r="AE44" s="564"/>
      <c r="AF44" s="564"/>
      <c r="AG44" s="564"/>
      <c r="AH44" s="564"/>
      <c r="AI44" s="564"/>
      <c r="AJ44" s="565"/>
      <c r="AK44" s="402" t="s">
        <v>267</v>
      </c>
      <c r="AL44" s="402"/>
      <c r="AM44" s="395"/>
      <c r="AN44" s="395"/>
      <c r="AO44" s="403"/>
      <c r="AQ44" s="106"/>
      <c r="AR44" s="106"/>
      <c r="AS44" s="106"/>
      <c r="AT44" s="106"/>
      <c r="AU44" s="106"/>
      <c r="AV44" s="106"/>
      <c r="AW44" s="106"/>
      <c r="AX44" s="106"/>
      <c r="AY44" s="106"/>
      <c r="AZ44" s="106"/>
      <c r="BA44" s="106"/>
      <c r="BB44" s="106"/>
      <c r="BC44" s="106"/>
      <c r="BD44" s="106"/>
      <c r="BE44" s="106"/>
      <c r="BF44" s="106"/>
      <c r="BG44" s="106"/>
      <c r="BH44" s="106"/>
      <c r="BI44" s="106"/>
      <c r="BJ44" s="106"/>
    </row>
    <row r="45" spans="1:62" ht="15" customHeight="1">
      <c r="A45" s="624"/>
      <c r="B45" s="67">
        <v>1</v>
      </c>
      <c r="C45" s="404"/>
      <c r="D45" s="131"/>
      <c r="E45" s="312"/>
      <c r="F45" s="404"/>
      <c r="G45" s="132"/>
      <c r="H45" s="603" t="s">
        <v>320</v>
      </c>
      <c r="I45" s="604"/>
      <c r="J45" s="604"/>
      <c r="K45" s="604"/>
      <c r="L45" s="134" t="s">
        <v>261</v>
      </c>
      <c r="M45" s="134"/>
      <c r="N45" s="134"/>
      <c r="O45" s="312"/>
      <c r="P45" s="313"/>
      <c r="Q45" s="313"/>
      <c r="R45" s="313"/>
      <c r="S45" s="313"/>
      <c r="T45" s="313"/>
      <c r="U45" s="313"/>
      <c r="V45" s="313"/>
      <c r="W45" s="314"/>
      <c r="X45" s="612" t="s">
        <v>311</v>
      </c>
      <c r="Y45" s="612"/>
      <c r="Z45" s="612"/>
      <c r="AA45" s="612"/>
      <c r="AB45" s="432"/>
      <c r="AC45" s="592"/>
      <c r="AD45" s="592"/>
      <c r="AE45" s="593"/>
      <c r="AF45" s="590" t="s">
        <v>316</v>
      </c>
      <c r="AG45" s="590"/>
      <c r="AH45" s="591"/>
      <c r="AI45" s="592"/>
      <c r="AJ45" s="593"/>
      <c r="AK45" s="566"/>
      <c r="AL45" s="567"/>
      <c r="AM45" s="567"/>
      <c r="AN45" s="567"/>
      <c r="AO45" s="568"/>
      <c r="AQ45" s="106"/>
      <c r="AR45" s="106"/>
      <c r="AS45" s="106" t="s">
        <v>317</v>
      </c>
      <c r="AT45" s="106"/>
      <c r="AU45" s="106"/>
      <c r="AV45" s="106"/>
      <c r="AW45" s="106"/>
      <c r="AX45" s="106"/>
      <c r="AY45" s="106"/>
      <c r="AZ45" s="106"/>
      <c r="BA45" s="106"/>
      <c r="BB45" s="106"/>
      <c r="BC45" s="106"/>
      <c r="BD45" s="106"/>
      <c r="BE45" s="106"/>
      <c r="BF45" s="106"/>
      <c r="BG45" s="106"/>
      <c r="BH45" s="106"/>
      <c r="BI45" s="106"/>
      <c r="BJ45" s="106"/>
    </row>
    <row r="46" spans="1:62" ht="15" customHeight="1">
      <c r="A46" s="624"/>
      <c r="B46" s="67">
        <v>2</v>
      </c>
      <c r="C46" s="404"/>
      <c r="D46" s="131"/>
      <c r="E46" s="312"/>
      <c r="F46" s="404"/>
      <c r="G46" s="132"/>
      <c r="H46" s="603" t="s">
        <v>320</v>
      </c>
      <c r="I46" s="604"/>
      <c r="J46" s="604"/>
      <c r="K46" s="604"/>
      <c r="L46" s="134" t="s">
        <v>261</v>
      </c>
      <c r="M46" s="134"/>
      <c r="N46" s="134"/>
      <c r="O46" s="312"/>
      <c r="P46" s="313"/>
      <c r="Q46" s="313"/>
      <c r="R46" s="313"/>
      <c r="S46" s="313"/>
      <c r="T46" s="313"/>
      <c r="U46" s="313"/>
      <c r="V46" s="313"/>
      <c r="W46" s="314"/>
      <c r="X46" s="134" t="s">
        <v>311</v>
      </c>
      <c r="Y46" s="134"/>
      <c r="Z46" s="134"/>
      <c r="AA46" s="134"/>
      <c r="AB46" s="418"/>
      <c r="AC46" s="605"/>
      <c r="AD46" s="605"/>
      <c r="AE46" s="606"/>
      <c r="AF46" s="594" t="s">
        <v>316</v>
      </c>
      <c r="AG46" s="594"/>
      <c r="AH46" s="595"/>
      <c r="AI46" s="592"/>
      <c r="AJ46" s="593"/>
      <c r="AK46" s="569"/>
      <c r="AL46" s="570"/>
      <c r="AM46" s="570"/>
      <c r="AN46" s="570"/>
      <c r="AO46" s="571"/>
      <c r="AQ46" s="106"/>
      <c r="AR46" s="106"/>
      <c r="AS46" s="106"/>
      <c r="AT46" s="106"/>
      <c r="AU46" s="106"/>
      <c r="AV46" s="106"/>
      <c r="AW46" s="106"/>
      <c r="AX46" s="106"/>
      <c r="AY46" s="106"/>
      <c r="AZ46" s="106"/>
      <c r="BA46" s="106"/>
      <c r="BB46" s="106"/>
      <c r="BC46" s="106"/>
      <c r="BD46" s="106"/>
      <c r="BE46" s="106"/>
      <c r="BF46" s="106"/>
      <c r="BG46" s="106"/>
      <c r="BH46" s="106"/>
      <c r="BI46" s="106"/>
      <c r="BJ46" s="106"/>
    </row>
    <row r="47" spans="1:62" ht="15" customHeight="1">
      <c r="A47" s="624"/>
      <c r="B47" s="67">
        <v>3</v>
      </c>
      <c r="C47" s="404"/>
      <c r="D47" s="131"/>
      <c r="E47" s="312"/>
      <c r="F47" s="404"/>
      <c r="G47" s="132"/>
      <c r="H47" s="603" t="s">
        <v>320</v>
      </c>
      <c r="I47" s="604"/>
      <c r="J47" s="604"/>
      <c r="K47" s="604"/>
      <c r="L47" s="134" t="s">
        <v>261</v>
      </c>
      <c r="M47" s="134"/>
      <c r="N47" s="134"/>
      <c r="O47" s="312"/>
      <c r="P47" s="313"/>
      <c r="Q47" s="313"/>
      <c r="R47" s="313"/>
      <c r="S47" s="313"/>
      <c r="T47" s="313"/>
      <c r="U47" s="313"/>
      <c r="V47" s="313"/>
      <c r="W47" s="314"/>
      <c r="X47" s="134" t="s">
        <v>311</v>
      </c>
      <c r="Y47" s="134"/>
      <c r="Z47" s="134"/>
      <c r="AA47" s="134"/>
      <c r="AB47" s="418"/>
      <c r="AC47" s="605"/>
      <c r="AD47" s="605"/>
      <c r="AE47" s="606"/>
      <c r="AF47" s="594" t="s">
        <v>316</v>
      </c>
      <c r="AG47" s="594"/>
      <c r="AH47" s="595"/>
      <c r="AI47" s="605"/>
      <c r="AJ47" s="606"/>
      <c r="AK47" s="569"/>
      <c r="AL47" s="570"/>
      <c r="AM47" s="570"/>
      <c r="AN47" s="570"/>
      <c r="AO47" s="571"/>
      <c r="AQ47" s="106"/>
      <c r="AR47" s="106"/>
      <c r="AS47" s="106"/>
      <c r="AT47" s="106"/>
      <c r="AU47" s="106"/>
      <c r="AV47" s="106"/>
      <c r="AW47" s="106"/>
      <c r="AX47" s="106"/>
      <c r="AY47" s="106"/>
      <c r="AZ47" s="106"/>
      <c r="BA47" s="106"/>
      <c r="BB47" s="106"/>
      <c r="BC47" s="106"/>
      <c r="BD47" s="106"/>
      <c r="BE47" s="106"/>
      <c r="BF47" s="106"/>
      <c r="BG47" s="106"/>
      <c r="BH47" s="106"/>
      <c r="BI47" s="106"/>
      <c r="BJ47" s="106"/>
    </row>
    <row r="48" spans="1:62" ht="15" customHeight="1">
      <c r="A48" s="624"/>
      <c r="B48" s="67">
        <v>4</v>
      </c>
      <c r="C48" s="404"/>
      <c r="D48" s="131"/>
      <c r="E48" s="312"/>
      <c r="F48" s="404"/>
      <c r="G48" s="132"/>
      <c r="H48" s="603" t="s">
        <v>320</v>
      </c>
      <c r="I48" s="604"/>
      <c r="J48" s="604"/>
      <c r="K48" s="604"/>
      <c r="L48" s="134" t="s">
        <v>261</v>
      </c>
      <c r="M48" s="134"/>
      <c r="N48" s="134"/>
      <c r="O48" s="312"/>
      <c r="P48" s="313"/>
      <c r="Q48" s="313"/>
      <c r="R48" s="313"/>
      <c r="S48" s="313"/>
      <c r="T48" s="313"/>
      <c r="U48" s="313"/>
      <c r="V48" s="313"/>
      <c r="W48" s="314"/>
      <c r="X48" s="393" t="s">
        <v>311</v>
      </c>
      <c r="Y48" s="393"/>
      <c r="Z48" s="393"/>
      <c r="AA48" s="393"/>
      <c r="AB48" s="607"/>
      <c r="AC48" s="608"/>
      <c r="AD48" s="608"/>
      <c r="AE48" s="609"/>
      <c r="AF48" s="594" t="s">
        <v>316</v>
      </c>
      <c r="AG48" s="594"/>
      <c r="AH48" s="595"/>
      <c r="AI48" s="592"/>
      <c r="AJ48" s="593"/>
      <c r="AK48" s="572"/>
      <c r="AL48" s="573"/>
      <c r="AM48" s="573"/>
      <c r="AN48" s="573"/>
      <c r="AO48" s="574"/>
      <c r="AQ48" s="106"/>
      <c r="AR48" s="106"/>
      <c r="AS48" s="106"/>
      <c r="AT48" s="106"/>
      <c r="AU48" s="106"/>
      <c r="AV48" s="106"/>
      <c r="AW48" s="106"/>
      <c r="AX48" s="106"/>
      <c r="AY48" s="106"/>
      <c r="AZ48" s="106"/>
      <c r="BA48" s="106"/>
      <c r="BB48" s="106"/>
      <c r="BC48" s="106"/>
      <c r="BD48" s="106"/>
      <c r="BE48" s="106"/>
      <c r="BF48" s="106"/>
      <c r="BG48" s="106"/>
      <c r="BH48" s="106"/>
      <c r="BI48" s="106"/>
      <c r="BJ48" s="106"/>
    </row>
    <row r="49" spans="1:62" ht="15" customHeight="1" thickBot="1">
      <c r="A49" s="625"/>
      <c r="B49" s="68"/>
      <c r="C49" s="405"/>
      <c r="D49" s="126"/>
      <c r="E49" s="406"/>
      <c r="F49" s="405"/>
      <c r="G49" s="127"/>
      <c r="H49" s="601" t="s">
        <v>321</v>
      </c>
      <c r="I49" s="601"/>
      <c r="J49" s="601"/>
      <c r="K49" s="602"/>
      <c r="L49" s="393" t="s">
        <v>261</v>
      </c>
      <c r="M49" s="393"/>
      <c r="N49" s="393"/>
      <c r="O49" s="386"/>
      <c r="P49" s="387"/>
      <c r="Q49" s="387"/>
      <c r="R49" s="387"/>
      <c r="S49" s="387"/>
      <c r="T49" s="387"/>
      <c r="U49" s="382" t="s">
        <v>322</v>
      </c>
      <c r="V49" s="409"/>
      <c r="W49" s="409"/>
      <c r="X49" s="409"/>
      <c r="Y49" s="409"/>
      <c r="Z49" s="386"/>
      <c r="AA49" s="387"/>
      <c r="AB49" s="387"/>
      <c r="AC49" s="387"/>
      <c r="AD49" s="387"/>
      <c r="AE49" s="387"/>
      <c r="AF49" s="387"/>
      <c r="AG49" s="387"/>
      <c r="AH49" s="387"/>
      <c r="AI49" s="387"/>
      <c r="AJ49" s="388"/>
      <c r="AK49" s="587" t="s">
        <v>267</v>
      </c>
      <c r="AL49" s="587"/>
      <c r="AM49" s="588"/>
      <c r="AN49" s="588"/>
      <c r="AO49" s="589"/>
      <c r="AQ49" s="106"/>
      <c r="AR49" s="106"/>
      <c r="AS49" s="106"/>
      <c r="AT49" s="106"/>
      <c r="AU49" s="106"/>
      <c r="AV49" s="106"/>
      <c r="AW49" s="106"/>
      <c r="AX49" s="106"/>
      <c r="AY49" s="106"/>
      <c r="AZ49" s="106"/>
      <c r="BA49" s="106"/>
      <c r="BB49" s="106"/>
      <c r="BC49" s="106"/>
      <c r="BD49" s="106"/>
      <c r="BE49" s="106"/>
      <c r="BF49" s="106"/>
      <c r="BG49" s="106"/>
      <c r="BH49" s="106"/>
      <c r="BI49" s="106"/>
      <c r="BJ49" s="106"/>
    </row>
    <row r="50" spans="1:62" ht="15" customHeight="1">
      <c r="A50" s="707" t="s">
        <v>323</v>
      </c>
      <c r="B50" s="710" t="s">
        <v>324</v>
      </c>
      <c r="C50" s="713"/>
      <c r="D50" s="714"/>
      <c r="E50" s="715"/>
      <c r="F50" s="713"/>
      <c r="G50" s="714"/>
      <c r="H50" s="528" t="s">
        <v>325</v>
      </c>
      <c r="I50" s="402"/>
      <c r="J50" s="402"/>
      <c r="K50" s="402"/>
      <c r="L50" s="701"/>
      <c r="M50" s="701"/>
      <c r="N50" s="702"/>
      <c r="O50" s="596"/>
      <c r="P50" s="433"/>
      <c r="Q50" s="434"/>
      <c r="R50" s="701"/>
      <c r="S50" s="701"/>
      <c r="T50" s="702"/>
      <c r="U50" s="596"/>
      <c r="V50" s="433"/>
      <c r="W50" s="434"/>
      <c r="X50" s="701"/>
      <c r="Y50" s="701"/>
      <c r="Z50" s="702"/>
      <c r="AA50" s="596"/>
      <c r="AB50" s="433"/>
      <c r="AC50" s="434"/>
      <c r="AD50" s="701"/>
      <c r="AE50" s="701"/>
      <c r="AF50" s="702"/>
      <c r="AG50" s="596"/>
      <c r="AH50" s="433"/>
      <c r="AI50" s="434"/>
      <c r="AJ50" s="70"/>
      <c r="AK50" s="402" t="s">
        <v>267</v>
      </c>
      <c r="AL50" s="402"/>
      <c r="AM50" s="395"/>
      <c r="AN50" s="395"/>
      <c r="AO50" s="403"/>
      <c r="AQ50" s="106"/>
      <c r="AR50" s="106"/>
      <c r="AS50" s="106"/>
      <c r="AT50" s="106"/>
      <c r="AU50" s="106"/>
      <c r="AV50" s="106"/>
      <c r="AW50" s="106"/>
      <c r="AX50" s="106"/>
      <c r="AY50" s="106"/>
      <c r="AZ50" s="106"/>
      <c r="BA50" s="106"/>
      <c r="BB50" s="106"/>
      <c r="BC50" s="106"/>
      <c r="BD50" s="106"/>
      <c r="BE50" s="106"/>
      <c r="BF50" s="106"/>
      <c r="BG50" s="106"/>
      <c r="BH50" s="106"/>
      <c r="BI50" s="106"/>
      <c r="BJ50" s="106"/>
    </row>
    <row r="51" spans="1:62" ht="15" customHeight="1">
      <c r="A51" s="708"/>
      <c r="B51" s="711"/>
      <c r="C51" s="716"/>
      <c r="D51" s="535"/>
      <c r="E51" s="717"/>
      <c r="F51" s="716"/>
      <c r="G51" s="535"/>
      <c r="H51" s="133" t="s">
        <v>326</v>
      </c>
      <c r="I51" s="134"/>
      <c r="J51" s="134"/>
      <c r="K51" s="410"/>
      <c r="L51" s="598"/>
      <c r="M51" s="599"/>
      <c r="N51" s="599"/>
      <c r="O51" s="599"/>
      <c r="P51" s="597"/>
      <c r="Q51" s="313"/>
      <c r="R51" s="314"/>
      <c r="S51" s="598"/>
      <c r="T51" s="599"/>
      <c r="U51" s="599"/>
      <c r="V51" s="599"/>
      <c r="W51" s="597"/>
      <c r="X51" s="313"/>
      <c r="Y51" s="314"/>
      <c r="Z51" s="598"/>
      <c r="AA51" s="599"/>
      <c r="AB51" s="599"/>
      <c r="AC51" s="599"/>
      <c r="AD51" s="597"/>
      <c r="AE51" s="313"/>
      <c r="AF51" s="314"/>
      <c r="AG51" s="555"/>
      <c r="AH51" s="600"/>
      <c r="AI51" s="600"/>
      <c r="AJ51" s="556"/>
      <c r="AK51" s="134" t="s">
        <v>267</v>
      </c>
      <c r="AL51" s="134"/>
      <c r="AM51" s="131"/>
      <c r="AN51" s="131"/>
      <c r="AO51" s="132"/>
      <c r="AQ51" s="106"/>
      <c r="AR51" s="106"/>
      <c r="AS51" s="106"/>
      <c r="AT51" s="106"/>
      <c r="AU51" s="106"/>
      <c r="AV51" s="106"/>
      <c r="AW51" s="106"/>
      <c r="AX51" s="106"/>
      <c r="AY51" s="106"/>
      <c r="AZ51" s="106"/>
      <c r="BA51" s="106"/>
      <c r="BB51" s="106"/>
      <c r="BC51" s="106"/>
      <c r="BD51" s="106"/>
      <c r="BE51" s="106"/>
      <c r="BF51" s="106"/>
      <c r="BG51" s="106"/>
      <c r="BH51" s="106"/>
      <c r="BI51" s="106"/>
      <c r="BJ51" s="106"/>
    </row>
    <row r="52" spans="1:62" ht="15" customHeight="1" thickBot="1">
      <c r="A52" s="708"/>
      <c r="B52" s="712"/>
      <c r="C52" s="718"/>
      <c r="D52" s="584"/>
      <c r="E52" s="719"/>
      <c r="F52" s="718"/>
      <c r="G52" s="584"/>
      <c r="H52" s="124" t="s">
        <v>276</v>
      </c>
      <c r="I52" s="125"/>
      <c r="J52" s="125"/>
      <c r="K52" s="125"/>
      <c r="L52" s="583"/>
      <c r="M52" s="584"/>
      <c r="N52" s="584"/>
      <c r="O52" s="585" t="s">
        <v>327</v>
      </c>
      <c r="P52" s="586"/>
      <c r="Q52" s="586"/>
      <c r="R52" s="586"/>
      <c r="S52" s="126"/>
      <c r="T52" s="406"/>
      <c r="U52" s="13" t="s">
        <v>274</v>
      </c>
      <c r="V52" s="634" t="s">
        <v>328</v>
      </c>
      <c r="W52" s="700"/>
      <c r="X52" s="700"/>
      <c r="Y52" s="700"/>
      <c r="Z52" s="635"/>
      <c r="AA52" s="126"/>
      <c r="AB52" s="406"/>
      <c r="AC52" s="13" t="s">
        <v>274</v>
      </c>
      <c r="AD52" s="579" t="s">
        <v>329</v>
      </c>
      <c r="AE52" s="706"/>
      <c r="AF52" s="706"/>
      <c r="AG52" s="706"/>
      <c r="AH52" s="580"/>
      <c r="AI52" s="406"/>
      <c r="AJ52" s="699"/>
      <c r="AK52" s="125" t="s">
        <v>267</v>
      </c>
      <c r="AL52" s="125"/>
      <c r="AM52" s="126"/>
      <c r="AN52" s="126"/>
      <c r="AO52" s="127"/>
      <c r="AQ52" s="106"/>
      <c r="AR52" s="106"/>
      <c r="AS52" s="106"/>
      <c r="AT52" s="106"/>
      <c r="AU52" s="106"/>
      <c r="AV52" s="106"/>
      <c r="AW52" s="106"/>
      <c r="AX52" s="106"/>
      <c r="AY52" s="106"/>
      <c r="AZ52" s="106"/>
      <c r="BA52" s="106"/>
      <c r="BB52" s="106"/>
      <c r="BC52" s="106"/>
      <c r="BD52" s="106"/>
      <c r="BE52" s="106"/>
      <c r="BF52" s="106"/>
      <c r="BG52" s="106"/>
      <c r="BH52" s="106"/>
      <c r="BI52" s="106"/>
      <c r="BJ52" s="106"/>
    </row>
    <row r="53" spans="1:62" ht="15" customHeight="1">
      <c r="A53" s="708"/>
      <c r="B53" s="710" t="s">
        <v>330</v>
      </c>
      <c r="C53" s="713"/>
      <c r="D53" s="714"/>
      <c r="E53" s="715"/>
      <c r="F53" s="713"/>
      <c r="G53" s="714"/>
      <c r="H53" s="528" t="s">
        <v>325</v>
      </c>
      <c r="I53" s="402"/>
      <c r="J53" s="402"/>
      <c r="K53" s="402"/>
      <c r="L53" s="701"/>
      <c r="M53" s="701"/>
      <c r="N53" s="702"/>
      <c r="O53" s="596"/>
      <c r="P53" s="433"/>
      <c r="Q53" s="434"/>
      <c r="R53" s="701"/>
      <c r="S53" s="701"/>
      <c r="T53" s="702"/>
      <c r="U53" s="596"/>
      <c r="V53" s="433"/>
      <c r="W53" s="434"/>
      <c r="X53" s="701"/>
      <c r="Y53" s="701"/>
      <c r="Z53" s="702"/>
      <c r="AA53" s="596"/>
      <c r="AB53" s="433"/>
      <c r="AC53" s="434"/>
      <c r="AD53" s="701"/>
      <c r="AE53" s="701"/>
      <c r="AF53" s="702"/>
      <c r="AG53" s="596"/>
      <c r="AH53" s="433"/>
      <c r="AI53" s="434"/>
      <c r="AJ53" s="70"/>
      <c r="AK53" s="402" t="s">
        <v>267</v>
      </c>
      <c r="AL53" s="402"/>
      <c r="AM53" s="395"/>
      <c r="AN53" s="395"/>
      <c r="AO53" s="403"/>
      <c r="AQ53" s="106"/>
      <c r="AR53" s="106"/>
      <c r="AS53" s="106"/>
      <c r="AT53" s="106"/>
      <c r="AU53" s="106"/>
      <c r="AV53" s="106"/>
      <c r="AW53" s="106"/>
      <c r="AX53" s="106"/>
      <c r="AY53" s="106"/>
      <c r="AZ53" s="106"/>
      <c r="BA53" s="106"/>
      <c r="BB53" s="106"/>
      <c r="BC53" s="106"/>
      <c r="BD53" s="106"/>
      <c r="BE53" s="106"/>
      <c r="BF53" s="106"/>
      <c r="BG53" s="106"/>
      <c r="BH53" s="106"/>
      <c r="BI53" s="106"/>
      <c r="BJ53" s="106"/>
    </row>
    <row r="54" spans="1:62" ht="15" customHeight="1">
      <c r="A54" s="708"/>
      <c r="B54" s="711"/>
      <c r="C54" s="716"/>
      <c r="D54" s="535"/>
      <c r="E54" s="717"/>
      <c r="F54" s="716"/>
      <c r="G54" s="535"/>
      <c r="H54" s="133" t="s">
        <v>326</v>
      </c>
      <c r="I54" s="134"/>
      <c r="J54" s="134"/>
      <c r="K54" s="410"/>
      <c r="L54" s="598"/>
      <c r="M54" s="599"/>
      <c r="N54" s="599"/>
      <c r="O54" s="599"/>
      <c r="P54" s="597"/>
      <c r="Q54" s="313"/>
      <c r="R54" s="314"/>
      <c r="S54" s="598"/>
      <c r="T54" s="599"/>
      <c r="U54" s="599"/>
      <c r="V54" s="599"/>
      <c r="W54" s="597"/>
      <c r="X54" s="313"/>
      <c r="Y54" s="314"/>
      <c r="Z54" s="598"/>
      <c r="AA54" s="599"/>
      <c r="AB54" s="599"/>
      <c r="AC54" s="599"/>
      <c r="AD54" s="597"/>
      <c r="AE54" s="313"/>
      <c r="AF54" s="314"/>
      <c r="AG54" s="555"/>
      <c r="AH54" s="600"/>
      <c r="AI54" s="600"/>
      <c r="AJ54" s="556"/>
      <c r="AK54" s="134" t="s">
        <v>267</v>
      </c>
      <c r="AL54" s="134"/>
      <c r="AM54" s="131"/>
      <c r="AN54" s="131"/>
      <c r="AO54" s="132"/>
      <c r="AQ54" s="106"/>
      <c r="AR54" s="106"/>
      <c r="AS54" s="106"/>
      <c r="AT54" s="106"/>
      <c r="AU54" s="106"/>
      <c r="AV54" s="106"/>
      <c r="AW54" s="106"/>
      <c r="AX54" s="106"/>
      <c r="AY54" s="106"/>
      <c r="AZ54" s="106"/>
      <c r="BA54" s="106"/>
      <c r="BB54" s="106"/>
      <c r="BC54" s="106"/>
      <c r="BD54" s="106"/>
      <c r="BE54" s="106"/>
      <c r="BF54" s="106"/>
      <c r="BG54" s="106"/>
      <c r="BH54" s="106"/>
      <c r="BI54" s="106"/>
      <c r="BJ54" s="106"/>
    </row>
    <row r="55" spans="1:62" ht="15" customHeight="1" thickBot="1">
      <c r="A55" s="709"/>
      <c r="B55" s="712"/>
      <c r="C55" s="718"/>
      <c r="D55" s="584"/>
      <c r="E55" s="719"/>
      <c r="F55" s="718"/>
      <c r="G55" s="584"/>
      <c r="H55" s="124" t="s">
        <v>276</v>
      </c>
      <c r="I55" s="125"/>
      <c r="J55" s="125"/>
      <c r="K55" s="125"/>
      <c r="L55" s="406"/>
      <c r="M55" s="698"/>
      <c r="N55" s="698"/>
      <c r="O55" s="634" t="s">
        <v>327</v>
      </c>
      <c r="P55" s="700"/>
      <c r="Q55" s="700"/>
      <c r="R55" s="700"/>
      <c r="S55" s="126"/>
      <c r="T55" s="406"/>
      <c r="U55" s="13" t="s">
        <v>274</v>
      </c>
      <c r="V55" s="634" t="s">
        <v>328</v>
      </c>
      <c r="W55" s="700"/>
      <c r="X55" s="700"/>
      <c r="Y55" s="700"/>
      <c r="Z55" s="635"/>
      <c r="AA55" s="126"/>
      <c r="AB55" s="406"/>
      <c r="AC55" s="13" t="s">
        <v>274</v>
      </c>
      <c r="AD55" s="579" t="s">
        <v>329</v>
      </c>
      <c r="AE55" s="706"/>
      <c r="AF55" s="706"/>
      <c r="AG55" s="706"/>
      <c r="AH55" s="580"/>
      <c r="AI55" s="406"/>
      <c r="AJ55" s="699"/>
      <c r="AK55" s="125" t="s">
        <v>267</v>
      </c>
      <c r="AL55" s="125"/>
      <c r="AM55" s="126"/>
      <c r="AN55" s="126"/>
      <c r="AO55" s="127"/>
      <c r="AQ55" s="106"/>
      <c r="AR55" s="106"/>
      <c r="AS55" s="106"/>
      <c r="AT55" s="106"/>
      <c r="AU55" s="106"/>
      <c r="AV55" s="106"/>
      <c r="AW55" s="106"/>
      <c r="AX55" s="106"/>
      <c r="AY55" s="106"/>
      <c r="AZ55" s="106"/>
      <c r="BA55" s="106"/>
      <c r="BB55" s="106"/>
      <c r="BC55" s="106"/>
      <c r="BD55" s="106"/>
      <c r="BE55" s="106"/>
      <c r="BF55" s="106"/>
      <c r="BG55" s="106"/>
      <c r="BH55" s="106"/>
      <c r="BI55" s="106"/>
      <c r="BJ55" s="106"/>
    </row>
    <row r="56" spans="1:62" ht="15" customHeight="1" thickBot="1">
      <c r="A56" s="672" t="s">
        <v>331</v>
      </c>
      <c r="B56" s="673"/>
      <c r="C56" s="678"/>
      <c r="D56" s="678"/>
      <c r="E56" s="678"/>
      <c r="F56" s="678"/>
      <c r="G56" s="678"/>
      <c r="H56" s="678"/>
      <c r="I56" s="678"/>
      <c r="J56" s="678"/>
      <c r="K56" s="679"/>
      <c r="L56" s="560"/>
      <c r="M56" s="561"/>
      <c r="N56" s="561"/>
      <c r="O56" s="561"/>
      <c r="P56" s="561"/>
      <c r="Q56" s="561"/>
      <c r="R56" s="561"/>
      <c r="S56" s="561"/>
      <c r="T56" s="561"/>
      <c r="U56" s="562"/>
      <c r="V56" s="675" t="s">
        <v>332</v>
      </c>
      <c r="W56" s="676"/>
      <c r="X56" s="676"/>
      <c r="Y56" s="676"/>
      <c r="Z56" s="676"/>
      <c r="AA56" s="676"/>
      <c r="AB56" s="676"/>
      <c r="AC56" s="676"/>
      <c r="AD56" s="676"/>
      <c r="AE56" s="676"/>
      <c r="AF56" s="677"/>
      <c r="AG56" s="557" t="s">
        <v>51</v>
      </c>
      <c r="AH56" s="558"/>
      <c r="AI56" s="558"/>
      <c r="AJ56" s="558"/>
      <c r="AK56" s="558"/>
      <c r="AL56" s="558"/>
      <c r="AM56" s="558"/>
      <c r="AN56" s="558"/>
      <c r="AO56" s="559"/>
      <c r="AQ56" s="106"/>
      <c r="AR56" s="106"/>
      <c r="AS56" s="106"/>
      <c r="AT56" s="106"/>
      <c r="AU56" s="106"/>
      <c r="AV56" s="106"/>
      <c r="AW56" s="106"/>
      <c r="AX56" s="106"/>
      <c r="AY56" s="106"/>
      <c r="AZ56" s="106"/>
      <c r="BA56" s="106"/>
      <c r="BB56" s="106"/>
      <c r="BC56" s="106"/>
      <c r="BD56" s="106"/>
      <c r="BE56" s="106"/>
      <c r="BF56" s="106"/>
      <c r="BG56" s="106"/>
      <c r="BH56" s="106"/>
      <c r="BI56" s="106"/>
      <c r="BJ56" s="106"/>
    </row>
    <row r="57" spans="1:62" ht="15" customHeight="1" thickBot="1">
      <c r="A57" s="672" t="s">
        <v>333</v>
      </c>
      <c r="B57" s="673"/>
      <c r="C57" s="673"/>
      <c r="D57" s="673"/>
      <c r="E57" s="673"/>
      <c r="F57" s="673"/>
      <c r="G57" s="673"/>
      <c r="H57" s="673"/>
      <c r="I57" s="673"/>
      <c r="J57" s="673"/>
      <c r="K57" s="674"/>
      <c r="L57" s="575"/>
      <c r="M57" s="576"/>
      <c r="N57" s="576"/>
      <c r="O57" s="576"/>
      <c r="P57" s="576"/>
      <c r="Q57" s="577"/>
      <c r="R57" s="576"/>
      <c r="S57" s="576"/>
      <c r="T57" s="576"/>
      <c r="U57" s="578"/>
      <c r="V57" s="672" t="s">
        <v>334</v>
      </c>
      <c r="W57" s="673"/>
      <c r="X57" s="673"/>
      <c r="Y57" s="673"/>
      <c r="Z57" s="673"/>
      <c r="AA57" s="673"/>
      <c r="AB57" s="673"/>
      <c r="AC57" s="673"/>
      <c r="AD57" s="673"/>
      <c r="AE57" s="673"/>
      <c r="AF57" s="674"/>
      <c r="AG57" s="557" t="s">
        <v>335</v>
      </c>
      <c r="AH57" s="558"/>
      <c r="AI57" s="558"/>
      <c r="AJ57" s="558"/>
      <c r="AK57" s="558"/>
      <c r="AL57" s="558"/>
      <c r="AM57" s="558"/>
      <c r="AN57" s="558"/>
      <c r="AO57" s="559"/>
      <c r="AQ57" s="106"/>
      <c r="AR57" s="106"/>
      <c r="AS57" s="106"/>
      <c r="AT57" s="106"/>
      <c r="AU57" s="106"/>
      <c r="AV57" s="106"/>
      <c r="AW57" s="106"/>
      <c r="AX57" s="106"/>
      <c r="AY57" s="106"/>
      <c r="AZ57" s="106"/>
      <c r="BA57" s="106"/>
      <c r="BB57" s="106"/>
      <c r="BC57" s="106"/>
      <c r="BD57" s="106"/>
      <c r="BE57" s="106"/>
      <c r="BF57" s="106"/>
      <c r="BG57" s="106"/>
      <c r="BH57" s="106"/>
      <c r="BI57" s="106"/>
      <c r="BJ57" s="106"/>
    </row>
  </sheetData>
  <sheetProtection sheet="1" objects="1" scenarios="1"/>
  <mergeCells count="497">
    <mergeCell ref="BG36:BH36"/>
    <mergeCell ref="BG37:BH37"/>
    <mergeCell ref="U1:AI4"/>
    <mergeCell ref="F9:K9"/>
    <mergeCell ref="L9:T9"/>
    <mergeCell ref="U9:Y9"/>
    <mergeCell ref="Z9:AI9"/>
    <mergeCell ref="BE23:BF23"/>
    <mergeCell ref="BE24:BF24"/>
    <mergeCell ref="BE25:BF25"/>
    <mergeCell ref="BE26:BF26"/>
    <mergeCell ref="BE27:BF27"/>
    <mergeCell ref="BE28:BF28"/>
    <mergeCell ref="BE29:BF29"/>
    <mergeCell ref="BG34:BH34"/>
    <mergeCell ref="BG35:BH35"/>
    <mergeCell ref="AQ32:AT32"/>
    <mergeCell ref="AQ33:AT33"/>
    <mergeCell ref="AQ34:AT34"/>
    <mergeCell ref="AQ35:AT35"/>
    <mergeCell ref="AQ36:AT36"/>
    <mergeCell ref="AQ37:AT37"/>
    <mergeCell ref="AU23:BC23"/>
    <mergeCell ref="AU24:BC24"/>
    <mergeCell ref="AU25:BC25"/>
    <mergeCell ref="AU26:BC26"/>
    <mergeCell ref="AU27:BC27"/>
    <mergeCell ref="AU28:BC28"/>
    <mergeCell ref="AU29:BC29"/>
    <mergeCell ref="AU30:BC30"/>
    <mergeCell ref="AU31:BC31"/>
    <mergeCell ref="AU32:BC32"/>
    <mergeCell ref="AU33:BC33"/>
    <mergeCell ref="AQ23:AT23"/>
    <mergeCell ref="AQ24:AT24"/>
    <mergeCell ref="AQ25:AT25"/>
    <mergeCell ref="AQ26:AT26"/>
    <mergeCell ref="AQ27:AT27"/>
    <mergeCell ref="AQ28:AT28"/>
    <mergeCell ref="AQ29:AT29"/>
    <mergeCell ref="AQ30:AT30"/>
    <mergeCell ref="AQ31:AT31"/>
    <mergeCell ref="O55:R55"/>
    <mergeCell ref="AD55:AH55"/>
    <mergeCell ref="B50:B52"/>
    <mergeCell ref="C50:E52"/>
    <mergeCell ref="F50:G52"/>
    <mergeCell ref="AU34:BC34"/>
    <mergeCell ref="AU35:BC35"/>
    <mergeCell ref="AU36:BC36"/>
    <mergeCell ref="AU37:BC37"/>
    <mergeCell ref="H42:J42"/>
    <mergeCell ref="K42:Q42"/>
    <mergeCell ref="R42:T42"/>
    <mergeCell ref="U42:W42"/>
    <mergeCell ref="X42:AA42"/>
    <mergeCell ref="AB42:AE42"/>
    <mergeCell ref="AF42:AH42"/>
    <mergeCell ref="AI42:AJ42"/>
    <mergeCell ref="AK42:AL42"/>
    <mergeCell ref="P54:R54"/>
    <mergeCell ref="S54:V54"/>
    <mergeCell ref="W54:Y54"/>
    <mergeCell ref="Z54:AC54"/>
    <mergeCell ref="AD54:AF54"/>
    <mergeCell ref="AK55:AL55"/>
    <mergeCell ref="A50:A55"/>
    <mergeCell ref="H53:K53"/>
    <mergeCell ref="L53:N53"/>
    <mergeCell ref="O53:Q53"/>
    <mergeCell ref="R53:T53"/>
    <mergeCell ref="U53:W53"/>
    <mergeCell ref="X53:Z53"/>
    <mergeCell ref="AA53:AC53"/>
    <mergeCell ref="AD53:AF53"/>
    <mergeCell ref="H54:K54"/>
    <mergeCell ref="L54:O54"/>
    <mergeCell ref="B53:B55"/>
    <mergeCell ref="C53:E55"/>
    <mergeCell ref="F53:G55"/>
    <mergeCell ref="H55:K55"/>
    <mergeCell ref="S55:T55"/>
    <mergeCell ref="V55:Z55"/>
    <mergeCell ref="AA55:AB55"/>
    <mergeCell ref="S52:T52"/>
    <mergeCell ref="H52:K52"/>
    <mergeCell ref="H50:K50"/>
    <mergeCell ref="H51:K51"/>
    <mergeCell ref="L51:O51"/>
    <mergeCell ref="L55:N55"/>
    <mergeCell ref="AM55:AO55"/>
    <mergeCell ref="AG53:AI53"/>
    <mergeCell ref="AK53:AL53"/>
    <mergeCell ref="AM53:AO53"/>
    <mergeCell ref="AK54:AL54"/>
    <mergeCell ref="AM54:AO54"/>
    <mergeCell ref="AI55:AJ55"/>
    <mergeCell ref="AK52:AL52"/>
    <mergeCell ref="AM52:AO52"/>
    <mergeCell ref="AD52:AH52"/>
    <mergeCell ref="AI52:AJ52"/>
    <mergeCell ref="AG54:AJ54"/>
    <mergeCell ref="AK50:AL50"/>
    <mergeCell ref="AM50:AO50"/>
    <mergeCell ref="AK51:AL51"/>
    <mergeCell ref="AM51:AO51"/>
    <mergeCell ref="AA52:AB52"/>
    <mergeCell ref="V52:Z52"/>
    <mergeCell ref="AA50:AC50"/>
    <mergeCell ref="AD50:AF50"/>
    <mergeCell ref="K35:Q35"/>
    <mergeCell ref="R35:T35"/>
    <mergeCell ref="U35:W35"/>
    <mergeCell ref="AE37:AG37"/>
    <mergeCell ref="K37:Q37"/>
    <mergeCell ref="R37:T37"/>
    <mergeCell ref="U37:W37"/>
    <mergeCell ref="AF48:AH48"/>
    <mergeCell ref="H46:K46"/>
    <mergeCell ref="L46:N46"/>
    <mergeCell ref="H41:J41"/>
    <mergeCell ref="R41:T41"/>
    <mergeCell ref="U41:W41"/>
    <mergeCell ref="X41:AA41"/>
    <mergeCell ref="AB41:AE41"/>
    <mergeCell ref="AF41:AH41"/>
    <mergeCell ref="K29:M29"/>
    <mergeCell ref="N29:P29"/>
    <mergeCell ref="Q29:T29"/>
    <mergeCell ref="L50:N50"/>
    <mergeCell ref="O50:Q50"/>
    <mergeCell ref="R50:T50"/>
    <mergeCell ref="U50:W50"/>
    <mergeCell ref="X50:Z50"/>
    <mergeCell ref="X45:AA45"/>
    <mergeCell ref="U38:W38"/>
    <mergeCell ref="R38:T38"/>
    <mergeCell ref="K38:Q38"/>
    <mergeCell ref="K39:Q39"/>
    <mergeCell ref="K40:Q40"/>
    <mergeCell ref="K43:Q43"/>
    <mergeCell ref="R39:T39"/>
    <mergeCell ref="U39:W39"/>
    <mergeCell ref="R40:T40"/>
    <mergeCell ref="U40:W40"/>
    <mergeCell ref="R43:T43"/>
    <mergeCell ref="U43:W43"/>
    <mergeCell ref="R34:T34"/>
    <mergeCell ref="K34:Q34"/>
    <mergeCell ref="X46:AA46"/>
    <mergeCell ref="C36:E36"/>
    <mergeCell ref="F36:G36"/>
    <mergeCell ref="C37:E37"/>
    <mergeCell ref="F37:G37"/>
    <mergeCell ref="C38:E38"/>
    <mergeCell ref="F38:G38"/>
    <mergeCell ref="C39:E39"/>
    <mergeCell ref="F39:G39"/>
    <mergeCell ref="C30:E30"/>
    <mergeCell ref="F30:G30"/>
    <mergeCell ref="C31:E31"/>
    <mergeCell ref="F31:G31"/>
    <mergeCell ref="F32:G32"/>
    <mergeCell ref="C33:E33"/>
    <mergeCell ref="F33:G33"/>
    <mergeCell ref="C34:E34"/>
    <mergeCell ref="F34:G34"/>
    <mergeCell ref="C25:E25"/>
    <mergeCell ref="F25:G25"/>
    <mergeCell ref="C26:E26"/>
    <mergeCell ref="F26:G26"/>
    <mergeCell ref="C27:E27"/>
    <mergeCell ref="F27:G27"/>
    <mergeCell ref="C28:E28"/>
    <mergeCell ref="F28:G28"/>
    <mergeCell ref="C29:E29"/>
    <mergeCell ref="F29:G29"/>
    <mergeCell ref="C21:E22"/>
    <mergeCell ref="F21:G22"/>
    <mergeCell ref="C23:E23"/>
    <mergeCell ref="F23:G23"/>
    <mergeCell ref="C24:E24"/>
    <mergeCell ref="F24:G24"/>
    <mergeCell ref="M13:Q13"/>
    <mergeCell ref="R13:T13"/>
    <mergeCell ref="U13:AA13"/>
    <mergeCell ref="W23:X23"/>
    <mergeCell ref="Q23:T23"/>
    <mergeCell ref="K24:M24"/>
    <mergeCell ref="N24:P24"/>
    <mergeCell ref="AG15:AI15"/>
    <mergeCell ref="AG13:AI13"/>
    <mergeCell ref="AB13:AF13"/>
    <mergeCell ref="K25:M25"/>
    <mergeCell ref="N25:P25"/>
    <mergeCell ref="Q25:T25"/>
    <mergeCell ref="K28:M28"/>
    <mergeCell ref="N28:P28"/>
    <mergeCell ref="Q28:T28"/>
    <mergeCell ref="K23:M23"/>
    <mergeCell ref="N23:P23"/>
    <mergeCell ref="U28:V28"/>
    <mergeCell ref="R17:T17"/>
    <mergeCell ref="F13:L13"/>
    <mergeCell ref="W28:X28"/>
    <mergeCell ref="Z24:AA24"/>
    <mergeCell ref="U25:V25"/>
    <mergeCell ref="W25:X25"/>
    <mergeCell ref="Z25:AA25"/>
    <mergeCell ref="U26:V26"/>
    <mergeCell ref="W26:X26"/>
    <mergeCell ref="Z26:AA26"/>
    <mergeCell ref="U27:V27"/>
    <mergeCell ref="W27:X27"/>
    <mergeCell ref="F7:K7"/>
    <mergeCell ref="F5:T6"/>
    <mergeCell ref="K26:M26"/>
    <mergeCell ref="N26:P26"/>
    <mergeCell ref="Q26:T26"/>
    <mergeCell ref="K27:M27"/>
    <mergeCell ref="N27:P27"/>
    <mergeCell ref="Q27:T27"/>
    <mergeCell ref="U5:Y5"/>
    <mergeCell ref="F16:L16"/>
    <mergeCell ref="F14:L14"/>
    <mergeCell ref="H21:AI22"/>
    <mergeCell ref="F11:AI12"/>
    <mergeCell ref="L7:T7"/>
    <mergeCell ref="U7:Y7"/>
    <mergeCell ref="Z7:AI7"/>
    <mergeCell ref="F8:K8"/>
    <mergeCell ref="L8:T8"/>
    <mergeCell ref="U8:Y8"/>
    <mergeCell ref="Z8:AI8"/>
    <mergeCell ref="Z5:AI5"/>
    <mergeCell ref="U6:Y6"/>
    <mergeCell ref="Z6:AI6"/>
    <mergeCell ref="AB15:AF15"/>
    <mergeCell ref="B21:B22"/>
    <mergeCell ref="V57:AF57"/>
    <mergeCell ref="A57:K57"/>
    <mergeCell ref="V56:AF56"/>
    <mergeCell ref="A56:K56"/>
    <mergeCell ref="A23:A29"/>
    <mergeCell ref="O49:T49"/>
    <mergeCell ref="U49:Y49"/>
    <mergeCell ref="Z49:AJ49"/>
    <mergeCell ref="H25:J25"/>
    <mergeCell ref="AB25:AC25"/>
    <mergeCell ref="AE25:AG25"/>
    <mergeCell ref="AH25:AI25"/>
    <mergeCell ref="H30:J30"/>
    <mergeCell ref="H31:J31"/>
    <mergeCell ref="O30:Q30"/>
    <mergeCell ref="K30:N30"/>
    <mergeCell ref="H34:J34"/>
    <mergeCell ref="X34:AA34"/>
    <mergeCell ref="AB34:AC34"/>
    <mergeCell ref="H35:J35"/>
    <mergeCell ref="AE33:AG33"/>
    <mergeCell ref="AE23:AG23"/>
    <mergeCell ref="AH23:AI23"/>
    <mergeCell ref="AM23:AO23"/>
    <mergeCell ref="AB23:AC23"/>
    <mergeCell ref="H23:J23"/>
    <mergeCell ref="AK23:AL23"/>
    <mergeCell ref="AH24:AI24"/>
    <mergeCell ref="AM24:AO24"/>
    <mergeCell ref="U14:AA14"/>
    <mergeCell ref="AB14:AF14"/>
    <mergeCell ref="AG14:AI14"/>
    <mergeCell ref="U16:AA16"/>
    <mergeCell ref="AB16:AF16"/>
    <mergeCell ref="AG16:AI16"/>
    <mergeCell ref="M16:T16"/>
    <mergeCell ref="F17:L17"/>
    <mergeCell ref="M17:Q17"/>
    <mergeCell ref="U17:AI17"/>
    <mergeCell ref="M14:T14"/>
    <mergeCell ref="F15:L15"/>
    <mergeCell ref="M15:Q15"/>
    <mergeCell ref="R15:T15"/>
    <mergeCell ref="U15:AA15"/>
    <mergeCell ref="F19:AI19"/>
    <mergeCell ref="U23:V23"/>
    <mergeCell ref="Z23:AA23"/>
    <mergeCell ref="AM25:AO25"/>
    <mergeCell ref="H24:J24"/>
    <mergeCell ref="AB24:AC24"/>
    <mergeCell ref="AE24:AG24"/>
    <mergeCell ref="AB28:AC28"/>
    <mergeCell ref="AE28:AG28"/>
    <mergeCell ref="AH26:AI26"/>
    <mergeCell ref="AM26:AO26"/>
    <mergeCell ref="H27:J27"/>
    <mergeCell ref="AB27:AC27"/>
    <mergeCell ref="AE27:AG27"/>
    <mergeCell ref="AH27:AI27"/>
    <mergeCell ref="AM27:AO27"/>
    <mergeCell ref="H26:J26"/>
    <mergeCell ref="AB26:AC26"/>
    <mergeCell ref="AE26:AG26"/>
    <mergeCell ref="AK24:AL24"/>
    <mergeCell ref="AK25:AL25"/>
    <mergeCell ref="AK26:AL26"/>
    <mergeCell ref="AK27:AL27"/>
    <mergeCell ref="AK28:AL28"/>
    <mergeCell ref="U24:V24"/>
    <mergeCell ref="W24:X24"/>
    <mergeCell ref="Q24:T24"/>
    <mergeCell ref="AK29:AL29"/>
    <mergeCell ref="H33:J33"/>
    <mergeCell ref="AM30:AO30"/>
    <mergeCell ref="AM31:AO31"/>
    <mergeCell ref="AK30:AL30"/>
    <mergeCell ref="AK31:AL31"/>
    <mergeCell ref="AE30:AG30"/>
    <mergeCell ref="H32:J32"/>
    <mergeCell ref="AH28:AI28"/>
    <mergeCell ref="AM28:AO28"/>
    <mergeCell ref="H29:J29"/>
    <mergeCell ref="AB29:AC29"/>
    <mergeCell ref="AE29:AG29"/>
    <mergeCell ref="AH29:AI29"/>
    <mergeCell ref="AM29:AO29"/>
    <mergeCell ref="H28:J28"/>
    <mergeCell ref="K31:N31"/>
    <mergeCell ref="O31:Q31"/>
    <mergeCell ref="R31:S31"/>
    <mergeCell ref="U31:W31"/>
    <mergeCell ref="X31:Z31"/>
    <mergeCell ref="AH30:AI30"/>
    <mergeCell ref="AE31:AG31"/>
    <mergeCell ref="AH31:AI31"/>
    <mergeCell ref="A30:A33"/>
    <mergeCell ref="AE32:AG32"/>
    <mergeCell ref="AH32:AI32"/>
    <mergeCell ref="AK32:AL32"/>
    <mergeCell ref="AM32:AO32"/>
    <mergeCell ref="K33:N33"/>
    <mergeCell ref="O33:Q33"/>
    <mergeCell ref="R33:S33"/>
    <mergeCell ref="U33:W33"/>
    <mergeCell ref="X33:Z33"/>
    <mergeCell ref="AA33:AC33"/>
    <mergeCell ref="AA31:AC31"/>
    <mergeCell ref="K32:N32"/>
    <mergeCell ref="O32:Q32"/>
    <mergeCell ref="R32:S32"/>
    <mergeCell ref="U32:W32"/>
    <mergeCell ref="X32:Z32"/>
    <mergeCell ref="AA32:AC32"/>
    <mergeCell ref="R30:S30"/>
    <mergeCell ref="U30:W30"/>
    <mergeCell ref="AA30:AC30"/>
    <mergeCell ref="X30:Z30"/>
    <mergeCell ref="AH33:AI33"/>
    <mergeCell ref="C32:E32"/>
    <mergeCell ref="AH34:AI34"/>
    <mergeCell ref="AK34:AL34"/>
    <mergeCell ref="AM34:AO34"/>
    <mergeCell ref="AE35:AG35"/>
    <mergeCell ref="AH35:AI35"/>
    <mergeCell ref="AK35:AL35"/>
    <mergeCell ref="AM35:AO35"/>
    <mergeCell ref="AK33:AL33"/>
    <mergeCell ref="AM33:AO33"/>
    <mergeCell ref="A44:A49"/>
    <mergeCell ref="H44:K44"/>
    <mergeCell ref="L45:N45"/>
    <mergeCell ref="H36:J36"/>
    <mergeCell ref="X36:AA36"/>
    <mergeCell ref="AE36:AG36"/>
    <mergeCell ref="AH36:AI36"/>
    <mergeCell ref="AK36:AL36"/>
    <mergeCell ref="AM36:AO36"/>
    <mergeCell ref="K36:Q36"/>
    <mergeCell ref="R36:T36"/>
    <mergeCell ref="U36:W36"/>
    <mergeCell ref="AH37:AI37"/>
    <mergeCell ref="AK37:AL37"/>
    <mergeCell ref="AM37:AO37"/>
    <mergeCell ref="C40:E40"/>
    <mergeCell ref="F40:G40"/>
    <mergeCell ref="C43:E43"/>
    <mergeCell ref="F43:G43"/>
    <mergeCell ref="C41:E41"/>
    <mergeCell ref="F41:G41"/>
    <mergeCell ref="C42:E42"/>
    <mergeCell ref="F42:G42"/>
    <mergeCell ref="K41:Q41"/>
    <mergeCell ref="H39:J39"/>
    <mergeCell ref="H40:J40"/>
    <mergeCell ref="A34:A37"/>
    <mergeCell ref="A38:A43"/>
    <mergeCell ref="H38:J38"/>
    <mergeCell ref="H43:J43"/>
    <mergeCell ref="AB36:AC36"/>
    <mergeCell ref="H37:J37"/>
    <mergeCell ref="X37:AA37"/>
    <mergeCell ref="AB37:AC37"/>
    <mergeCell ref="X35:AA35"/>
    <mergeCell ref="AB35:AC35"/>
    <mergeCell ref="X38:AA38"/>
    <mergeCell ref="X39:AA39"/>
    <mergeCell ref="X40:AA40"/>
    <mergeCell ref="X43:AA43"/>
    <mergeCell ref="AB38:AE38"/>
    <mergeCell ref="AB39:AE39"/>
    <mergeCell ref="AB40:AE40"/>
    <mergeCell ref="AB43:AE43"/>
    <mergeCell ref="AE34:AG34"/>
    <mergeCell ref="U34:W34"/>
    <mergeCell ref="C35:E35"/>
    <mergeCell ref="F35:G35"/>
    <mergeCell ref="AK39:AL39"/>
    <mergeCell ref="AM39:AO39"/>
    <mergeCell ref="AK40:AL40"/>
    <mergeCell ref="AM40:AO40"/>
    <mergeCell ref="AK43:AL43"/>
    <mergeCell ref="AM43:AO43"/>
    <mergeCell ref="AF38:AH38"/>
    <mergeCell ref="AI38:AJ38"/>
    <mergeCell ref="AF39:AH39"/>
    <mergeCell ref="AI39:AJ39"/>
    <mergeCell ref="AF40:AH40"/>
    <mergeCell ref="AI40:AJ40"/>
    <mergeCell ref="AF43:AH43"/>
    <mergeCell ref="AI43:AJ43"/>
    <mergeCell ref="AM41:AO41"/>
    <mergeCell ref="AM42:AO42"/>
    <mergeCell ref="AK38:AL38"/>
    <mergeCell ref="AM38:AO38"/>
    <mergeCell ref="AI41:AJ41"/>
    <mergeCell ref="AK41:AL41"/>
    <mergeCell ref="C44:E44"/>
    <mergeCell ref="F44:G44"/>
    <mergeCell ref="C45:E45"/>
    <mergeCell ref="F45:G45"/>
    <mergeCell ref="C46:E46"/>
    <mergeCell ref="F46:G46"/>
    <mergeCell ref="C47:E47"/>
    <mergeCell ref="F47:G47"/>
    <mergeCell ref="C48:E48"/>
    <mergeCell ref="F48:G48"/>
    <mergeCell ref="L44:N44"/>
    <mergeCell ref="H45:K45"/>
    <mergeCell ref="H47:K47"/>
    <mergeCell ref="L47:N47"/>
    <mergeCell ref="H48:K48"/>
    <mergeCell ref="AI48:AJ48"/>
    <mergeCell ref="AB45:AE45"/>
    <mergeCell ref="AB46:AE46"/>
    <mergeCell ref="X47:AA47"/>
    <mergeCell ref="AB47:AE47"/>
    <mergeCell ref="X48:AA48"/>
    <mergeCell ref="AB48:AE48"/>
    <mergeCell ref="O48:W48"/>
    <mergeCell ref="O47:W47"/>
    <mergeCell ref="O46:W46"/>
    <mergeCell ref="O45:W45"/>
    <mergeCell ref="AI47:AJ47"/>
    <mergeCell ref="C49:E49"/>
    <mergeCell ref="F49:G49"/>
    <mergeCell ref="AG50:AI50"/>
    <mergeCell ref="P51:R51"/>
    <mergeCell ref="S51:V51"/>
    <mergeCell ref="W51:Y51"/>
    <mergeCell ref="Z51:AC51"/>
    <mergeCell ref="AD51:AF51"/>
    <mergeCell ref="AG51:AJ51"/>
    <mergeCell ref="H49:K49"/>
    <mergeCell ref="L49:N49"/>
    <mergeCell ref="Z27:AA27"/>
    <mergeCell ref="AG57:AO57"/>
    <mergeCell ref="L56:U56"/>
    <mergeCell ref="O44:AJ44"/>
    <mergeCell ref="AK45:AO48"/>
    <mergeCell ref="AG56:AO56"/>
    <mergeCell ref="L57:P57"/>
    <mergeCell ref="Q57:U57"/>
    <mergeCell ref="Z28:AA28"/>
    <mergeCell ref="U29:V29"/>
    <mergeCell ref="W29:X29"/>
    <mergeCell ref="Z29:AA29"/>
    <mergeCell ref="L52:N52"/>
    <mergeCell ref="O52:R52"/>
    <mergeCell ref="AK49:AL49"/>
    <mergeCell ref="AM49:AO49"/>
    <mergeCell ref="L48:N48"/>
    <mergeCell ref="AK44:AL44"/>
    <mergeCell ref="AM44:AO44"/>
    <mergeCell ref="AF45:AH45"/>
    <mergeCell ref="AI45:AJ45"/>
    <mergeCell ref="AF46:AH46"/>
    <mergeCell ref="AI46:AJ46"/>
    <mergeCell ref="AF47:AH47"/>
  </mergeCells>
  <dataValidations count="14">
    <dataValidation type="list" allowBlank="1" showInputMessage="1" sqref="X30:Z33" xr:uid="{56F619DF-5619-4550-B1A9-AD24334B1002}">
      <formula1>L_Matière_Cuve</formula1>
    </dataValidation>
    <dataValidation type="list" allowBlank="1" sqref="AD30:AD33" xr:uid="{427B6606-8CDB-4EDC-9C97-0AFDBECEF680}">
      <formula1>L_Position_Cuve</formula1>
    </dataValidation>
    <dataValidation type="list" allowBlank="1" showInputMessage="1" sqref="U34:U37" xr:uid="{F4188554-D240-4167-A764-3B09210DE652}">
      <formula1>L_Techno_Sécheur</formula1>
    </dataValidation>
    <dataValidation type="list" allowBlank="1" showInputMessage="1" sqref="AG56:AO56" xr:uid="{867F1B1E-B124-4674-BEAA-88B32C7B710F}">
      <formula1>L_Oui_Non</formula1>
    </dataValidation>
    <dataValidation type="list" allowBlank="1" showInputMessage="1" sqref="C50:E55 L56:L57 M56:U56" xr:uid="{E82E6757-04AF-40E5-98F5-E44F7492AF0D}">
      <formula1>L_Travaux</formula1>
    </dataValidation>
    <dataValidation type="list" allowBlank="1" showInputMessage="1" showErrorMessage="1" sqref="U38:U43" xr:uid="{28DF6927-E0CE-4250-9028-22F2769604D9}">
      <formula1>L_Niveau_filtration</formula1>
    </dataValidation>
    <dataValidation type="list" allowBlank="1" showInputMessage="1" sqref="AG53:AI53 AA53:AC53 P51:R51 W51:Y51 AD51:AF51 O50:Q50 U50:W50 AA50:AC50 AG50:AI50 P54:R54 W54:Y54 AD54:AF54 O53:Q53 U53:W53 C23:E49" xr:uid="{B126233C-E021-4FD3-8D09-24D914A71FC3}">
      <formula1>L_Status</formula1>
    </dataValidation>
    <dataValidation type="list" allowBlank="1" showInputMessage="1" sqref="F53 G23:G49 F23:F50" xr:uid="{8E9FDB68-8096-4EAC-8B28-F026792A9A95}">
      <formula1>L_Responsabilité</formula1>
    </dataValidation>
    <dataValidation type="list" allowBlank="1" showInputMessage="1" sqref="AD50:AF50 L50:N50 R50:T50 X50:Z50 AD53:AF53 L53:N53 R53:T53 X53:Z53" xr:uid="{B410E3C9-6A84-4C47-932F-02842A9D9021}">
      <formula1>L_Métrologie</formula1>
    </dataValidation>
    <dataValidation type="list" allowBlank="1" showInputMessage="1" sqref="L51 S51 Z51 L54 S54 Z54" xr:uid="{D1B562F0-990C-40FB-BB28-C11C3508C8D8}">
      <formula1>L_Régulation</formula1>
    </dataValidation>
    <dataValidation type="list" allowBlank="1" showInputMessage="1" sqref="L52 L55" xr:uid="{AB4F90F6-D3B8-4A78-8695-EFB42ADC91EA}">
      <formula1>L_Matière_Réseau</formula1>
    </dataValidation>
    <dataValidation type="list" allowBlank="1" showInputMessage="1" showErrorMessage="1" sqref="AI52 AI55" xr:uid="{FF11370A-0B06-49D0-AD55-B8F11AAF29C2}">
      <formula1>L_Oui_Non</formula1>
    </dataValidation>
    <dataValidation type="list" allowBlank="1" showInputMessage="1" sqref="AG57:AO57" xr:uid="{15C734C0-25D2-4449-9C52-A1AAB452C59A}">
      <formula1>L_Repris</formula1>
    </dataValidation>
    <dataValidation type="list" allowBlank="1" showInputMessage="1" sqref="Q57:U57" xr:uid="{50134A58-EAAA-43EE-8A99-6CEDE89AD747}">
      <formula1>L_RécupCalo</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landscape" r:id="rId1"/>
  <rowBreaks count="1" manualBreakCount="1">
    <brk id="20" max="40" man="1"/>
  </rowBreaks>
  <drawing r:id="rId2"/>
  <legacyDrawing r:id="rId3"/>
  <mc:AlternateContent xmlns:mc="http://schemas.openxmlformats.org/markup-compatibility/2006">
    <mc:Choice Requires="x14">
      <controls>
        <mc:AlternateContent xmlns:mc="http://schemas.openxmlformats.org/markup-compatibility/2006">
          <mc:Choice Requires="x14">
            <control shapeId="5157" r:id="rId4" name="Button 37">
              <controlPr defaultSize="0" print="0" autoFill="0" autoPict="0" macro="[0]!MiseEnService">
                <anchor moveWithCells="1" sizeWithCells="1">
                  <from>
                    <xdr:col>44</xdr:col>
                    <xdr:colOff>180975</xdr:colOff>
                    <xdr:row>3</xdr:row>
                    <xdr:rowOff>85725</xdr:rowOff>
                  </from>
                  <to>
                    <xdr:col>49</xdr:col>
                    <xdr:colOff>161925</xdr:colOff>
                    <xdr:row>5</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EAD53-842D-4671-8CAB-0263679FD624}">
  <sheetPr codeName="Feuil4">
    <tabColor theme="5" tint="0.59999389629810485"/>
    <pageSetUpPr fitToPage="1"/>
  </sheetPr>
  <dimension ref="A1:AD28"/>
  <sheetViews>
    <sheetView view="pageBreakPreview" zoomScaleNormal="100" zoomScaleSheetLayoutView="100" workbookViewId="0">
      <selection activeCell="AM34" sqref="AM34"/>
    </sheetView>
  </sheetViews>
  <sheetFormatPr baseColWidth="10" defaultColWidth="11.42578125" defaultRowHeight="15"/>
  <cols>
    <col min="1" max="38" width="3.28515625" customWidth="1"/>
  </cols>
  <sheetData>
    <row r="1" spans="1:30" ht="14.1" customHeight="1">
      <c r="P1" s="326" t="s">
        <v>336</v>
      </c>
      <c r="Q1" s="326"/>
      <c r="R1" s="326"/>
      <c r="S1" s="326"/>
      <c r="T1" s="326"/>
      <c r="U1" s="326"/>
      <c r="V1" s="326"/>
      <c r="W1" s="326"/>
      <c r="X1" s="326"/>
      <c r="Y1" s="326"/>
      <c r="Z1" s="326"/>
      <c r="AA1" s="326"/>
      <c r="AB1" s="326"/>
      <c r="AC1" s="326"/>
      <c r="AD1" s="326"/>
    </row>
    <row r="2" spans="1:30" ht="14.1" customHeight="1">
      <c r="P2" s="327"/>
      <c r="Q2" s="327"/>
      <c r="R2" s="327"/>
      <c r="S2" s="327"/>
      <c r="T2" s="327"/>
      <c r="U2" s="327"/>
      <c r="V2" s="327"/>
      <c r="W2" s="327"/>
      <c r="X2" s="327"/>
      <c r="Y2" s="327"/>
      <c r="Z2" s="327"/>
      <c r="AA2" s="327"/>
      <c r="AB2" s="327"/>
      <c r="AC2" s="327"/>
      <c r="AD2" s="327"/>
    </row>
    <row r="3" spans="1:30" ht="14.1" customHeight="1">
      <c r="P3" s="327"/>
      <c r="Q3" s="327"/>
      <c r="R3" s="327"/>
      <c r="S3" s="327"/>
      <c r="T3" s="327"/>
      <c r="U3" s="327"/>
      <c r="V3" s="327"/>
      <c r="W3" s="327"/>
      <c r="X3" s="327"/>
      <c r="Y3" s="327"/>
      <c r="Z3" s="327"/>
      <c r="AA3" s="327"/>
      <c r="AB3" s="327"/>
      <c r="AC3" s="327"/>
      <c r="AD3" s="327"/>
    </row>
    <row r="4" spans="1:30" ht="14.1" customHeight="1" thickBot="1">
      <c r="P4" s="328"/>
      <c r="Q4" s="328"/>
      <c r="R4" s="328"/>
      <c r="S4" s="328"/>
      <c r="T4" s="328"/>
      <c r="U4" s="328"/>
      <c r="V4" s="328"/>
      <c r="W4" s="328"/>
      <c r="X4" s="328"/>
      <c r="Y4" s="328"/>
      <c r="Z4" s="328"/>
      <c r="AA4" s="328"/>
      <c r="AB4" s="328"/>
      <c r="AC4" s="328"/>
      <c r="AD4" s="328"/>
    </row>
    <row r="5" spans="1:30" ht="14.1" customHeight="1">
      <c r="A5" s="329" t="s">
        <v>1</v>
      </c>
      <c r="B5" s="330"/>
      <c r="C5" s="330"/>
      <c r="D5" s="330"/>
      <c r="E5" s="330"/>
      <c r="F5" s="330"/>
      <c r="G5" s="330"/>
      <c r="H5" s="330"/>
      <c r="I5" s="330"/>
      <c r="J5" s="330"/>
      <c r="K5" s="330"/>
      <c r="L5" s="330"/>
      <c r="M5" s="330"/>
      <c r="N5" s="330"/>
      <c r="O5" s="331"/>
      <c r="P5" s="182" t="s">
        <v>2</v>
      </c>
      <c r="Q5" s="183"/>
      <c r="R5" s="183"/>
      <c r="S5" s="183"/>
      <c r="T5" s="184"/>
      <c r="U5" s="690">
        <f>Client</f>
        <v>0</v>
      </c>
      <c r="V5" s="691"/>
      <c r="W5" s="691"/>
      <c r="X5" s="691"/>
      <c r="Y5" s="691"/>
      <c r="Z5" s="691"/>
      <c r="AA5" s="691"/>
      <c r="AB5" s="691"/>
      <c r="AC5" s="691"/>
      <c r="AD5" s="692"/>
    </row>
    <row r="6" spans="1:30" ht="14.1" customHeight="1" thickBot="1">
      <c r="A6" s="332"/>
      <c r="B6" s="333"/>
      <c r="C6" s="333"/>
      <c r="D6" s="333"/>
      <c r="E6" s="333"/>
      <c r="F6" s="333"/>
      <c r="G6" s="333"/>
      <c r="H6" s="333"/>
      <c r="I6" s="333"/>
      <c r="J6" s="333"/>
      <c r="K6" s="333"/>
      <c r="L6" s="333"/>
      <c r="M6" s="333"/>
      <c r="N6" s="333"/>
      <c r="O6" s="334"/>
      <c r="P6" s="178" t="s">
        <v>3</v>
      </c>
      <c r="Q6" s="179"/>
      <c r="R6" s="179"/>
      <c r="S6" s="179"/>
      <c r="T6" s="180"/>
      <c r="U6" s="163">
        <f>Num_Devis</f>
        <v>0</v>
      </c>
      <c r="V6" s="688"/>
      <c r="W6" s="688"/>
      <c r="X6" s="688"/>
      <c r="Y6" s="688"/>
      <c r="Z6" s="688"/>
      <c r="AA6" s="688"/>
      <c r="AB6" s="688"/>
      <c r="AC6" s="688"/>
      <c r="AD6" s="689"/>
    </row>
    <row r="7" spans="1:30" ht="27.95" customHeight="1">
      <c r="A7" s="350" t="s">
        <v>4</v>
      </c>
      <c r="B7" s="351"/>
      <c r="C7" s="351"/>
      <c r="D7" s="351"/>
      <c r="E7" s="351"/>
      <c r="F7" s="352"/>
      <c r="G7" s="457">
        <f>Commercial</f>
        <v>0</v>
      </c>
      <c r="H7" s="457"/>
      <c r="I7" s="457"/>
      <c r="J7" s="457"/>
      <c r="K7" s="457"/>
      <c r="L7" s="457"/>
      <c r="M7" s="457"/>
      <c r="N7" s="457"/>
      <c r="O7" s="458"/>
      <c r="P7" s="256" t="s">
        <v>5</v>
      </c>
      <c r="Q7" s="257"/>
      <c r="R7" s="257"/>
      <c r="S7" s="257"/>
      <c r="T7" s="258"/>
      <c r="U7" s="163">
        <f>Code_Client_Divalto</f>
        <v>0</v>
      </c>
      <c r="V7" s="688"/>
      <c r="W7" s="688"/>
      <c r="X7" s="688"/>
      <c r="Y7" s="688"/>
      <c r="Z7" s="688"/>
      <c r="AA7" s="688"/>
      <c r="AB7" s="688"/>
      <c r="AC7" s="688"/>
      <c r="AD7" s="689"/>
    </row>
    <row r="8" spans="1:30"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0"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0" ht="15.75" thickBot="1"/>
    <row r="11" spans="1:30" ht="14.1" customHeight="1">
      <c r="A11" s="766" t="s">
        <v>337</v>
      </c>
      <c r="B11" s="767"/>
      <c r="C11" s="767"/>
      <c r="D11" s="767"/>
      <c r="E11" s="767"/>
      <c r="F11" s="767"/>
      <c r="G11" s="767"/>
      <c r="H11" s="767"/>
      <c r="I11" s="767"/>
      <c r="J11" s="767"/>
      <c r="K11" s="767"/>
      <c r="L11" s="767"/>
      <c r="M11" s="767"/>
      <c r="N11" s="767"/>
      <c r="O11" s="767"/>
      <c r="P11" s="767"/>
      <c r="Q11" s="767"/>
      <c r="R11" s="767"/>
      <c r="S11" s="767"/>
      <c r="T11" s="767"/>
      <c r="U11" s="767"/>
      <c r="V11" s="767"/>
      <c r="W11" s="767"/>
      <c r="X11" s="767"/>
      <c r="Y11" s="767"/>
      <c r="Z11" s="767"/>
      <c r="AA11" s="767"/>
      <c r="AB11" s="767"/>
      <c r="AC11" s="767"/>
      <c r="AD11" s="768"/>
    </row>
    <row r="12" spans="1:30" ht="14.1" customHeight="1" thickBot="1">
      <c r="A12" s="769"/>
      <c r="B12" s="770"/>
      <c r="C12" s="770"/>
      <c r="D12" s="770"/>
      <c r="E12" s="770"/>
      <c r="F12" s="770"/>
      <c r="G12" s="770"/>
      <c r="H12" s="770"/>
      <c r="I12" s="770"/>
      <c r="J12" s="770"/>
      <c r="K12" s="770"/>
      <c r="L12" s="770"/>
      <c r="M12" s="770"/>
      <c r="N12" s="770"/>
      <c r="O12" s="770"/>
      <c r="P12" s="770"/>
      <c r="Q12" s="770"/>
      <c r="R12" s="770"/>
      <c r="S12" s="770"/>
      <c r="T12" s="770"/>
      <c r="U12" s="770"/>
      <c r="V12" s="770"/>
      <c r="W12" s="770"/>
      <c r="X12" s="770"/>
      <c r="Y12" s="770"/>
      <c r="Z12" s="770"/>
      <c r="AA12" s="770"/>
      <c r="AB12" s="770"/>
      <c r="AC12" s="770"/>
      <c r="AD12" s="771"/>
    </row>
    <row r="13" spans="1:30" ht="20.100000000000001" customHeight="1" thickBot="1">
      <c r="A13" s="761" t="s">
        <v>338</v>
      </c>
      <c r="B13" s="762"/>
      <c r="C13" s="762"/>
      <c r="D13" s="762"/>
      <c r="E13" s="762"/>
      <c r="F13" s="762"/>
      <c r="G13" s="762"/>
      <c r="H13" s="762"/>
      <c r="I13" s="762"/>
      <c r="J13" s="762"/>
      <c r="K13" s="762"/>
      <c r="L13" s="762"/>
      <c r="M13" s="762"/>
      <c r="N13" s="762"/>
      <c r="O13" s="762"/>
      <c r="P13" s="762"/>
      <c r="Q13" s="762"/>
      <c r="R13" s="762"/>
      <c r="S13" s="762"/>
      <c r="T13" s="762"/>
      <c r="U13" s="762"/>
      <c r="V13" s="762"/>
      <c r="W13" s="762"/>
      <c r="X13" s="762"/>
      <c r="Y13" s="762"/>
      <c r="Z13" s="762"/>
      <c r="AA13" s="762"/>
      <c r="AB13" s="762"/>
      <c r="AC13" s="762"/>
      <c r="AD13" s="763"/>
    </row>
    <row r="14" spans="1:30" ht="14.1" customHeight="1">
      <c r="A14" s="772" t="s">
        <v>339</v>
      </c>
      <c r="B14" s="773"/>
      <c r="C14" s="773"/>
      <c r="D14" s="773"/>
      <c r="E14" s="773"/>
      <c r="F14" s="773"/>
      <c r="G14" s="752" t="s">
        <v>51</v>
      </c>
      <c r="H14" s="753"/>
      <c r="I14" s="753"/>
      <c r="J14" s="753"/>
      <c r="K14" s="753"/>
      <c r="L14" s="753"/>
      <c r="M14" s="753"/>
      <c r="N14" s="753"/>
      <c r="O14" s="754"/>
      <c r="P14" s="758" t="s">
        <v>340</v>
      </c>
      <c r="Q14" s="759"/>
      <c r="R14" s="759"/>
      <c r="S14" s="759"/>
      <c r="T14" s="759"/>
      <c r="U14" s="760"/>
      <c r="V14" s="431"/>
      <c r="W14" s="431"/>
      <c r="X14" s="431"/>
      <c r="Y14" s="431"/>
      <c r="Z14" s="431"/>
      <c r="AA14" s="431"/>
      <c r="AB14" s="431"/>
      <c r="AC14" s="431"/>
      <c r="AD14" s="774"/>
    </row>
    <row r="15" spans="1:30" ht="14.1" customHeight="1" thickBot="1">
      <c r="A15" s="779" t="s">
        <v>341</v>
      </c>
      <c r="B15" s="742"/>
      <c r="C15" s="742"/>
      <c r="D15" s="742"/>
      <c r="E15" s="742"/>
      <c r="F15" s="742"/>
      <c r="G15" s="755"/>
      <c r="H15" s="756"/>
      <c r="I15" s="756"/>
      <c r="J15" s="756"/>
      <c r="K15" s="756"/>
      <c r="L15" s="756"/>
      <c r="M15" s="756"/>
      <c r="N15" s="756"/>
      <c r="O15" s="757"/>
      <c r="P15" s="780"/>
      <c r="Q15" s="780"/>
      <c r="R15" s="780"/>
      <c r="S15" s="780"/>
      <c r="T15" s="780"/>
      <c r="U15" s="780"/>
      <c r="V15" s="780"/>
      <c r="W15" s="780"/>
      <c r="X15" s="780"/>
      <c r="Y15" s="780"/>
      <c r="Z15" s="780"/>
      <c r="AA15" s="780"/>
      <c r="AB15" s="780"/>
      <c r="AC15" s="780"/>
      <c r="AD15" s="781"/>
    </row>
    <row r="16" spans="1:30" ht="15" customHeight="1" thickBot="1"/>
    <row r="17" spans="1:30" ht="20.100000000000001" customHeight="1" thickBot="1">
      <c r="A17" s="761" t="s">
        <v>342</v>
      </c>
      <c r="B17" s="762"/>
      <c r="C17" s="762"/>
      <c r="D17" s="762"/>
      <c r="E17" s="762"/>
      <c r="F17" s="762"/>
      <c r="G17" s="762"/>
      <c r="H17" s="762"/>
      <c r="I17" s="762"/>
      <c r="J17" s="762"/>
      <c r="K17" s="762"/>
      <c r="L17" s="762"/>
      <c r="M17" s="762"/>
      <c r="N17" s="762"/>
      <c r="O17" s="762"/>
      <c r="P17" s="762"/>
      <c r="Q17" s="762"/>
      <c r="R17" s="762"/>
      <c r="S17" s="762"/>
      <c r="T17" s="762"/>
      <c r="U17" s="762"/>
      <c r="V17" s="762"/>
      <c r="W17" s="762"/>
      <c r="X17" s="762"/>
      <c r="Y17" s="762"/>
      <c r="Z17" s="762"/>
      <c r="AA17" s="762"/>
      <c r="AB17" s="762"/>
      <c r="AC17" s="762"/>
      <c r="AD17" s="763"/>
    </row>
    <row r="18" spans="1:30" ht="14.1" customHeight="1">
      <c r="A18" s="764" t="s">
        <v>343</v>
      </c>
      <c r="B18" s="765"/>
      <c r="C18" s="765"/>
      <c r="D18" s="765"/>
      <c r="E18" s="765"/>
      <c r="F18" s="765"/>
      <c r="G18" s="765"/>
      <c r="H18" s="776"/>
      <c r="I18" s="776"/>
      <c r="J18" s="776"/>
      <c r="K18" s="777" t="s">
        <v>344</v>
      </c>
      <c r="L18" s="777"/>
      <c r="M18" s="777"/>
      <c r="N18" s="777"/>
      <c r="O18" s="777"/>
      <c r="P18" s="777"/>
      <c r="Q18" s="777"/>
      <c r="R18" s="777"/>
      <c r="S18" s="777"/>
      <c r="T18" s="777"/>
      <c r="U18" s="777"/>
      <c r="V18" s="777"/>
      <c r="W18" s="777"/>
      <c r="X18" s="777"/>
      <c r="Y18" s="777"/>
      <c r="Z18" s="777"/>
      <c r="AA18" s="777"/>
      <c r="AB18" s="777"/>
      <c r="AC18" s="777"/>
      <c r="AD18" s="778"/>
    </row>
    <row r="19" spans="1:30" ht="14.1" customHeight="1">
      <c r="A19" s="750" t="s">
        <v>345</v>
      </c>
      <c r="B19" s="751"/>
      <c r="C19" s="751"/>
      <c r="D19" s="729" t="s">
        <v>346</v>
      </c>
      <c r="E19" s="729"/>
      <c r="F19" s="730"/>
      <c r="G19" s="730"/>
      <c r="H19" s="730"/>
      <c r="I19" s="730"/>
      <c r="J19" s="730"/>
      <c r="K19" s="731" t="s">
        <v>347</v>
      </c>
      <c r="L19" s="732"/>
      <c r="M19" s="614"/>
      <c r="N19" s="733"/>
      <c r="O19" s="734"/>
      <c r="P19" s="734"/>
      <c r="Q19" s="735"/>
      <c r="R19" s="736" t="s">
        <v>348</v>
      </c>
      <c r="S19" s="736"/>
      <c r="T19" s="736"/>
      <c r="U19" s="417"/>
      <c r="V19" s="417"/>
      <c r="W19" s="417"/>
      <c r="X19" s="417"/>
      <c r="Y19" s="775" t="s">
        <v>349</v>
      </c>
      <c r="Z19" s="775"/>
      <c r="AA19" s="775"/>
      <c r="AB19" s="417"/>
      <c r="AC19" s="417"/>
      <c r="AD19" s="744"/>
    </row>
    <row r="20" spans="1:30" ht="14.1" customHeight="1">
      <c r="A20" s="750" t="s">
        <v>350</v>
      </c>
      <c r="B20" s="751"/>
      <c r="C20" s="751"/>
      <c r="D20" s="729" t="s">
        <v>346</v>
      </c>
      <c r="E20" s="729"/>
      <c r="F20" s="730"/>
      <c r="G20" s="730"/>
      <c r="H20" s="730"/>
      <c r="I20" s="730"/>
      <c r="J20" s="730"/>
      <c r="K20" s="731" t="s">
        <v>347</v>
      </c>
      <c r="L20" s="732"/>
      <c r="M20" s="614"/>
      <c r="N20" s="733"/>
      <c r="O20" s="734"/>
      <c r="P20" s="734"/>
      <c r="Q20" s="735"/>
      <c r="R20" s="736" t="s">
        <v>348</v>
      </c>
      <c r="S20" s="736"/>
      <c r="T20" s="736"/>
      <c r="U20" s="417"/>
      <c r="V20" s="417"/>
      <c r="W20" s="417"/>
      <c r="X20" s="417"/>
      <c r="Y20" s="74" t="s">
        <v>349</v>
      </c>
      <c r="Z20" s="75"/>
      <c r="AA20" s="75"/>
      <c r="AB20" s="417"/>
      <c r="AC20" s="417"/>
      <c r="AD20" s="744"/>
    </row>
    <row r="21" spans="1:30" ht="14.1" customHeight="1">
      <c r="A21" s="750" t="s">
        <v>351</v>
      </c>
      <c r="B21" s="751"/>
      <c r="C21" s="751"/>
      <c r="D21" s="729" t="s">
        <v>346</v>
      </c>
      <c r="E21" s="729"/>
      <c r="F21" s="730"/>
      <c r="G21" s="730"/>
      <c r="H21" s="730"/>
      <c r="I21" s="730"/>
      <c r="J21" s="730"/>
      <c r="K21" s="731" t="s">
        <v>347</v>
      </c>
      <c r="L21" s="732"/>
      <c r="M21" s="614"/>
      <c r="N21" s="733"/>
      <c r="O21" s="734"/>
      <c r="P21" s="734"/>
      <c r="Q21" s="735"/>
      <c r="R21" s="736" t="s">
        <v>348</v>
      </c>
      <c r="S21" s="736"/>
      <c r="T21" s="736"/>
      <c r="U21" s="417"/>
      <c r="V21" s="417"/>
      <c r="W21" s="417"/>
      <c r="X21" s="417"/>
      <c r="Y21" s="74" t="s">
        <v>349</v>
      </c>
      <c r="Z21" s="75"/>
      <c r="AA21" s="75"/>
      <c r="AB21" s="417"/>
      <c r="AC21" s="417"/>
      <c r="AD21" s="744"/>
    </row>
    <row r="22" spans="1:30" ht="14.1" customHeight="1">
      <c r="A22" s="750" t="s">
        <v>352</v>
      </c>
      <c r="B22" s="751"/>
      <c r="C22" s="751"/>
      <c r="D22" s="729" t="s">
        <v>353</v>
      </c>
      <c r="E22" s="729"/>
      <c r="F22" s="730"/>
      <c r="G22" s="730"/>
      <c r="H22" s="730"/>
      <c r="I22" s="730"/>
      <c r="J22" s="730"/>
      <c r="K22" s="731" t="s">
        <v>347</v>
      </c>
      <c r="L22" s="732"/>
      <c r="M22" s="614"/>
      <c r="N22" s="733"/>
      <c r="O22" s="734"/>
      <c r="P22" s="734"/>
      <c r="Q22" s="735"/>
      <c r="R22" s="736" t="s">
        <v>348</v>
      </c>
      <c r="S22" s="736"/>
      <c r="T22" s="736"/>
      <c r="U22" s="417"/>
      <c r="V22" s="417"/>
      <c r="W22" s="417"/>
      <c r="X22" s="417"/>
      <c r="Y22" s="74" t="s">
        <v>349</v>
      </c>
      <c r="Z22" s="75"/>
      <c r="AA22" s="75"/>
      <c r="AB22" s="417"/>
      <c r="AC22" s="417"/>
      <c r="AD22" s="744"/>
    </row>
    <row r="23" spans="1:30" ht="14.1" customHeight="1" thickBot="1">
      <c r="A23" s="71" t="s">
        <v>354</v>
      </c>
      <c r="B23" s="72"/>
      <c r="C23" s="73"/>
      <c r="D23" s="742" t="s">
        <v>353</v>
      </c>
      <c r="E23" s="742"/>
      <c r="F23" s="743"/>
      <c r="G23" s="743"/>
      <c r="H23" s="743"/>
      <c r="I23" s="743"/>
      <c r="J23" s="743"/>
      <c r="K23" s="745" t="s">
        <v>347</v>
      </c>
      <c r="L23" s="746"/>
      <c r="M23" s="620"/>
      <c r="N23" s="782"/>
      <c r="O23" s="783"/>
      <c r="P23" s="783"/>
      <c r="Q23" s="784"/>
      <c r="R23" s="737" t="s">
        <v>348</v>
      </c>
      <c r="S23" s="737"/>
      <c r="T23" s="737"/>
      <c r="U23" s="508"/>
      <c r="V23" s="508"/>
      <c r="W23" s="508"/>
      <c r="X23" s="508"/>
      <c r="Y23" s="76" t="s">
        <v>349</v>
      </c>
      <c r="Z23" s="77"/>
      <c r="AA23" s="77"/>
      <c r="AB23" s="508"/>
      <c r="AC23" s="508"/>
      <c r="AD23" s="741"/>
    </row>
    <row r="24" spans="1:30">
      <c r="A24" s="738" t="s">
        <v>355</v>
      </c>
      <c r="B24" s="739"/>
      <c r="C24" s="739"/>
      <c r="D24" s="739"/>
      <c r="E24" s="739"/>
      <c r="F24" s="739"/>
      <c r="G24" s="739"/>
      <c r="H24" s="739"/>
      <c r="I24" s="739"/>
      <c r="J24" s="739"/>
      <c r="K24" s="739"/>
      <c r="L24" s="739"/>
      <c r="M24" s="739"/>
      <c r="N24" s="739"/>
      <c r="O24" s="739"/>
      <c r="P24" s="739"/>
      <c r="Q24" s="739"/>
      <c r="R24" s="739"/>
      <c r="S24" s="739"/>
      <c r="T24" s="739"/>
      <c r="U24" s="739"/>
      <c r="V24" s="739"/>
      <c r="W24" s="739"/>
      <c r="X24" s="739"/>
      <c r="Y24" s="739"/>
      <c r="Z24" s="739"/>
      <c r="AA24" s="739"/>
      <c r="AB24" s="739"/>
      <c r="AC24" s="739"/>
      <c r="AD24" s="740"/>
    </row>
    <row r="25" spans="1:30" ht="33.75" customHeight="1" thickBot="1">
      <c r="A25" s="726"/>
      <c r="B25" s="727"/>
      <c r="C25" s="727"/>
      <c r="D25" s="727"/>
      <c r="E25" s="727"/>
      <c r="F25" s="727"/>
      <c r="G25" s="727"/>
      <c r="H25" s="727"/>
      <c r="I25" s="727"/>
      <c r="J25" s="727"/>
      <c r="K25" s="727"/>
      <c r="L25" s="727"/>
      <c r="M25" s="727"/>
      <c r="N25" s="727"/>
      <c r="O25" s="727"/>
      <c r="P25" s="727"/>
      <c r="Q25" s="727"/>
      <c r="R25" s="727"/>
      <c r="S25" s="727"/>
      <c r="T25" s="727"/>
      <c r="U25" s="727"/>
      <c r="V25" s="727"/>
      <c r="W25" s="727"/>
      <c r="X25" s="727"/>
      <c r="Y25" s="727"/>
      <c r="Z25" s="727"/>
      <c r="AA25" s="727"/>
      <c r="AB25" s="727"/>
      <c r="AC25" s="727"/>
      <c r="AD25" s="728"/>
    </row>
    <row r="26" spans="1:30" ht="15" customHeight="1" thickBot="1">
      <c r="A26" s="25"/>
      <c r="B26" s="26"/>
      <c r="C26" s="26"/>
      <c r="D26" s="26"/>
      <c r="E26" s="26"/>
      <c r="F26" s="26"/>
      <c r="G26" s="26"/>
      <c r="H26" s="26"/>
      <c r="I26" s="26"/>
      <c r="J26" s="26"/>
      <c r="K26" s="26"/>
      <c r="L26" s="26"/>
      <c r="M26" s="26"/>
      <c r="N26" s="26"/>
      <c r="O26" s="26"/>
      <c r="P26" s="26"/>
      <c r="Q26" s="26"/>
      <c r="R26" s="26"/>
      <c r="S26" s="26"/>
      <c r="T26" s="26"/>
      <c r="U26" s="26"/>
      <c r="V26" s="26"/>
      <c r="W26" s="26"/>
      <c r="X26" s="26"/>
      <c r="Y26" s="26"/>
      <c r="Z26" s="26"/>
      <c r="AA26" s="26"/>
      <c r="AB26" s="26"/>
      <c r="AC26" s="26"/>
      <c r="AD26" s="27"/>
    </row>
    <row r="27" spans="1:30">
      <c r="A27" s="738" t="s">
        <v>94</v>
      </c>
      <c r="B27" s="739"/>
      <c r="C27" s="739"/>
      <c r="D27" s="739"/>
      <c r="E27" s="739"/>
      <c r="F27" s="739"/>
      <c r="G27" s="739"/>
      <c r="H27" s="739"/>
      <c r="I27" s="739"/>
      <c r="J27" s="739"/>
      <c r="K27" s="739"/>
      <c r="L27" s="739"/>
      <c r="M27" s="739"/>
      <c r="N27" s="739"/>
      <c r="O27" s="739"/>
      <c r="P27" s="739"/>
      <c r="Q27" s="739"/>
      <c r="R27" s="739"/>
      <c r="S27" s="739"/>
      <c r="T27" s="739"/>
      <c r="U27" s="739"/>
      <c r="V27" s="739"/>
      <c r="W27" s="739"/>
      <c r="X27" s="739"/>
      <c r="Y27" s="739"/>
      <c r="Z27" s="739"/>
      <c r="AA27" s="739"/>
      <c r="AB27" s="739"/>
      <c r="AC27" s="739"/>
      <c r="AD27" s="740"/>
    </row>
    <row r="28" spans="1:30" ht="47.25" customHeight="1" thickBot="1">
      <c r="A28" s="726"/>
      <c r="B28" s="727"/>
      <c r="C28" s="727"/>
      <c r="D28" s="727"/>
      <c r="E28" s="727"/>
      <c r="F28" s="727"/>
      <c r="G28" s="727"/>
      <c r="H28" s="727"/>
      <c r="I28" s="727"/>
      <c r="J28" s="727"/>
      <c r="K28" s="727"/>
      <c r="L28" s="727"/>
      <c r="M28" s="727"/>
      <c r="N28" s="727"/>
      <c r="O28" s="727"/>
      <c r="P28" s="727"/>
      <c r="Q28" s="727"/>
      <c r="R28" s="727"/>
      <c r="S28" s="727"/>
      <c r="T28" s="727"/>
      <c r="U28" s="727"/>
      <c r="V28" s="727"/>
      <c r="W28" s="727"/>
      <c r="X28" s="727"/>
      <c r="Y28" s="727"/>
      <c r="Z28" s="727"/>
      <c r="AA28" s="727"/>
      <c r="AB28" s="727"/>
      <c r="AC28" s="727"/>
      <c r="AD28" s="728"/>
    </row>
  </sheetData>
  <sheetProtection sheet="1" objects="1" scenarios="1"/>
  <mergeCells count="75">
    <mergeCell ref="U19:X19"/>
    <mergeCell ref="K19:M19"/>
    <mergeCell ref="N23:Q23"/>
    <mergeCell ref="R21:T21"/>
    <mergeCell ref="U21:X21"/>
    <mergeCell ref="R20:T20"/>
    <mergeCell ref="U20:X20"/>
    <mergeCell ref="U22:X22"/>
    <mergeCell ref="K20:M20"/>
    <mergeCell ref="A20:C20"/>
    <mergeCell ref="A21:C21"/>
    <mergeCell ref="A11:AD12"/>
    <mergeCell ref="A13:AD13"/>
    <mergeCell ref="A14:F14"/>
    <mergeCell ref="V14:AD14"/>
    <mergeCell ref="AB19:AD19"/>
    <mergeCell ref="Y19:AA19"/>
    <mergeCell ref="H18:J18"/>
    <mergeCell ref="K18:AD18"/>
    <mergeCell ref="A15:F15"/>
    <mergeCell ref="P15:AD15"/>
    <mergeCell ref="A19:C19"/>
    <mergeCell ref="D19:E19"/>
    <mergeCell ref="F19:J19"/>
    <mergeCell ref="R19:T19"/>
    <mergeCell ref="A22:C22"/>
    <mergeCell ref="G14:O14"/>
    <mergeCell ref="G15:O15"/>
    <mergeCell ref="P14:U14"/>
    <mergeCell ref="A17:AD17"/>
    <mergeCell ref="A18:G18"/>
    <mergeCell ref="N19:Q19"/>
    <mergeCell ref="N20:Q20"/>
    <mergeCell ref="D20:E20"/>
    <mergeCell ref="F20:J20"/>
    <mergeCell ref="K21:M21"/>
    <mergeCell ref="N21:Q21"/>
    <mergeCell ref="AB21:AD21"/>
    <mergeCell ref="AB20:AD20"/>
    <mergeCell ref="D21:E21"/>
    <mergeCell ref="F21:J21"/>
    <mergeCell ref="A5:O6"/>
    <mergeCell ref="P1:AD4"/>
    <mergeCell ref="A7:F7"/>
    <mergeCell ref="G7:O7"/>
    <mergeCell ref="P7:T7"/>
    <mergeCell ref="U7:AD7"/>
    <mergeCell ref="P5:T5"/>
    <mergeCell ref="U5:AD5"/>
    <mergeCell ref="P6:T6"/>
    <mergeCell ref="U6:AD6"/>
    <mergeCell ref="P8:T8"/>
    <mergeCell ref="U8:AD8"/>
    <mergeCell ref="A9:F9"/>
    <mergeCell ref="G9:O9"/>
    <mergeCell ref="P9:T9"/>
    <mergeCell ref="U9:AD9"/>
    <mergeCell ref="A8:F8"/>
    <mergeCell ref="G8:O8"/>
    <mergeCell ref="A28:AD28"/>
    <mergeCell ref="D22:E22"/>
    <mergeCell ref="F22:J22"/>
    <mergeCell ref="K22:M22"/>
    <mergeCell ref="N22:Q22"/>
    <mergeCell ref="R22:T22"/>
    <mergeCell ref="R23:T23"/>
    <mergeCell ref="U23:X23"/>
    <mergeCell ref="A24:AD24"/>
    <mergeCell ref="A25:AD25"/>
    <mergeCell ref="AB23:AD23"/>
    <mergeCell ref="A27:AD27"/>
    <mergeCell ref="D23:E23"/>
    <mergeCell ref="F23:J23"/>
    <mergeCell ref="AB22:AD22"/>
    <mergeCell ref="K23:M23"/>
  </mergeCells>
  <dataValidations count="3">
    <dataValidation type="list" allowBlank="1" showInputMessage="1" promptTitle="Info" prompt="Y-a-t-il un plan de prévention établi ou a établir pour une chantier neuf ?_x000a_N'est pas le même que pour la maintenance." sqref="V14:AD14" xr:uid="{EED08860-F331-42DD-ACA2-AC5F7483938B}">
      <formula1>L_Oui_Non</formula1>
    </dataValidation>
    <dataValidation type="list" showInputMessage="1" promptTitle="Information" prompt="Doit-on prévoir une habilitation N1/N2 ?" sqref="G15:O15" xr:uid="{5A9A9998-7979-43C5-BD52-57DF21B0894C}">
      <formula1>L_Oui_Non</formula1>
    </dataValidation>
    <dataValidation type="list" allowBlank="1" showInputMessage="1" promptTitle="Info" prompt="Doit-on prévoir de du temps pour une information des techniciens chez le client ?" sqref="G14:O14" xr:uid="{8AFAD8DF-4EF7-4423-A8A7-106DF79C6640}">
      <formula1>L_Oui_Non</formula1>
    </dataValidation>
  </dataValidations>
  <printOptions horizont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Title="Info" prompt="Nécessaire et qui s'en occupe ?" xr:uid="{36ECB9D6-F4B2-401F-9CD6-72D7C612D2DA}">
          <x14:formula1>
            <xm:f>Information!$E$2:$E$5</xm:f>
          </x14:formula1>
          <xm:sqref>N19:Q23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C5A-3DA1-4569-BCA4-4D1E1B8E53DF}">
  <sheetPr codeName="Feuil5">
    <tabColor theme="8" tint="0.59999389629810485"/>
    <pageSetUpPr fitToPage="1"/>
  </sheetPr>
  <dimension ref="A1:AF43"/>
  <sheetViews>
    <sheetView view="pageBreakPreview" topLeftCell="A19" zoomScaleNormal="100" zoomScaleSheetLayoutView="100" workbookViewId="0">
      <selection activeCell="AD18" sqref="A18:AD18"/>
    </sheetView>
  </sheetViews>
  <sheetFormatPr baseColWidth="10" defaultColWidth="11.42578125" defaultRowHeight="15"/>
  <cols>
    <col min="1" max="38" width="3.28515625" customWidth="1"/>
  </cols>
  <sheetData>
    <row r="1" spans="1:30" ht="14.1" customHeight="1">
      <c r="P1" s="326" t="s">
        <v>356</v>
      </c>
      <c r="Q1" s="326"/>
      <c r="R1" s="326"/>
      <c r="S1" s="326"/>
      <c r="T1" s="326"/>
      <c r="U1" s="326"/>
      <c r="V1" s="326"/>
      <c r="W1" s="326"/>
      <c r="X1" s="326"/>
      <c r="Y1" s="326"/>
      <c r="Z1" s="326"/>
      <c r="AA1" s="326"/>
      <c r="AB1" s="326"/>
      <c r="AC1" s="326"/>
      <c r="AD1" s="326"/>
    </row>
    <row r="2" spans="1:30" ht="14.1" customHeight="1">
      <c r="P2" s="327"/>
      <c r="Q2" s="327"/>
      <c r="R2" s="327"/>
      <c r="S2" s="327"/>
      <c r="T2" s="327"/>
      <c r="U2" s="327"/>
      <c r="V2" s="327"/>
      <c r="W2" s="327"/>
      <c r="X2" s="327"/>
      <c r="Y2" s="327"/>
      <c r="Z2" s="327"/>
      <c r="AA2" s="327"/>
      <c r="AB2" s="327"/>
      <c r="AC2" s="327"/>
      <c r="AD2" s="327"/>
    </row>
    <row r="3" spans="1:30" ht="14.1" customHeight="1">
      <c r="P3" s="327"/>
      <c r="Q3" s="327"/>
      <c r="R3" s="327"/>
      <c r="S3" s="327"/>
      <c r="T3" s="327"/>
      <c r="U3" s="327"/>
      <c r="V3" s="327"/>
      <c r="W3" s="327"/>
      <c r="X3" s="327"/>
      <c r="Y3" s="327"/>
      <c r="Z3" s="327"/>
      <c r="AA3" s="327"/>
      <c r="AB3" s="327"/>
      <c r="AC3" s="327"/>
      <c r="AD3" s="327"/>
    </row>
    <row r="4" spans="1:30" ht="14.1" customHeight="1" thickBot="1">
      <c r="P4" s="328"/>
      <c r="Q4" s="328"/>
      <c r="R4" s="328"/>
      <c r="S4" s="328"/>
      <c r="T4" s="328"/>
      <c r="U4" s="328"/>
      <c r="V4" s="328"/>
      <c r="W4" s="328"/>
      <c r="X4" s="328"/>
      <c r="Y4" s="328"/>
      <c r="Z4" s="328"/>
      <c r="AA4" s="328"/>
      <c r="AB4" s="328"/>
      <c r="AC4" s="328"/>
      <c r="AD4" s="328"/>
    </row>
    <row r="5" spans="1:30" ht="14.1" customHeight="1">
      <c r="A5" s="329" t="s">
        <v>1</v>
      </c>
      <c r="B5" s="330"/>
      <c r="C5" s="330"/>
      <c r="D5" s="330"/>
      <c r="E5" s="330"/>
      <c r="F5" s="330"/>
      <c r="G5" s="330"/>
      <c r="H5" s="330"/>
      <c r="I5" s="330"/>
      <c r="J5" s="330"/>
      <c r="K5" s="330"/>
      <c r="L5" s="330"/>
      <c r="M5" s="330"/>
      <c r="N5" s="330"/>
      <c r="O5" s="331"/>
      <c r="P5" s="182" t="s">
        <v>2</v>
      </c>
      <c r="Q5" s="183"/>
      <c r="R5" s="183"/>
      <c r="S5" s="183"/>
      <c r="T5" s="184"/>
      <c r="U5" s="690">
        <f>Client</f>
        <v>0</v>
      </c>
      <c r="V5" s="691"/>
      <c r="W5" s="691"/>
      <c r="X5" s="691"/>
      <c r="Y5" s="691"/>
      <c r="Z5" s="691"/>
      <c r="AA5" s="691"/>
      <c r="AB5" s="691"/>
      <c r="AC5" s="691"/>
      <c r="AD5" s="692"/>
    </row>
    <row r="6" spans="1:30" ht="14.1" customHeight="1" thickBot="1">
      <c r="A6" s="332"/>
      <c r="B6" s="333"/>
      <c r="C6" s="333"/>
      <c r="D6" s="333"/>
      <c r="E6" s="333"/>
      <c r="F6" s="333"/>
      <c r="G6" s="333"/>
      <c r="H6" s="333"/>
      <c r="I6" s="333"/>
      <c r="J6" s="333"/>
      <c r="K6" s="333"/>
      <c r="L6" s="333"/>
      <c r="M6" s="333"/>
      <c r="N6" s="333"/>
      <c r="O6" s="334"/>
      <c r="P6" s="178" t="s">
        <v>3</v>
      </c>
      <c r="Q6" s="179"/>
      <c r="R6" s="179"/>
      <c r="S6" s="179"/>
      <c r="T6" s="180"/>
      <c r="U6" s="163">
        <f>Num_Devis</f>
        <v>0</v>
      </c>
      <c r="V6" s="688"/>
      <c r="W6" s="688"/>
      <c r="X6" s="688"/>
      <c r="Y6" s="688"/>
      <c r="Z6" s="688"/>
      <c r="AA6" s="688"/>
      <c r="AB6" s="688"/>
      <c r="AC6" s="688"/>
      <c r="AD6" s="689"/>
    </row>
    <row r="7" spans="1:30" ht="27.95" customHeight="1">
      <c r="A7" s="350" t="s">
        <v>4</v>
      </c>
      <c r="B7" s="351"/>
      <c r="C7" s="351"/>
      <c r="D7" s="351"/>
      <c r="E7" s="351"/>
      <c r="F7" s="352"/>
      <c r="G7" s="457">
        <f>Commercial</f>
        <v>0</v>
      </c>
      <c r="H7" s="457"/>
      <c r="I7" s="457"/>
      <c r="J7" s="457"/>
      <c r="K7" s="457"/>
      <c r="L7" s="457"/>
      <c r="M7" s="457"/>
      <c r="N7" s="457"/>
      <c r="O7" s="458"/>
      <c r="P7" s="256" t="s">
        <v>5</v>
      </c>
      <c r="Q7" s="257"/>
      <c r="R7" s="257"/>
      <c r="S7" s="257"/>
      <c r="T7" s="258"/>
      <c r="U7" s="163">
        <f>Code_Client_Divalto</f>
        <v>0</v>
      </c>
      <c r="V7" s="688"/>
      <c r="W7" s="688"/>
      <c r="X7" s="688"/>
      <c r="Y7" s="688"/>
      <c r="Z7" s="688"/>
      <c r="AA7" s="688"/>
      <c r="AB7" s="688"/>
      <c r="AC7" s="688"/>
      <c r="AD7" s="689"/>
    </row>
    <row r="8" spans="1:30"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0"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0" ht="15" customHeight="1" thickBot="1"/>
    <row r="11" spans="1:30" ht="15" customHeight="1">
      <c r="A11" s="851" t="s">
        <v>357</v>
      </c>
      <c r="B11" s="852"/>
      <c r="C11" s="852"/>
      <c r="D11" s="852"/>
      <c r="E11" s="852"/>
      <c r="F11" s="852"/>
      <c r="G11" s="852"/>
      <c r="H11" s="852"/>
      <c r="I11" s="852"/>
      <c r="J11" s="852"/>
      <c r="K11" s="852"/>
      <c r="L11" s="852"/>
      <c r="M11" s="852"/>
      <c r="N11" s="852"/>
      <c r="O11" s="852"/>
      <c r="P11" s="852"/>
      <c r="Q11" s="852"/>
      <c r="R11" s="852"/>
      <c r="S11" s="852"/>
      <c r="T11" s="852"/>
      <c r="U11" s="852"/>
      <c r="V11" s="852"/>
      <c r="W11" s="852"/>
      <c r="X11" s="852"/>
      <c r="Y11" s="852"/>
      <c r="Z11" s="852"/>
      <c r="AA11" s="852"/>
      <c r="AB11" s="852"/>
      <c r="AC11" s="852"/>
      <c r="AD11" s="853"/>
    </row>
    <row r="12" spans="1:30" ht="15" customHeight="1">
      <c r="A12" s="854" t="s">
        <v>358</v>
      </c>
      <c r="B12" s="854"/>
      <c r="C12" s="854"/>
      <c r="D12" s="854"/>
      <c r="E12" s="854"/>
      <c r="F12" s="854"/>
      <c r="G12" s="855"/>
      <c r="H12" s="110"/>
      <c r="I12" s="856" t="s">
        <v>359</v>
      </c>
      <c r="J12" s="854"/>
      <c r="K12" s="854"/>
      <c r="L12" s="854"/>
      <c r="M12" s="854"/>
      <c r="N12" s="855"/>
      <c r="O12" s="114"/>
      <c r="P12" s="854" t="s">
        <v>360</v>
      </c>
      <c r="Q12" s="854"/>
      <c r="R12" s="854"/>
      <c r="S12" s="854"/>
      <c r="T12" s="854"/>
      <c r="U12" s="854"/>
      <c r="V12" s="855"/>
      <c r="W12" s="110"/>
      <c r="X12" s="856" t="s">
        <v>361</v>
      </c>
      <c r="Y12" s="854"/>
      <c r="Z12" s="854"/>
      <c r="AA12" s="854"/>
      <c r="AB12" s="854"/>
      <c r="AC12" s="855"/>
      <c r="AD12" s="114"/>
    </row>
    <row r="13" spans="1:30" ht="15" customHeight="1">
      <c r="A13" s="785" t="s">
        <v>362</v>
      </c>
      <c r="B13" s="785"/>
      <c r="C13" s="785"/>
      <c r="D13" s="785"/>
      <c r="E13" s="785"/>
      <c r="F13" s="785"/>
      <c r="G13" s="785"/>
      <c r="H13" s="785"/>
      <c r="I13" s="785"/>
      <c r="J13" s="785"/>
      <c r="K13" s="785"/>
      <c r="L13" s="785"/>
      <c r="M13" s="785"/>
      <c r="N13" s="785"/>
      <c r="O13" s="110"/>
      <c r="P13" s="785" t="s">
        <v>90</v>
      </c>
      <c r="Q13" s="785"/>
      <c r="R13" s="785"/>
      <c r="S13" s="785"/>
      <c r="T13" s="785"/>
      <c r="U13" s="785"/>
      <c r="V13" s="785"/>
      <c r="W13" s="785"/>
      <c r="X13" s="785"/>
      <c r="Y13" s="785"/>
      <c r="Z13" s="785"/>
      <c r="AA13" s="785"/>
      <c r="AB13" s="785"/>
      <c r="AC13" s="785"/>
      <c r="AD13" s="110"/>
    </row>
    <row r="14" spans="1:30" ht="15" customHeight="1">
      <c r="A14" s="785" t="s">
        <v>363</v>
      </c>
      <c r="B14" s="785"/>
      <c r="C14" s="785"/>
      <c r="D14" s="785"/>
      <c r="E14" s="785"/>
      <c r="F14" s="785"/>
      <c r="G14" s="785"/>
      <c r="H14" s="785"/>
      <c r="I14" s="785"/>
      <c r="J14" s="785"/>
      <c r="K14" s="785"/>
      <c r="L14" s="785"/>
      <c r="M14" s="785"/>
      <c r="N14" s="785"/>
      <c r="O14" s="110"/>
      <c r="P14" s="785" t="s">
        <v>364</v>
      </c>
      <c r="Q14" s="785"/>
      <c r="R14" s="785"/>
      <c r="S14" s="785"/>
      <c r="T14" s="785"/>
      <c r="U14" s="785"/>
      <c r="V14" s="785"/>
      <c r="W14" s="785"/>
      <c r="X14" s="785"/>
      <c r="Y14" s="785"/>
      <c r="Z14" s="785"/>
      <c r="AA14" s="785"/>
      <c r="AB14" s="785"/>
      <c r="AC14" s="785"/>
      <c r="AD14" s="110"/>
    </row>
    <row r="15" spans="1:30" ht="15" customHeight="1">
      <c r="A15" s="785" t="s">
        <v>365</v>
      </c>
      <c r="B15" s="785"/>
      <c r="C15" s="785"/>
      <c r="D15" s="785"/>
      <c r="E15" s="785"/>
      <c r="F15" s="785"/>
      <c r="G15" s="785"/>
      <c r="H15" s="785"/>
      <c r="I15" s="785"/>
      <c r="J15" s="785"/>
      <c r="K15" s="785"/>
      <c r="L15" s="785"/>
      <c r="M15" s="785"/>
      <c r="N15" s="785"/>
      <c r="O15" s="110"/>
      <c r="P15" s="785" t="s">
        <v>366</v>
      </c>
      <c r="Q15" s="785"/>
      <c r="R15" s="785"/>
      <c r="S15" s="785"/>
      <c r="T15" s="785"/>
      <c r="U15" s="785"/>
      <c r="V15" s="785"/>
      <c r="W15" s="785"/>
      <c r="X15" s="785"/>
      <c r="Y15" s="785"/>
      <c r="Z15" s="785"/>
      <c r="AA15" s="785"/>
      <c r="AB15" s="785"/>
      <c r="AC15" s="785"/>
      <c r="AD15" s="110"/>
    </row>
    <row r="16" spans="1:30" ht="15" customHeight="1">
      <c r="A16" s="785" t="s">
        <v>367</v>
      </c>
      <c r="B16" s="785"/>
      <c r="C16" s="785"/>
      <c r="D16" s="785"/>
      <c r="E16" s="785"/>
      <c r="F16" s="785"/>
      <c r="G16" s="785"/>
      <c r="H16" s="785"/>
      <c r="I16" s="785"/>
      <c r="J16" s="785"/>
      <c r="K16" s="785"/>
      <c r="L16" s="785"/>
      <c r="M16" s="785"/>
      <c r="N16" s="785"/>
      <c r="O16" s="110"/>
      <c r="P16" s="785" t="s">
        <v>368</v>
      </c>
      <c r="Q16" s="785"/>
      <c r="R16" s="785"/>
      <c r="S16" s="785"/>
      <c r="T16" s="785"/>
      <c r="U16" s="785"/>
      <c r="V16" s="785"/>
      <c r="W16" s="785"/>
      <c r="X16" s="785"/>
      <c r="Y16" s="785"/>
      <c r="Z16" s="785"/>
      <c r="AA16" s="785"/>
      <c r="AB16" s="785"/>
      <c r="AC16" s="785"/>
      <c r="AD16" s="110"/>
    </row>
    <row r="17" spans="1:32" ht="15" customHeight="1">
      <c r="A17" s="785" t="s">
        <v>326</v>
      </c>
      <c r="B17" s="785"/>
      <c r="C17" s="785"/>
      <c r="D17" s="785"/>
      <c r="E17" s="785"/>
      <c r="F17" s="785"/>
      <c r="G17" s="785"/>
      <c r="H17" s="785"/>
      <c r="I17" s="785"/>
      <c r="J17" s="785"/>
      <c r="K17" s="785"/>
      <c r="L17" s="785"/>
      <c r="M17" s="785"/>
      <c r="N17" s="785"/>
      <c r="O17" s="115"/>
      <c r="P17" s="785" t="s">
        <v>369</v>
      </c>
      <c r="Q17" s="785"/>
      <c r="R17" s="785"/>
      <c r="S17" s="785"/>
      <c r="T17" s="785"/>
      <c r="U17" s="785"/>
      <c r="V17" s="785"/>
      <c r="W17" s="785"/>
      <c r="X17" s="785"/>
      <c r="Y17" s="785"/>
      <c r="Z17" s="785"/>
      <c r="AA17" s="785"/>
      <c r="AB17" s="785"/>
      <c r="AC17" s="785"/>
      <c r="AD17" s="115"/>
    </row>
    <row r="18" spans="1:32" ht="15" customHeight="1">
      <c r="A18" s="785" t="str">
        <f>IF('Air Comprimé'!AG56="Oui","Récupération de matériel de location :","")</f>
        <v>Récupération de matériel de location :</v>
      </c>
      <c r="B18" s="785"/>
      <c r="C18" s="785"/>
      <c r="D18" s="785"/>
      <c r="E18" s="785"/>
      <c r="F18" s="785"/>
      <c r="G18" s="785"/>
      <c r="H18" s="785"/>
      <c r="I18" s="785"/>
      <c r="J18" s="785"/>
      <c r="K18" s="785"/>
      <c r="L18" s="785"/>
      <c r="M18" s="785"/>
      <c r="N18" s="785"/>
      <c r="O18" s="115"/>
      <c r="P18" s="785" t="str">
        <f>IF('Air Comprimé'!AG57="Reprise AF","Reprise de matériel (Airflux) :",IF('Air Comprimé'!AG57="Destruction","Reprise de matériel (Destruction) :",""))</f>
        <v>Reprise de matériel (Destruction) :</v>
      </c>
      <c r="Q18" s="785"/>
      <c r="R18" s="785"/>
      <c r="S18" s="785"/>
      <c r="T18" s="785"/>
      <c r="U18" s="785"/>
      <c r="V18" s="785"/>
      <c r="W18" s="785"/>
      <c r="X18" s="785"/>
      <c r="Y18" s="785"/>
      <c r="Z18" s="785"/>
      <c r="AA18" s="785"/>
      <c r="AB18" s="785"/>
      <c r="AC18" s="785"/>
      <c r="AD18" s="115"/>
      <c r="AF18" t="s">
        <v>370</v>
      </c>
    </row>
    <row r="19" spans="1:32" ht="15" customHeight="1" thickBot="1"/>
    <row r="20" spans="1:32" ht="20.100000000000001" customHeight="1" thickBot="1">
      <c r="A20" s="761" t="s">
        <v>371</v>
      </c>
      <c r="B20" s="762"/>
      <c r="C20" s="762"/>
      <c r="D20" s="762"/>
      <c r="E20" s="762"/>
      <c r="F20" s="762"/>
      <c r="G20" s="762"/>
      <c r="H20" s="762"/>
      <c r="I20" s="762"/>
      <c r="J20" s="762"/>
      <c r="K20" s="762"/>
      <c r="L20" s="762"/>
      <c r="M20" s="762"/>
      <c r="N20" s="762"/>
      <c r="O20" s="762"/>
      <c r="P20" s="762"/>
      <c r="Q20" s="762"/>
      <c r="R20" s="762"/>
      <c r="S20" s="762"/>
      <c r="T20" s="762"/>
      <c r="U20" s="762"/>
      <c r="V20" s="762"/>
      <c r="W20" s="762"/>
      <c r="X20" s="762"/>
      <c r="Y20" s="762"/>
      <c r="Z20" s="762"/>
      <c r="AA20" s="762"/>
      <c r="AB20" s="762"/>
      <c r="AC20" s="762"/>
      <c r="AD20" s="763"/>
    </row>
    <row r="21" spans="1:32" ht="20.100000000000001" customHeight="1">
      <c r="A21" s="813" t="s">
        <v>372</v>
      </c>
      <c r="B21" s="792"/>
      <c r="C21" s="793"/>
      <c r="D21" s="789"/>
      <c r="E21" s="790"/>
      <c r="F21" s="790"/>
      <c r="G21" s="790"/>
      <c r="H21" s="791" t="s">
        <v>373</v>
      </c>
      <c r="I21" s="792"/>
      <c r="J21" s="792"/>
      <c r="K21" s="792"/>
      <c r="L21" s="792"/>
      <c r="M21" s="793"/>
      <c r="N21" s="794"/>
      <c r="O21" s="795"/>
      <c r="P21" s="795"/>
      <c r="Q21" s="795"/>
      <c r="R21" s="795"/>
      <c r="S21" s="796"/>
      <c r="T21" s="791" t="s">
        <v>374</v>
      </c>
      <c r="U21" s="792"/>
      <c r="V21" s="792"/>
      <c r="W21" s="792"/>
      <c r="X21" s="792"/>
      <c r="Y21" s="792"/>
      <c r="Z21" s="789"/>
      <c r="AA21" s="790"/>
      <c r="AB21" s="790"/>
      <c r="AC21" s="790"/>
      <c r="AD21" s="797"/>
    </row>
    <row r="22" spans="1:32" ht="20.100000000000001" customHeight="1">
      <c r="A22" s="786" t="s">
        <v>375</v>
      </c>
      <c r="B22" s="787"/>
      <c r="C22" s="787"/>
      <c r="D22" s="787"/>
      <c r="E22" s="787"/>
      <c r="F22" s="787"/>
      <c r="G22" s="787"/>
      <c r="H22" s="787"/>
      <c r="I22" s="787"/>
      <c r="J22" s="787"/>
      <c r="K22" s="787"/>
      <c r="L22" s="787"/>
      <c r="M22" s="787"/>
      <c r="N22" s="787"/>
      <c r="O22" s="787"/>
      <c r="P22" s="787"/>
      <c r="Q22" s="787"/>
      <c r="R22" s="787"/>
      <c r="S22" s="787"/>
      <c r="T22" s="787"/>
      <c r="U22" s="787"/>
      <c r="V22" s="787"/>
      <c r="W22" s="787"/>
      <c r="X22" s="787"/>
      <c r="Y22" s="798"/>
      <c r="Z22" s="799"/>
      <c r="AA22" s="799"/>
      <c r="AB22" s="799"/>
      <c r="AC22" s="799"/>
      <c r="AD22" s="800"/>
    </row>
    <row r="23" spans="1:32" ht="20.100000000000001" customHeight="1">
      <c r="A23" s="810" t="s">
        <v>376</v>
      </c>
      <c r="B23" s="811"/>
      <c r="C23" s="811"/>
      <c r="D23" s="811"/>
      <c r="E23" s="811"/>
      <c r="F23" s="811"/>
      <c r="G23" s="811"/>
      <c r="H23" s="811"/>
      <c r="I23" s="811"/>
      <c r="J23" s="811"/>
      <c r="K23" s="811"/>
      <c r="L23" s="811"/>
      <c r="M23" s="811"/>
      <c r="N23" s="811"/>
      <c r="O23" s="811"/>
      <c r="P23" s="811"/>
      <c r="Q23" s="811"/>
      <c r="R23" s="811"/>
      <c r="S23" s="811"/>
      <c r="T23" s="811"/>
      <c r="U23" s="811"/>
      <c r="V23" s="811"/>
      <c r="W23" s="811"/>
      <c r="X23" s="811"/>
      <c r="Y23" s="811"/>
      <c r="Z23" s="811"/>
      <c r="AA23" s="811"/>
      <c r="AB23" s="811"/>
      <c r="AC23" s="811"/>
      <c r="AD23" s="812"/>
    </row>
    <row r="24" spans="1:32" ht="20.100000000000001" customHeight="1">
      <c r="A24" s="786" t="str">
        <f>_xlfn.CONCAT(Client," :")</f>
        <v xml:space="preserve"> :</v>
      </c>
      <c r="B24" s="787"/>
      <c r="C24" s="788"/>
      <c r="D24" s="807"/>
      <c r="E24" s="808"/>
      <c r="F24" s="808"/>
      <c r="G24" s="808"/>
      <c r="H24" s="808"/>
      <c r="I24" s="808"/>
      <c r="J24" s="808"/>
      <c r="K24" s="808"/>
      <c r="L24" s="808"/>
      <c r="M24" s="808"/>
      <c r="N24" s="808"/>
      <c r="O24" s="809"/>
      <c r="P24" s="804" t="s">
        <v>377</v>
      </c>
      <c r="Q24" s="805"/>
      <c r="R24" s="806"/>
      <c r="S24" s="801"/>
      <c r="T24" s="802"/>
      <c r="U24" s="802"/>
      <c r="V24" s="802"/>
      <c r="W24" s="802"/>
      <c r="X24" s="802"/>
      <c r="Y24" s="802"/>
      <c r="Z24" s="802"/>
      <c r="AA24" s="802"/>
      <c r="AB24" s="802"/>
      <c r="AC24" s="802"/>
      <c r="AD24" s="803"/>
    </row>
    <row r="25" spans="1:32" ht="20.100000000000001" customHeight="1" thickBot="1">
      <c r="A25" s="786" t="str">
        <f>_xlfn.CONCAT(Client," :")</f>
        <v xml:space="preserve"> :</v>
      </c>
      <c r="B25" s="787"/>
      <c r="C25" s="788"/>
      <c r="D25" s="827"/>
      <c r="E25" s="828"/>
      <c r="F25" s="828"/>
      <c r="G25" s="828"/>
      <c r="H25" s="828"/>
      <c r="I25" s="828"/>
      <c r="J25" s="828"/>
      <c r="K25" s="828"/>
      <c r="L25" s="828"/>
      <c r="M25" s="828"/>
      <c r="N25" s="828"/>
      <c r="O25" s="829"/>
      <c r="P25" s="824" t="s">
        <v>377</v>
      </c>
      <c r="Q25" s="825"/>
      <c r="R25" s="826"/>
      <c r="S25" s="821"/>
      <c r="T25" s="822"/>
      <c r="U25" s="822"/>
      <c r="V25" s="822"/>
      <c r="W25" s="822"/>
      <c r="X25" s="822"/>
      <c r="Y25" s="822"/>
      <c r="Z25" s="822"/>
      <c r="AA25" s="822"/>
      <c r="AB25" s="822"/>
      <c r="AC25" s="822"/>
      <c r="AD25" s="823"/>
    </row>
    <row r="26" spans="1:32" s="1" customFormat="1" ht="20.100000000000001" customHeight="1">
      <c r="A26" s="835" t="s">
        <v>254</v>
      </c>
      <c r="B26" s="836"/>
      <c r="C26" s="836"/>
      <c r="D26" s="836"/>
      <c r="E26" s="836"/>
      <c r="F26" s="836"/>
      <c r="G26" s="836"/>
      <c r="H26" s="836"/>
      <c r="I26" s="836"/>
      <c r="J26" s="836"/>
      <c r="K26" s="836"/>
      <c r="L26" s="836"/>
      <c r="M26" s="836"/>
      <c r="N26" s="836"/>
      <c r="O26" s="836"/>
      <c r="P26" s="836"/>
      <c r="Q26" s="836"/>
      <c r="R26" s="836"/>
      <c r="S26" s="836"/>
      <c r="T26" s="836"/>
      <c r="U26" s="836"/>
      <c r="V26" s="836"/>
      <c r="W26" s="836"/>
      <c r="X26" s="836"/>
      <c r="Y26" s="836"/>
      <c r="Z26" s="836"/>
      <c r="AA26" s="836"/>
      <c r="AB26" s="836"/>
      <c r="AC26" s="836"/>
      <c r="AD26" s="837"/>
    </row>
    <row r="27" spans="1:32" ht="50.1" customHeight="1" thickBot="1">
      <c r="A27" s="838"/>
      <c r="B27" s="839"/>
      <c r="C27" s="839"/>
      <c r="D27" s="839"/>
      <c r="E27" s="839"/>
      <c r="F27" s="839"/>
      <c r="G27" s="839"/>
      <c r="H27" s="839"/>
      <c r="I27" s="839"/>
      <c r="J27" s="839"/>
      <c r="K27" s="839"/>
      <c r="L27" s="839"/>
      <c r="M27" s="839"/>
      <c r="N27" s="839"/>
      <c r="O27" s="839"/>
      <c r="P27" s="839"/>
      <c r="Q27" s="839"/>
      <c r="R27" s="839"/>
      <c r="S27" s="839"/>
      <c r="T27" s="839"/>
      <c r="U27" s="839"/>
      <c r="V27" s="839"/>
      <c r="W27" s="839"/>
      <c r="X27" s="839"/>
      <c r="Y27" s="839"/>
      <c r="Z27" s="839"/>
      <c r="AA27" s="839"/>
      <c r="AB27" s="839"/>
      <c r="AC27" s="839"/>
      <c r="AD27" s="840"/>
    </row>
    <row r="28" spans="1:32" ht="20.100000000000001" customHeight="1">
      <c r="A28" s="833" t="s">
        <v>378</v>
      </c>
      <c r="B28" s="834"/>
      <c r="C28" s="834"/>
      <c r="D28" s="834"/>
      <c r="E28" s="834"/>
      <c r="F28" s="834"/>
      <c r="G28" s="834"/>
      <c r="H28" s="834"/>
      <c r="I28" s="834"/>
      <c r="J28" s="834"/>
      <c r="K28" s="834" t="str">
        <f>_xlfn.CONCAT("Cachet &amp; Signature ",Client," :")</f>
        <v>Cachet &amp; Signature  :</v>
      </c>
      <c r="L28" s="834"/>
      <c r="M28" s="834"/>
      <c r="N28" s="834"/>
      <c r="O28" s="834"/>
      <c r="P28" s="834"/>
      <c r="Q28" s="834"/>
      <c r="R28" s="834"/>
      <c r="S28" s="834"/>
      <c r="T28" s="834"/>
      <c r="U28" s="834" t="s">
        <v>379</v>
      </c>
      <c r="V28" s="834"/>
      <c r="W28" s="834"/>
      <c r="X28" s="834"/>
      <c r="Y28" s="834"/>
      <c r="Z28" s="834"/>
      <c r="AA28" s="834"/>
      <c r="AB28" s="834"/>
      <c r="AC28" s="834"/>
      <c r="AD28" s="841"/>
    </row>
    <row r="29" spans="1:32" ht="20.100000000000001" customHeight="1">
      <c r="A29" s="814">
        <f>S24</f>
        <v>0</v>
      </c>
      <c r="B29" s="815"/>
      <c r="C29" s="815"/>
      <c r="D29" s="815"/>
      <c r="E29" s="815"/>
      <c r="F29" s="815"/>
      <c r="G29" s="815"/>
      <c r="H29" s="815"/>
      <c r="I29" s="815"/>
      <c r="J29" s="815"/>
      <c r="K29" s="815"/>
      <c r="L29" s="815"/>
      <c r="M29" s="815"/>
      <c r="N29" s="815"/>
      <c r="O29" s="815"/>
      <c r="P29" s="815"/>
      <c r="Q29" s="815"/>
      <c r="R29" s="815"/>
      <c r="S29" s="815"/>
      <c r="T29" s="815"/>
      <c r="U29" s="815">
        <f>D24</f>
        <v>0</v>
      </c>
      <c r="V29" s="815"/>
      <c r="W29" s="815"/>
      <c r="X29" s="815"/>
      <c r="Y29" s="815"/>
      <c r="Z29" s="815"/>
      <c r="AA29" s="815"/>
      <c r="AB29" s="815"/>
      <c r="AC29" s="815"/>
      <c r="AD29" s="830"/>
    </row>
    <row r="30" spans="1:32" ht="20.100000000000001" customHeight="1">
      <c r="A30" s="814"/>
      <c r="B30" s="815"/>
      <c r="C30" s="815"/>
      <c r="D30" s="815"/>
      <c r="E30" s="815"/>
      <c r="F30" s="815"/>
      <c r="G30" s="815"/>
      <c r="H30" s="815"/>
      <c r="I30" s="815"/>
      <c r="J30" s="815"/>
      <c r="K30" s="815"/>
      <c r="L30" s="815"/>
      <c r="M30" s="815"/>
      <c r="N30" s="815"/>
      <c r="O30" s="815"/>
      <c r="P30" s="815"/>
      <c r="Q30" s="815"/>
      <c r="R30" s="815"/>
      <c r="S30" s="815"/>
      <c r="T30" s="815"/>
      <c r="U30" s="818" t="s">
        <v>380</v>
      </c>
      <c r="V30" s="818"/>
      <c r="W30" s="818"/>
      <c r="X30" s="818"/>
      <c r="Y30" s="818"/>
      <c r="Z30" s="818"/>
      <c r="AA30" s="818"/>
      <c r="AB30" s="818"/>
      <c r="AC30" s="818"/>
      <c r="AD30" s="819"/>
    </row>
    <row r="31" spans="1:32" ht="20.100000000000001" customHeight="1" thickBot="1">
      <c r="A31" s="850"/>
      <c r="B31" s="831"/>
      <c r="C31" s="831"/>
      <c r="D31" s="831"/>
      <c r="E31" s="831"/>
      <c r="F31" s="831"/>
      <c r="G31" s="831"/>
      <c r="H31" s="831"/>
      <c r="I31" s="831"/>
      <c r="J31" s="831"/>
      <c r="K31" s="831"/>
      <c r="L31" s="831"/>
      <c r="M31" s="831"/>
      <c r="N31" s="831"/>
      <c r="O31" s="831"/>
      <c r="P31" s="831"/>
      <c r="Q31" s="831"/>
      <c r="R31" s="831"/>
      <c r="S31" s="831"/>
      <c r="T31" s="831"/>
      <c r="U31" s="831"/>
      <c r="V31" s="831"/>
      <c r="W31" s="831"/>
      <c r="X31" s="831"/>
      <c r="Y31" s="831"/>
      <c r="Z31" s="831"/>
      <c r="AA31" s="831"/>
      <c r="AB31" s="831"/>
      <c r="AC31" s="831"/>
      <c r="AD31" s="832"/>
    </row>
    <row r="32" spans="1:32" ht="15" customHeight="1" thickBot="1">
      <c r="A32" s="28"/>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row>
    <row r="33" spans="1:30" ht="20.100000000000001" customHeight="1" thickBot="1">
      <c r="A33" s="761" t="s">
        <v>381</v>
      </c>
      <c r="B33" s="762"/>
      <c r="C33" s="762"/>
      <c r="D33" s="762"/>
      <c r="E33" s="762"/>
      <c r="F33" s="762"/>
      <c r="G33" s="762"/>
      <c r="H33" s="762"/>
      <c r="I33" s="762"/>
      <c r="J33" s="762"/>
      <c r="K33" s="762"/>
      <c r="L33" s="762"/>
      <c r="M33" s="762"/>
      <c r="N33" s="762"/>
      <c r="O33" s="762"/>
      <c r="P33" s="762"/>
      <c r="Q33" s="762"/>
      <c r="R33" s="762"/>
      <c r="S33" s="762"/>
      <c r="T33" s="762"/>
      <c r="U33" s="762"/>
      <c r="V33" s="762"/>
      <c r="W33" s="762"/>
      <c r="X33" s="762"/>
      <c r="Y33" s="762"/>
      <c r="Z33" s="762"/>
      <c r="AA33" s="762"/>
      <c r="AB33" s="762"/>
      <c r="AC33" s="762"/>
      <c r="AD33" s="763"/>
    </row>
    <row r="34" spans="1:30" ht="20.100000000000001" customHeight="1">
      <c r="A34" s="813" t="s">
        <v>372</v>
      </c>
      <c r="B34" s="792"/>
      <c r="C34" s="793"/>
      <c r="D34" s="789"/>
      <c r="E34" s="790"/>
      <c r="F34" s="790"/>
      <c r="G34" s="790"/>
      <c r="H34" s="791" t="s">
        <v>373</v>
      </c>
      <c r="I34" s="792"/>
      <c r="J34" s="792"/>
      <c r="K34" s="792"/>
      <c r="L34" s="792"/>
      <c r="M34" s="793"/>
      <c r="N34" s="842"/>
      <c r="O34" s="843"/>
      <c r="P34" s="843"/>
      <c r="Q34" s="843"/>
      <c r="R34" s="843"/>
      <c r="S34" s="844"/>
      <c r="T34" s="845" t="s">
        <v>374</v>
      </c>
      <c r="U34" s="846"/>
      <c r="V34" s="846"/>
      <c r="W34" s="846"/>
      <c r="X34" s="846"/>
      <c r="Y34" s="846"/>
      <c r="Z34" s="847">
        <f>Z21</f>
        <v>0</v>
      </c>
      <c r="AA34" s="848"/>
      <c r="AB34" s="848"/>
      <c r="AC34" s="848"/>
      <c r="AD34" s="849"/>
    </row>
    <row r="35" spans="1:30" ht="20.100000000000001" customHeight="1">
      <c r="A35" s="810" t="s">
        <v>376</v>
      </c>
      <c r="B35" s="811"/>
      <c r="C35" s="811"/>
      <c r="D35" s="811"/>
      <c r="E35" s="811"/>
      <c r="F35" s="811"/>
      <c r="G35" s="811"/>
      <c r="H35" s="811"/>
      <c r="I35" s="811"/>
      <c r="J35" s="811"/>
      <c r="K35" s="811"/>
      <c r="L35" s="811"/>
      <c r="M35" s="811"/>
      <c r="N35" s="811"/>
      <c r="O35" s="811"/>
      <c r="P35" s="811"/>
      <c r="Q35" s="811"/>
      <c r="R35" s="811"/>
      <c r="S35" s="811"/>
      <c r="T35" s="811"/>
      <c r="U35" s="811"/>
      <c r="V35" s="811"/>
      <c r="W35" s="811"/>
      <c r="X35" s="811"/>
      <c r="Y35" s="811"/>
      <c r="Z35" s="811"/>
      <c r="AA35" s="811"/>
      <c r="AB35" s="811"/>
      <c r="AC35" s="811"/>
      <c r="AD35" s="812"/>
    </row>
    <row r="36" spans="1:30" ht="20.100000000000001" customHeight="1">
      <c r="A36" s="786" t="str">
        <f>_xlfn.CONCAT(Client," :")</f>
        <v xml:space="preserve"> :</v>
      </c>
      <c r="B36" s="787"/>
      <c r="C36" s="788"/>
      <c r="D36" s="807">
        <f>D24</f>
        <v>0</v>
      </c>
      <c r="E36" s="808"/>
      <c r="F36" s="808"/>
      <c r="G36" s="808"/>
      <c r="H36" s="808"/>
      <c r="I36" s="808"/>
      <c r="J36" s="808"/>
      <c r="K36" s="808"/>
      <c r="L36" s="808"/>
      <c r="M36" s="808"/>
      <c r="N36" s="808"/>
      <c r="O36" s="809"/>
      <c r="P36" s="804" t="s">
        <v>377</v>
      </c>
      <c r="Q36" s="805"/>
      <c r="R36" s="806"/>
      <c r="S36" s="801">
        <f>S24</f>
        <v>0</v>
      </c>
      <c r="T36" s="802"/>
      <c r="U36" s="802"/>
      <c r="V36" s="802"/>
      <c r="W36" s="802"/>
      <c r="X36" s="802"/>
      <c r="Y36" s="802"/>
      <c r="Z36" s="802"/>
      <c r="AA36" s="802"/>
      <c r="AB36" s="802"/>
      <c r="AC36" s="802"/>
      <c r="AD36" s="803"/>
    </row>
    <row r="37" spans="1:30" ht="20.100000000000001" customHeight="1" thickBot="1">
      <c r="A37" s="786" t="str">
        <f>_xlfn.CONCAT(Client," :")</f>
        <v xml:space="preserve"> :</v>
      </c>
      <c r="B37" s="787"/>
      <c r="C37" s="788"/>
      <c r="D37" s="827">
        <f>D25</f>
        <v>0</v>
      </c>
      <c r="E37" s="828"/>
      <c r="F37" s="828"/>
      <c r="G37" s="828"/>
      <c r="H37" s="828"/>
      <c r="I37" s="828"/>
      <c r="J37" s="828"/>
      <c r="K37" s="828"/>
      <c r="L37" s="828"/>
      <c r="M37" s="828"/>
      <c r="N37" s="828"/>
      <c r="O37" s="829"/>
      <c r="P37" s="824" t="s">
        <v>377</v>
      </c>
      <c r="Q37" s="825"/>
      <c r="R37" s="826"/>
      <c r="S37" s="821">
        <f>S25</f>
        <v>0</v>
      </c>
      <c r="T37" s="822"/>
      <c r="U37" s="822"/>
      <c r="V37" s="822"/>
      <c r="W37" s="822"/>
      <c r="X37" s="822"/>
      <c r="Y37" s="822"/>
      <c r="Z37" s="822"/>
      <c r="AA37" s="822"/>
      <c r="AB37" s="822"/>
      <c r="AC37" s="822"/>
      <c r="AD37" s="823"/>
    </row>
    <row r="38" spans="1:30" ht="20.100000000000001" customHeight="1">
      <c r="A38" s="835" t="s">
        <v>254</v>
      </c>
      <c r="B38" s="836"/>
      <c r="C38" s="836"/>
      <c r="D38" s="836"/>
      <c r="E38" s="836"/>
      <c r="F38" s="836"/>
      <c r="G38" s="836"/>
      <c r="H38" s="836"/>
      <c r="I38" s="836"/>
      <c r="J38" s="836"/>
      <c r="K38" s="836"/>
      <c r="L38" s="836"/>
      <c r="M38" s="836"/>
      <c r="N38" s="836"/>
      <c r="O38" s="836"/>
      <c r="P38" s="836"/>
      <c r="Q38" s="836"/>
      <c r="R38" s="836"/>
      <c r="S38" s="836"/>
      <c r="T38" s="836"/>
      <c r="U38" s="836"/>
      <c r="V38" s="836"/>
      <c r="W38" s="836"/>
      <c r="X38" s="836"/>
      <c r="Y38" s="836"/>
      <c r="Z38" s="836"/>
      <c r="AA38" s="836"/>
      <c r="AB38" s="836"/>
      <c r="AC38" s="836"/>
      <c r="AD38" s="837"/>
    </row>
    <row r="39" spans="1:30" ht="50.1" customHeight="1" thickBot="1">
      <c r="A39" s="838"/>
      <c r="B39" s="839"/>
      <c r="C39" s="839"/>
      <c r="D39" s="839"/>
      <c r="E39" s="839"/>
      <c r="F39" s="839"/>
      <c r="G39" s="839"/>
      <c r="H39" s="839"/>
      <c r="I39" s="839"/>
      <c r="J39" s="839"/>
      <c r="K39" s="839"/>
      <c r="L39" s="839"/>
      <c r="M39" s="839"/>
      <c r="N39" s="839"/>
      <c r="O39" s="839"/>
      <c r="P39" s="839"/>
      <c r="Q39" s="839"/>
      <c r="R39" s="839"/>
      <c r="S39" s="839"/>
      <c r="T39" s="839"/>
      <c r="U39" s="839"/>
      <c r="V39" s="839"/>
      <c r="W39" s="839"/>
      <c r="X39" s="839"/>
      <c r="Y39" s="839"/>
      <c r="Z39" s="839"/>
      <c r="AA39" s="839"/>
      <c r="AB39" s="839"/>
      <c r="AC39" s="839"/>
      <c r="AD39" s="840"/>
    </row>
    <row r="40" spans="1:30" ht="20.100000000000001" customHeight="1">
      <c r="A40" s="833" t="s">
        <v>378</v>
      </c>
      <c r="B40" s="834"/>
      <c r="C40" s="834"/>
      <c r="D40" s="834"/>
      <c r="E40" s="834"/>
      <c r="F40" s="834"/>
      <c r="G40" s="834"/>
      <c r="H40" s="834"/>
      <c r="I40" s="834"/>
      <c r="J40" s="834"/>
      <c r="K40" s="834" t="str">
        <f>_xlfn.CONCAT("Cachet &amp; Signature ",Client," :")</f>
        <v>Cachet &amp; Signature  :</v>
      </c>
      <c r="L40" s="834"/>
      <c r="M40" s="834"/>
      <c r="N40" s="834"/>
      <c r="O40" s="834"/>
      <c r="P40" s="834"/>
      <c r="Q40" s="834"/>
      <c r="R40" s="834"/>
      <c r="S40" s="834"/>
      <c r="T40" s="834"/>
      <c r="U40" s="834" t="s">
        <v>379</v>
      </c>
      <c r="V40" s="834"/>
      <c r="W40" s="834"/>
      <c r="X40" s="834"/>
      <c r="Y40" s="834"/>
      <c r="Z40" s="834"/>
      <c r="AA40" s="834"/>
      <c r="AB40" s="834"/>
      <c r="AC40" s="834"/>
      <c r="AD40" s="841"/>
    </row>
    <row r="41" spans="1:30" ht="20.100000000000001" customHeight="1">
      <c r="A41" s="814">
        <f>S36</f>
        <v>0</v>
      </c>
      <c r="B41" s="815"/>
      <c r="C41" s="815"/>
      <c r="D41" s="815"/>
      <c r="E41" s="815"/>
      <c r="F41" s="815"/>
      <c r="G41" s="815"/>
      <c r="H41" s="815"/>
      <c r="I41" s="815"/>
      <c r="J41" s="815"/>
      <c r="K41" s="815"/>
      <c r="L41" s="815"/>
      <c r="M41" s="815"/>
      <c r="N41" s="815"/>
      <c r="O41" s="815"/>
      <c r="P41" s="815"/>
      <c r="Q41" s="815"/>
      <c r="R41" s="815"/>
      <c r="S41" s="815"/>
      <c r="T41" s="815"/>
      <c r="U41" s="815">
        <f>D36</f>
        <v>0</v>
      </c>
      <c r="V41" s="815"/>
      <c r="W41" s="815"/>
      <c r="X41" s="815"/>
      <c r="Y41" s="815"/>
      <c r="Z41" s="815"/>
      <c r="AA41" s="815"/>
      <c r="AB41" s="815"/>
      <c r="AC41" s="815"/>
      <c r="AD41" s="830"/>
    </row>
    <row r="42" spans="1:30" ht="20.100000000000001" customHeight="1">
      <c r="A42" s="814"/>
      <c r="B42" s="815"/>
      <c r="C42" s="815"/>
      <c r="D42" s="815"/>
      <c r="E42" s="815"/>
      <c r="F42" s="815"/>
      <c r="G42" s="815"/>
      <c r="H42" s="815"/>
      <c r="I42" s="815"/>
      <c r="J42" s="815"/>
      <c r="K42" s="815"/>
      <c r="L42" s="815"/>
      <c r="M42" s="815"/>
      <c r="N42" s="815"/>
      <c r="O42" s="815"/>
      <c r="P42" s="815"/>
      <c r="Q42" s="815"/>
      <c r="R42" s="815"/>
      <c r="S42" s="815"/>
      <c r="T42" s="815"/>
      <c r="U42" s="818" t="s">
        <v>380</v>
      </c>
      <c r="V42" s="818"/>
      <c r="W42" s="818"/>
      <c r="X42" s="818"/>
      <c r="Y42" s="818"/>
      <c r="Z42" s="818"/>
      <c r="AA42" s="818"/>
      <c r="AB42" s="818"/>
      <c r="AC42" s="818"/>
      <c r="AD42" s="819"/>
    </row>
    <row r="43" spans="1:30" ht="20.100000000000001" customHeight="1" thickBot="1">
      <c r="A43" s="816"/>
      <c r="B43" s="817"/>
      <c r="C43" s="817"/>
      <c r="D43" s="817"/>
      <c r="E43" s="817"/>
      <c r="F43" s="817"/>
      <c r="G43" s="817"/>
      <c r="H43" s="817"/>
      <c r="I43" s="817"/>
      <c r="J43" s="817"/>
      <c r="K43" s="817"/>
      <c r="L43" s="817"/>
      <c r="M43" s="817"/>
      <c r="N43" s="817"/>
      <c r="O43" s="817"/>
      <c r="P43" s="817"/>
      <c r="Q43" s="817"/>
      <c r="R43" s="817"/>
      <c r="S43" s="817"/>
      <c r="T43" s="817"/>
      <c r="U43" s="817">
        <f>U31</f>
        <v>0</v>
      </c>
      <c r="V43" s="817"/>
      <c r="W43" s="817"/>
      <c r="X43" s="817"/>
      <c r="Y43" s="817"/>
      <c r="Z43" s="817"/>
      <c r="AA43" s="817"/>
      <c r="AB43" s="817"/>
      <c r="AC43" s="817"/>
      <c r="AD43" s="820"/>
    </row>
  </sheetData>
  <mergeCells count="89">
    <mergeCell ref="A17:N17"/>
    <mergeCell ref="P17:AC17"/>
    <mergeCell ref="A11:AD11"/>
    <mergeCell ref="A12:G12"/>
    <mergeCell ref="I12:N12"/>
    <mergeCell ref="P12:V12"/>
    <mergeCell ref="X12:AC12"/>
    <mergeCell ref="A16:N16"/>
    <mergeCell ref="P16:AC16"/>
    <mergeCell ref="A13:N13"/>
    <mergeCell ref="A14:N14"/>
    <mergeCell ref="A15:N15"/>
    <mergeCell ref="P13:AC13"/>
    <mergeCell ref="P14:AC14"/>
    <mergeCell ref="P15:AC15"/>
    <mergeCell ref="A26:AD26"/>
    <mergeCell ref="D34:G34"/>
    <mergeCell ref="H34:M34"/>
    <mergeCell ref="N34:S34"/>
    <mergeCell ref="T34:Y34"/>
    <mergeCell ref="Z34:AD34"/>
    <mergeCell ref="A27:AD27"/>
    <mergeCell ref="A33:AD33"/>
    <mergeCell ref="K29:T31"/>
    <mergeCell ref="U28:AD28"/>
    <mergeCell ref="U30:AD30"/>
    <mergeCell ref="U29:AD29"/>
    <mergeCell ref="A29:J31"/>
    <mergeCell ref="K28:T28"/>
    <mergeCell ref="A34:C34"/>
    <mergeCell ref="A40:J40"/>
    <mergeCell ref="K40:T40"/>
    <mergeCell ref="A38:AD38"/>
    <mergeCell ref="A39:AD39"/>
    <mergeCell ref="U40:AD40"/>
    <mergeCell ref="A35:AD35"/>
    <mergeCell ref="A28:J28"/>
    <mergeCell ref="D37:O37"/>
    <mergeCell ref="P37:R37"/>
    <mergeCell ref="S37:AD37"/>
    <mergeCell ref="A37:C37"/>
    <mergeCell ref="D24:O24"/>
    <mergeCell ref="A23:AD23"/>
    <mergeCell ref="A21:C21"/>
    <mergeCell ref="A41:J43"/>
    <mergeCell ref="K41:T43"/>
    <mergeCell ref="U42:AD42"/>
    <mergeCell ref="U43:AD43"/>
    <mergeCell ref="S25:AD25"/>
    <mergeCell ref="A36:C36"/>
    <mergeCell ref="D36:O36"/>
    <mergeCell ref="P36:R36"/>
    <mergeCell ref="S36:AD36"/>
    <mergeCell ref="P25:R25"/>
    <mergeCell ref="D25:O25"/>
    <mergeCell ref="U41:AD41"/>
    <mergeCell ref="U31:AD31"/>
    <mergeCell ref="A8:F8"/>
    <mergeCell ref="G8:O8"/>
    <mergeCell ref="P8:T8"/>
    <mergeCell ref="U8:AD8"/>
    <mergeCell ref="A25:C25"/>
    <mergeCell ref="A24:C24"/>
    <mergeCell ref="A20:AD20"/>
    <mergeCell ref="D21:G21"/>
    <mergeCell ref="H21:M21"/>
    <mergeCell ref="N21:S21"/>
    <mergeCell ref="T21:Y21"/>
    <mergeCell ref="Z21:AD21"/>
    <mergeCell ref="Y22:AD22"/>
    <mergeCell ref="A22:X22"/>
    <mergeCell ref="S24:AD24"/>
    <mergeCell ref="P24:R24"/>
    <mergeCell ref="A18:N18"/>
    <mergeCell ref="P18:AC18"/>
    <mergeCell ref="A5:O6"/>
    <mergeCell ref="P1:AD4"/>
    <mergeCell ref="A7:F7"/>
    <mergeCell ref="G7:O7"/>
    <mergeCell ref="P7:T7"/>
    <mergeCell ref="U7:AD7"/>
    <mergeCell ref="P5:T5"/>
    <mergeCell ref="U5:AD5"/>
    <mergeCell ref="P6:T6"/>
    <mergeCell ref="U6:AD6"/>
    <mergeCell ref="A9:F9"/>
    <mergeCell ref="G9:O9"/>
    <mergeCell ref="P9:T9"/>
    <mergeCell ref="U9:AD9"/>
  </mergeCells>
  <dataValidations count="2">
    <dataValidation type="list" allowBlank="1" showInputMessage="1" showErrorMessage="1" sqref="Y22:AD22" xr:uid="{046B01F1-EE20-48AF-A29D-F6DA9D8FC3A3}">
      <formula1>L_Oui_Non</formula1>
    </dataValidation>
    <dataValidation type="list" allowBlank="1" sqref="Z34:AD34 Z21:AD21" xr:uid="{787D9929-AC49-472B-9E4C-BC7934E48FD4}">
      <formula1>L_Type_Installation</formula1>
    </dataValidation>
  </dataValidations>
  <printOptions horizontalCentered="1"/>
  <pageMargins left="0.23622047244094502" right="0.23622047244094502" top="0.23622047244094502" bottom="0.23622047244094502" header="0.31496062992126" footer="0.31496062992126"/>
  <pageSetup paperSize="9" scale="81" orientation="portrait" r:id="rId1"/>
  <headerFooter>
    <oddHeader>&amp;R&amp;D</oddHeader>
    <oddFooter>&amp;L&amp;Z&amp;F&amp;RPage &amp;P/&amp;N</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B67D8-0505-44C2-B267-DD472E894C74}">
  <sheetPr codeName="Feuil6">
    <tabColor theme="8" tint="0.59999389629810485"/>
    <pageSetUpPr fitToPage="1"/>
  </sheetPr>
  <dimension ref="A1:AD29"/>
  <sheetViews>
    <sheetView view="pageBreakPreview" zoomScaleNormal="100" zoomScaleSheetLayoutView="100" workbookViewId="0">
      <selection activeCell="AM21" sqref="AM21"/>
    </sheetView>
  </sheetViews>
  <sheetFormatPr baseColWidth="10" defaultColWidth="11.42578125" defaultRowHeight="15"/>
  <cols>
    <col min="1" max="38" width="3.28515625" customWidth="1"/>
  </cols>
  <sheetData>
    <row r="1" spans="1:30" ht="14.1" customHeight="1">
      <c r="P1" s="326" t="s">
        <v>382</v>
      </c>
      <c r="Q1" s="326"/>
      <c r="R1" s="326"/>
      <c r="S1" s="326"/>
      <c r="T1" s="326"/>
      <c r="U1" s="326"/>
      <c r="V1" s="326"/>
      <c r="W1" s="326"/>
      <c r="X1" s="326"/>
      <c r="Y1" s="326"/>
      <c r="Z1" s="326"/>
      <c r="AA1" s="326"/>
      <c r="AB1" s="326"/>
      <c r="AC1" s="326"/>
      <c r="AD1" s="326"/>
    </row>
    <row r="2" spans="1:30" ht="14.1" customHeight="1">
      <c r="P2" s="327"/>
      <c r="Q2" s="327"/>
      <c r="R2" s="327"/>
      <c r="S2" s="327"/>
      <c r="T2" s="327"/>
      <c r="U2" s="327"/>
      <c r="V2" s="327"/>
      <c r="W2" s="327"/>
      <c r="X2" s="327"/>
      <c r="Y2" s="327"/>
      <c r="Z2" s="327"/>
      <c r="AA2" s="327"/>
      <c r="AB2" s="327"/>
      <c r="AC2" s="327"/>
      <c r="AD2" s="327"/>
    </row>
    <row r="3" spans="1:30" ht="14.1" customHeight="1">
      <c r="P3" s="327"/>
      <c r="Q3" s="327"/>
      <c r="R3" s="327"/>
      <c r="S3" s="327"/>
      <c r="T3" s="327"/>
      <c r="U3" s="327"/>
      <c r="V3" s="327"/>
      <c r="W3" s="327"/>
      <c r="X3" s="327"/>
      <c r="Y3" s="327"/>
      <c r="Z3" s="327"/>
      <c r="AA3" s="327"/>
      <c r="AB3" s="327"/>
      <c r="AC3" s="327"/>
      <c r="AD3" s="327"/>
    </row>
    <row r="4" spans="1:30" ht="14.1" customHeight="1" thickBot="1">
      <c r="P4" s="328"/>
      <c r="Q4" s="328"/>
      <c r="R4" s="328"/>
      <c r="S4" s="328"/>
      <c r="T4" s="328"/>
      <c r="U4" s="328"/>
      <c r="V4" s="328"/>
      <c r="W4" s="328"/>
      <c r="X4" s="328"/>
      <c r="Y4" s="328"/>
      <c r="Z4" s="328"/>
      <c r="AA4" s="328"/>
      <c r="AB4" s="328"/>
      <c r="AC4" s="328"/>
      <c r="AD4" s="328"/>
    </row>
    <row r="5" spans="1:30" ht="14.1" customHeight="1">
      <c r="A5" s="329" t="s">
        <v>1</v>
      </c>
      <c r="B5" s="330"/>
      <c r="C5" s="330"/>
      <c r="D5" s="330"/>
      <c r="E5" s="330"/>
      <c r="F5" s="330"/>
      <c r="G5" s="330"/>
      <c r="H5" s="330"/>
      <c r="I5" s="330"/>
      <c r="J5" s="330"/>
      <c r="K5" s="330"/>
      <c r="L5" s="330"/>
      <c r="M5" s="330"/>
      <c r="N5" s="330"/>
      <c r="O5" s="331"/>
      <c r="P5" s="182" t="s">
        <v>2</v>
      </c>
      <c r="Q5" s="183"/>
      <c r="R5" s="183"/>
      <c r="S5" s="183"/>
      <c r="T5" s="184"/>
      <c r="U5" s="690">
        <f>Client</f>
        <v>0</v>
      </c>
      <c r="V5" s="691"/>
      <c r="W5" s="691"/>
      <c r="X5" s="691"/>
      <c r="Y5" s="691"/>
      <c r="Z5" s="691"/>
      <c r="AA5" s="691"/>
      <c r="AB5" s="691"/>
      <c r="AC5" s="691"/>
      <c r="AD5" s="692"/>
    </row>
    <row r="6" spans="1:30" ht="14.1" customHeight="1" thickBot="1">
      <c r="A6" s="332"/>
      <c r="B6" s="333"/>
      <c r="C6" s="333"/>
      <c r="D6" s="333"/>
      <c r="E6" s="333"/>
      <c r="F6" s="333"/>
      <c r="G6" s="333"/>
      <c r="H6" s="333"/>
      <c r="I6" s="333"/>
      <c r="J6" s="333"/>
      <c r="K6" s="333"/>
      <c r="L6" s="333"/>
      <c r="M6" s="333"/>
      <c r="N6" s="333"/>
      <c r="O6" s="334"/>
      <c r="P6" s="178" t="s">
        <v>3</v>
      </c>
      <c r="Q6" s="179"/>
      <c r="R6" s="179"/>
      <c r="S6" s="179"/>
      <c r="T6" s="180"/>
      <c r="U6" s="163">
        <f>Num_Devis</f>
        <v>0</v>
      </c>
      <c r="V6" s="688"/>
      <c r="W6" s="688"/>
      <c r="X6" s="688"/>
      <c r="Y6" s="688"/>
      <c r="Z6" s="688"/>
      <c r="AA6" s="688"/>
      <c r="AB6" s="688"/>
      <c r="AC6" s="688"/>
      <c r="AD6" s="689"/>
    </row>
    <row r="7" spans="1:30" ht="27.95" customHeight="1">
      <c r="A7" s="350" t="s">
        <v>4</v>
      </c>
      <c r="B7" s="351"/>
      <c r="C7" s="351"/>
      <c r="D7" s="351"/>
      <c r="E7" s="351"/>
      <c r="F7" s="352"/>
      <c r="G7" s="457">
        <f>Commercial</f>
        <v>0</v>
      </c>
      <c r="H7" s="457"/>
      <c r="I7" s="457"/>
      <c r="J7" s="457"/>
      <c r="K7" s="457"/>
      <c r="L7" s="457"/>
      <c r="M7" s="457"/>
      <c r="N7" s="457"/>
      <c r="O7" s="458"/>
      <c r="P7" s="256" t="s">
        <v>5</v>
      </c>
      <c r="Q7" s="257"/>
      <c r="R7" s="257"/>
      <c r="S7" s="257"/>
      <c r="T7" s="258"/>
      <c r="U7" s="163">
        <f>Code_Client_Divalto</f>
        <v>0</v>
      </c>
      <c r="V7" s="688"/>
      <c r="W7" s="688"/>
      <c r="X7" s="688"/>
      <c r="Y7" s="688"/>
      <c r="Z7" s="688"/>
      <c r="AA7" s="688"/>
      <c r="AB7" s="688"/>
      <c r="AC7" s="688"/>
      <c r="AD7" s="689"/>
    </row>
    <row r="8" spans="1:30"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0"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0" ht="15.75" thickBot="1"/>
    <row r="11" spans="1:30" ht="14.1" customHeight="1">
      <c r="A11" s="766" t="s">
        <v>383</v>
      </c>
      <c r="B11" s="767"/>
      <c r="C11" s="767"/>
      <c r="D11" s="767"/>
      <c r="E11" s="767"/>
      <c r="F11" s="767"/>
      <c r="G11" s="767"/>
      <c r="H11" s="767"/>
      <c r="I11" s="767"/>
      <c r="J11" s="767"/>
      <c r="K11" s="767"/>
      <c r="L11" s="767"/>
      <c r="M11" s="767"/>
      <c r="N11" s="767"/>
      <c r="O11" s="767"/>
      <c r="P11" s="767"/>
      <c r="Q11" s="767"/>
      <c r="R11" s="767"/>
      <c r="S11" s="767"/>
      <c r="T11" s="767"/>
      <c r="U11" s="767"/>
      <c r="V11" s="767"/>
      <c r="W11" s="767"/>
      <c r="X11" s="767"/>
      <c r="Y11" s="767"/>
      <c r="Z11" s="767"/>
      <c r="AA11" s="767"/>
      <c r="AB11" s="767"/>
      <c r="AC11" s="767"/>
      <c r="AD11" s="768"/>
    </row>
    <row r="12" spans="1:30" ht="14.1" customHeight="1" thickBot="1">
      <c r="A12" s="769"/>
      <c r="B12" s="770"/>
      <c r="C12" s="770"/>
      <c r="D12" s="770"/>
      <c r="E12" s="770"/>
      <c r="F12" s="770"/>
      <c r="G12" s="770"/>
      <c r="H12" s="770"/>
      <c r="I12" s="770"/>
      <c r="J12" s="770"/>
      <c r="K12" s="770"/>
      <c r="L12" s="770"/>
      <c r="M12" s="770"/>
      <c r="N12" s="770"/>
      <c r="O12" s="770"/>
      <c r="P12" s="770"/>
      <c r="Q12" s="770"/>
      <c r="R12" s="770"/>
      <c r="S12" s="770"/>
      <c r="T12" s="770"/>
      <c r="U12" s="770"/>
      <c r="V12" s="770"/>
      <c r="W12" s="770"/>
      <c r="X12" s="770"/>
      <c r="Y12" s="770"/>
      <c r="Z12" s="770"/>
      <c r="AA12" s="770"/>
      <c r="AB12" s="770"/>
      <c r="AC12" s="770"/>
      <c r="AD12" s="771"/>
    </row>
    <row r="13" spans="1:30" ht="20.100000000000001" customHeight="1" thickBot="1">
      <c r="A13" s="761" t="s">
        <v>384</v>
      </c>
      <c r="B13" s="762"/>
      <c r="C13" s="762"/>
      <c r="D13" s="762"/>
      <c r="E13" s="762"/>
      <c r="F13" s="762"/>
      <c r="G13" s="762"/>
      <c r="H13" s="762"/>
      <c r="I13" s="762"/>
      <c r="J13" s="762"/>
      <c r="K13" s="762"/>
      <c r="L13" s="762"/>
      <c r="M13" s="762"/>
      <c r="N13" s="762"/>
      <c r="O13" s="762"/>
      <c r="P13" s="762"/>
      <c r="Q13" s="762"/>
      <c r="R13" s="762"/>
      <c r="S13" s="762"/>
      <c r="T13" s="762"/>
      <c r="U13" s="762"/>
      <c r="V13" s="762"/>
      <c r="W13" s="762"/>
      <c r="X13" s="762"/>
      <c r="Y13" s="762"/>
      <c r="Z13" s="762"/>
      <c r="AA13" s="762"/>
      <c r="AB13" s="762"/>
      <c r="AC13" s="762"/>
      <c r="AD13" s="763"/>
    </row>
    <row r="14" spans="1:30" ht="20.100000000000001" customHeight="1">
      <c r="A14" s="220" t="s">
        <v>385</v>
      </c>
      <c r="B14" s="221"/>
      <c r="C14" s="221"/>
      <c r="D14" s="221"/>
      <c r="E14" s="221"/>
      <c r="F14" s="221"/>
      <c r="G14" s="221"/>
      <c r="H14" s="221"/>
      <c r="I14" s="221"/>
      <c r="J14" s="221"/>
      <c r="K14" s="221"/>
      <c r="L14" s="221"/>
      <c r="M14" s="221"/>
      <c r="N14" s="221"/>
      <c r="O14" s="221"/>
      <c r="P14" s="221"/>
      <c r="Q14" s="221"/>
      <c r="R14" s="221"/>
      <c r="S14" s="221"/>
      <c r="T14" s="221"/>
      <c r="U14" s="221"/>
      <c r="V14" s="221"/>
      <c r="W14" s="221"/>
      <c r="X14" s="221"/>
      <c r="Y14" s="102"/>
      <c r="Z14" s="221" t="s">
        <v>51</v>
      </c>
      <c r="AA14" s="221"/>
      <c r="AB14" s="102"/>
      <c r="AC14" s="221" t="s">
        <v>52</v>
      </c>
      <c r="AD14" s="222"/>
    </row>
    <row r="15" spans="1:30" ht="45" customHeight="1" thickBot="1">
      <c r="A15" s="726"/>
      <c r="B15" s="727"/>
      <c r="C15" s="727"/>
      <c r="D15" s="727"/>
      <c r="E15" s="727"/>
      <c r="F15" s="727"/>
      <c r="G15" s="727"/>
      <c r="H15" s="727"/>
      <c r="I15" s="727"/>
      <c r="J15" s="727"/>
      <c r="K15" s="727"/>
      <c r="L15" s="727"/>
      <c r="M15" s="727"/>
      <c r="N15" s="727"/>
      <c r="O15" s="727"/>
      <c r="P15" s="727"/>
      <c r="Q15" s="727"/>
      <c r="R15" s="727"/>
      <c r="S15" s="727"/>
      <c r="T15" s="727"/>
      <c r="U15" s="727"/>
      <c r="V15" s="727"/>
      <c r="W15" s="727"/>
      <c r="X15" s="727"/>
      <c r="Y15" s="727"/>
      <c r="Z15" s="727"/>
      <c r="AA15" s="727"/>
      <c r="AB15" s="727"/>
      <c r="AC15" s="727"/>
      <c r="AD15" s="728"/>
    </row>
    <row r="16" spans="1:30" ht="20.100000000000001" customHeight="1">
      <c r="A16" s="220" t="s">
        <v>386</v>
      </c>
      <c r="B16" s="221"/>
      <c r="C16" s="221"/>
      <c r="D16" s="221"/>
      <c r="E16" s="221"/>
      <c r="F16" s="221"/>
      <c r="G16" s="221"/>
      <c r="H16" s="221"/>
      <c r="I16" s="221"/>
      <c r="J16" s="221"/>
      <c r="K16" s="221"/>
      <c r="L16" s="221"/>
      <c r="M16" s="221"/>
      <c r="N16" s="221"/>
      <c r="O16" s="221"/>
      <c r="P16" s="221"/>
      <c r="Q16" s="221"/>
      <c r="R16" s="221"/>
      <c r="S16" s="221"/>
      <c r="T16" s="221"/>
      <c r="U16" s="221"/>
      <c r="V16" s="221"/>
      <c r="W16" s="221"/>
      <c r="X16" s="221"/>
      <c r="Y16" s="102"/>
      <c r="Z16" s="221" t="s">
        <v>51</v>
      </c>
      <c r="AA16" s="221"/>
      <c r="AB16" s="102"/>
      <c r="AC16" s="221" t="s">
        <v>52</v>
      </c>
      <c r="AD16" s="222"/>
    </row>
    <row r="17" spans="1:30" ht="45" customHeight="1" thickBot="1">
      <c r="A17" s="726"/>
      <c r="B17" s="727"/>
      <c r="C17" s="727"/>
      <c r="D17" s="727"/>
      <c r="E17" s="727"/>
      <c r="F17" s="727"/>
      <c r="G17" s="727"/>
      <c r="H17" s="727"/>
      <c r="I17" s="727"/>
      <c r="J17" s="727"/>
      <c r="K17" s="727"/>
      <c r="L17" s="727"/>
      <c r="M17" s="727"/>
      <c r="N17" s="727"/>
      <c r="O17" s="727"/>
      <c r="P17" s="727"/>
      <c r="Q17" s="727"/>
      <c r="R17" s="727"/>
      <c r="S17" s="727"/>
      <c r="T17" s="727"/>
      <c r="U17" s="727"/>
      <c r="V17" s="727"/>
      <c r="W17" s="727"/>
      <c r="X17" s="727"/>
      <c r="Y17" s="727"/>
      <c r="Z17" s="727"/>
      <c r="AA17" s="727"/>
      <c r="AB17" s="727"/>
      <c r="AC17" s="727"/>
      <c r="AD17" s="728"/>
    </row>
    <row r="18" spans="1:30" ht="20.100000000000001" customHeight="1">
      <c r="A18" s="220" t="s">
        <v>387</v>
      </c>
      <c r="B18" s="221"/>
      <c r="C18" s="221"/>
      <c r="D18" s="221"/>
      <c r="E18" s="221"/>
      <c r="F18" s="221"/>
      <c r="G18" s="221"/>
      <c r="H18" s="221"/>
      <c r="I18" s="221"/>
      <c r="J18" s="221"/>
      <c r="K18" s="221"/>
      <c r="L18" s="221"/>
      <c r="M18" s="221"/>
      <c r="N18" s="221"/>
      <c r="O18" s="221"/>
      <c r="P18" s="221"/>
      <c r="Q18" s="221"/>
      <c r="R18" s="221"/>
      <c r="S18" s="221"/>
      <c r="T18" s="221"/>
      <c r="U18" s="221"/>
      <c r="V18" s="221"/>
      <c r="W18" s="221"/>
      <c r="X18" s="221"/>
      <c r="Y18" s="102"/>
      <c r="Z18" s="221" t="s">
        <v>51</v>
      </c>
      <c r="AA18" s="221"/>
      <c r="AB18" s="102"/>
      <c r="AC18" s="221" t="s">
        <v>52</v>
      </c>
      <c r="AD18" s="222"/>
    </row>
    <row r="19" spans="1:30" ht="45" customHeight="1" thickBot="1">
      <c r="A19" s="726"/>
      <c r="B19" s="727"/>
      <c r="C19" s="727"/>
      <c r="D19" s="727"/>
      <c r="E19" s="727"/>
      <c r="F19" s="727"/>
      <c r="G19" s="727"/>
      <c r="H19" s="727"/>
      <c r="I19" s="727"/>
      <c r="J19" s="727"/>
      <c r="K19" s="727"/>
      <c r="L19" s="727"/>
      <c r="M19" s="727"/>
      <c r="N19" s="727"/>
      <c r="O19" s="727"/>
      <c r="P19" s="727"/>
      <c r="Q19" s="727"/>
      <c r="R19" s="727"/>
      <c r="S19" s="727"/>
      <c r="T19" s="727"/>
      <c r="U19" s="727"/>
      <c r="V19" s="727"/>
      <c r="W19" s="727"/>
      <c r="X19" s="727"/>
      <c r="Y19" s="727"/>
      <c r="Z19" s="727"/>
      <c r="AA19" s="727"/>
      <c r="AB19" s="727"/>
      <c r="AC19" s="727"/>
      <c r="AD19" s="728"/>
    </row>
    <row r="20" spans="1:30" ht="20.100000000000001" customHeight="1">
      <c r="A20" s="220" t="s">
        <v>388</v>
      </c>
      <c r="B20" s="221"/>
      <c r="C20" s="221"/>
      <c r="D20" s="221"/>
      <c r="E20" s="221"/>
      <c r="F20" s="221"/>
      <c r="G20" s="221"/>
      <c r="H20" s="221"/>
      <c r="I20" s="221"/>
      <c r="J20" s="221"/>
      <c r="K20" s="221"/>
      <c r="L20" s="221"/>
      <c r="M20" s="221"/>
      <c r="N20" s="221"/>
      <c r="O20" s="221"/>
      <c r="P20" s="221"/>
      <c r="Q20" s="221"/>
      <c r="R20" s="221"/>
      <c r="S20" s="221"/>
      <c r="T20" s="221"/>
      <c r="U20" s="221"/>
      <c r="V20" s="221"/>
      <c r="W20" s="221"/>
      <c r="X20" s="221"/>
      <c r="Y20" s="102"/>
      <c r="Z20" s="221" t="s">
        <v>51</v>
      </c>
      <c r="AA20" s="221"/>
      <c r="AB20" s="102"/>
      <c r="AC20" s="221" t="s">
        <v>52</v>
      </c>
      <c r="AD20" s="222"/>
    </row>
    <row r="21" spans="1:30" ht="45" customHeight="1" thickBot="1">
      <c r="A21" s="726"/>
      <c r="B21" s="727"/>
      <c r="C21" s="727"/>
      <c r="D21" s="727"/>
      <c r="E21" s="727"/>
      <c r="F21" s="727"/>
      <c r="G21" s="727"/>
      <c r="H21" s="727"/>
      <c r="I21" s="727"/>
      <c r="J21" s="727"/>
      <c r="K21" s="727"/>
      <c r="L21" s="727"/>
      <c r="M21" s="727"/>
      <c r="N21" s="727"/>
      <c r="O21" s="727"/>
      <c r="P21" s="727"/>
      <c r="Q21" s="727"/>
      <c r="R21" s="727"/>
      <c r="S21" s="727"/>
      <c r="T21" s="727"/>
      <c r="U21" s="727"/>
      <c r="V21" s="727"/>
      <c r="W21" s="727"/>
      <c r="X21" s="727"/>
      <c r="Y21" s="727"/>
      <c r="Z21" s="727"/>
      <c r="AA21" s="727"/>
      <c r="AB21" s="727"/>
      <c r="AC21" s="727"/>
      <c r="AD21" s="728"/>
    </row>
    <row r="22" spans="1:30" ht="20.100000000000001" customHeight="1">
      <c r="A22" s="220" t="s">
        <v>389</v>
      </c>
      <c r="B22" s="221"/>
      <c r="C22" s="221"/>
      <c r="D22" s="221"/>
      <c r="E22" s="221"/>
      <c r="F22" s="221"/>
      <c r="G22" s="221"/>
      <c r="H22" s="221"/>
      <c r="I22" s="221"/>
      <c r="J22" s="221"/>
      <c r="K22" s="221"/>
      <c r="L22" s="221"/>
      <c r="M22" s="221"/>
      <c r="N22" s="221"/>
      <c r="O22" s="221"/>
      <c r="P22" s="221"/>
      <c r="Q22" s="221"/>
      <c r="R22" s="221"/>
      <c r="S22" s="221"/>
      <c r="T22" s="221"/>
      <c r="U22" s="221"/>
      <c r="V22" s="221"/>
      <c r="W22" s="221"/>
      <c r="X22" s="221"/>
      <c r="Y22" s="102"/>
      <c r="Z22" s="221" t="s">
        <v>51</v>
      </c>
      <c r="AA22" s="221"/>
      <c r="AB22" s="102"/>
      <c r="AC22" s="221" t="s">
        <v>52</v>
      </c>
      <c r="AD22" s="222"/>
    </row>
    <row r="23" spans="1:30" ht="45" customHeight="1" thickBot="1">
      <c r="A23" s="726"/>
      <c r="B23" s="727"/>
      <c r="C23" s="727"/>
      <c r="D23" s="727"/>
      <c r="E23" s="727"/>
      <c r="F23" s="727"/>
      <c r="G23" s="727"/>
      <c r="H23" s="727"/>
      <c r="I23" s="727"/>
      <c r="J23" s="727"/>
      <c r="K23" s="727"/>
      <c r="L23" s="727"/>
      <c r="M23" s="727"/>
      <c r="N23" s="727"/>
      <c r="O23" s="727"/>
      <c r="P23" s="727"/>
      <c r="Q23" s="727"/>
      <c r="R23" s="727"/>
      <c r="S23" s="727"/>
      <c r="T23" s="727"/>
      <c r="U23" s="727"/>
      <c r="V23" s="727"/>
      <c r="W23" s="727"/>
      <c r="X23" s="727"/>
      <c r="Y23" s="727"/>
      <c r="Z23" s="727"/>
      <c r="AA23" s="727"/>
      <c r="AB23" s="727"/>
      <c r="AC23" s="727"/>
      <c r="AD23" s="728"/>
    </row>
    <row r="24" spans="1:30" ht="20.100000000000001" customHeight="1" thickBot="1"/>
    <row r="25" spans="1:30" ht="20.100000000000001" customHeight="1" thickBot="1">
      <c r="A25" s="761" t="s">
        <v>390</v>
      </c>
      <c r="B25" s="762"/>
      <c r="C25" s="762"/>
      <c r="D25" s="762"/>
      <c r="E25" s="762"/>
      <c r="F25" s="762"/>
      <c r="G25" s="762"/>
      <c r="H25" s="762"/>
      <c r="I25" s="762"/>
      <c r="J25" s="762"/>
      <c r="K25" s="762"/>
      <c r="L25" s="762"/>
      <c r="M25" s="762"/>
      <c r="N25" s="762"/>
      <c r="O25" s="762"/>
      <c r="P25" s="762"/>
      <c r="Q25" s="762"/>
      <c r="R25" s="762"/>
      <c r="S25" s="762"/>
      <c r="T25" s="762"/>
      <c r="U25" s="762"/>
      <c r="V25" s="762"/>
      <c r="W25" s="762"/>
      <c r="X25" s="762"/>
      <c r="Y25" s="762"/>
      <c r="Z25" s="762"/>
      <c r="AA25" s="762"/>
      <c r="AB25" s="762"/>
      <c r="AC25" s="762"/>
      <c r="AD25" s="763"/>
    </row>
    <row r="26" spans="1:30" ht="20.100000000000001" customHeight="1">
      <c r="A26" s="220" t="s">
        <v>391</v>
      </c>
      <c r="B26" s="221"/>
      <c r="C26" s="221"/>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1"/>
      <c r="AB26" s="221"/>
      <c r="AC26" s="221"/>
      <c r="AD26" s="222"/>
    </row>
    <row r="27" spans="1:30" ht="60" customHeight="1" thickBot="1">
      <c r="A27" s="726"/>
      <c r="B27" s="727"/>
      <c r="C27" s="727"/>
      <c r="D27" s="727"/>
      <c r="E27" s="727"/>
      <c r="F27" s="727"/>
      <c r="G27" s="727"/>
      <c r="H27" s="727"/>
      <c r="I27" s="727"/>
      <c r="J27" s="727"/>
      <c r="K27" s="727"/>
      <c r="L27" s="727"/>
      <c r="M27" s="727"/>
      <c r="N27" s="727"/>
      <c r="O27" s="727"/>
      <c r="P27" s="727"/>
      <c r="Q27" s="727"/>
      <c r="R27" s="727"/>
      <c r="S27" s="727"/>
      <c r="T27" s="727"/>
      <c r="U27" s="727"/>
      <c r="V27" s="727"/>
      <c r="W27" s="727"/>
      <c r="X27" s="727"/>
      <c r="Y27" s="727"/>
      <c r="Z27" s="727"/>
      <c r="AA27" s="727"/>
      <c r="AB27" s="727"/>
      <c r="AC27" s="727"/>
      <c r="AD27" s="728"/>
    </row>
    <row r="28" spans="1:30" ht="20.100000000000001" customHeight="1">
      <c r="A28" s="220" t="s">
        <v>392</v>
      </c>
      <c r="B28" s="221"/>
      <c r="C28" s="221"/>
      <c r="D28" s="221"/>
      <c r="E28" s="221"/>
      <c r="F28" s="221"/>
      <c r="G28" s="221"/>
      <c r="H28" s="221"/>
      <c r="I28" s="221"/>
      <c r="J28" s="221"/>
      <c r="K28" s="221"/>
      <c r="L28" s="221"/>
      <c r="M28" s="221"/>
      <c r="N28" s="221"/>
      <c r="O28" s="221"/>
      <c r="P28" s="221"/>
      <c r="Q28" s="221"/>
      <c r="R28" s="221"/>
      <c r="S28" s="221"/>
      <c r="T28" s="221"/>
      <c r="U28" s="221"/>
      <c r="V28" s="221"/>
      <c r="W28" s="221"/>
      <c r="X28" s="221"/>
      <c r="Y28" s="102"/>
      <c r="Z28" s="221" t="s">
        <v>51</v>
      </c>
      <c r="AA28" s="221"/>
      <c r="AB28" s="102"/>
      <c r="AC28" s="221" t="s">
        <v>52</v>
      </c>
      <c r="AD28" s="222"/>
    </row>
    <row r="29" spans="1:30" ht="45" customHeight="1" thickBot="1">
      <c r="A29" s="726"/>
      <c r="B29" s="727"/>
      <c r="C29" s="727"/>
      <c r="D29" s="727"/>
      <c r="E29" s="727"/>
      <c r="F29" s="727"/>
      <c r="G29" s="727"/>
      <c r="H29" s="727"/>
      <c r="I29" s="727"/>
      <c r="J29" s="727"/>
      <c r="K29" s="727"/>
      <c r="L29" s="727"/>
      <c r="M29" s="727"/>
      <c r="N29" s="727"/>
      <c r="O29" s="727"/>
      <c r="P29" s="727"/>
      <c r="Q29" s="727"/>
      <c r="R29" s="727"/>
      <c r="S29" s="727"/>
      <c r="T29" s="727"/>
      <c r="U29" s="727"/>
      <c r="V29" s="727"/>
      <c r="W29" s="727"/>
      <c r="X29" s="727"/>
      <c r="Y29" s="727"/>
      <c r="Z29" s="727"/>
      <c r="AA29" s="727"/>
      <c r="AB29" s="727"/>
      <c r="AC29" s="727"/>
      <c r="AD29" s="728"/>
    </row>
  </sheetData>
  <mergeCells count="47">
    <mergeCell ref="A29:AD29"/>
    <mergeCell ref="A21:AD21"/>
    <mergeCell ref="A27:AD27"/>
    <mergeCell ref="A28:X28"/>
    <mergeCell ref="Z28:AA28"/>
    <mergeCell ref="AC28:AD28"/>
    <mergeCell ref="A26:AD26"/>
    <mergeCell ref="A22:X22"/>
    <mergeCell ref="Z22:AA22"/>
    <mergeCell ref="AC22:AD22"/>
    <mergeCell ref="A23:AD23"/>
    <mergeCell ref="A25:AD25"/>
    <mergeCell ref="A11:AD12"/>
    <mergeCell ref="A13:AD13"/>
    <mergeCell ref="Z14:AA14"/>
    <mergeCell ref="AC14:AD14"/>
    <mergeCell ref="A14:X14"/>
    <mergeCell ref="A16:X16"/>
    <mergeCell ref="A20:X20"/>
    <mergeCell ref="Z20:AA20"/>
    <mergeCell ref="AC20:AD20"/>
    <mergeCell ref="A15:AD15"/>
    <mergeCell ref="A17:AD17"/>
    <mergeCell ref="A19:AD19"/>
    <mergeCell ref="Z16:AA16"/>
    <mergeCell ref="AC16:AD16"/>
    <mergeCell ref="A18:X18"/>
    <mergeCell ref="Z18:AA18"/>
    <mergeCell ref="AC18:AD18"/>
    <mergeCell ref="A9:F9"/>
    <mergeCell ref="G9:O9"/>
    <mergeCell ref="P9:T9"/>
    <mergeCell ref="U9:AD9"/>
    <mergeCell ref="A8:F8"/>
    <mergeCell ref="G8:O8"/>
    <mergeCell ref="P8:T8"/>
    <mergeCell ref="U8:AD8"/>
    <mergeCell ref="A5:O6"/>
    <mergeCell ref="P1:AD4"/>
    <mergeCell ref="A7:F7"/>
    <mergeCell ref="G7:O7"/>
    <mergeCell ref="P7:T7"/>
    <mergeCell ref="U7:AD7"/>
    <mergeCell ref="P5:T5"/>
    <mergeCell ref="U5:AD5"/>
    <mergeCell ref="P6:T6"/>
    <mergeCell ref="U6:AD6"/>
  </mergeCells>
  <printOptions horizontalCentered="1" verticalCentered="1"/>
  <pageMargins left="0.23622047244094488" right="0.23622047244094488" top="0.23622047244094488" bottom="0.23622047244094488" header="0.31496062992125984" footer="0.31496062992125984"/>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B6647-3B02-43F7-AB32-7C1C0E05DDC0}">
  <sheetPr codeName="Feuil16">
    <tabColor theme="8" tint="0.59999389629810485"/>
    <pageSetUpPr fitToPage="1"/>
  </sheetPr>
  <dimension ref="A1:AK42"/>
  <sheetViews>
    <sheetView view="pageBreakPreview" topLeftCell="A13" zoomScaleNormal="100" zoomScaleSheetLayoutView="100" workbookViewId="0">
      <selection activeCell="AF22" sqref="AF22:AJ22"/>
    </sheetView>
  </sheetViews>
  <sheetFormatPr baseColWidth="10" defaultColWidth="11.42578125" defaultRowHeight="15"/>
  <cols>
    <col min="1" max="36" width="3.28515625" customWidth="1"/>
  </cols>
  <sheetData>
    <row r="1" spans="1:30" ht="14.1" customHeight="1">
      <c r="P1" s="326" t="s">
        <v>393</v>
      </c>
      <c r="Q1" s="326"/>
      <c r="R1" s="326"/>
      <c r="S1" s="326"/>
      <c r="T1" s="326"/>
      <c r="U1" s="326"/>
      <c r="V1" s="326"/>
      <c r="W1" s="326"/>
      <c r="X1" s="326"/>
      <c r="Y1" s="326"/>
      <c r="Z1" s="326"/>
      <c r="AA1" s="326"/>
      <c r="AB1" s="326"/>
      <c r="AC1" s="326"/>
      <c r="AD1" s="326"/>
    </row>
    <row r="2" spans="1:30" ht="14.1" customHeight="1">
      <c r="P2" s="327"/>
      <c r="Q2" s="327"/>
      <c r="R2" s="327"/>
      <c r="S2" s="327"/>
      <c r="T2" s="327"/>
      <c r="U2" s="327"/>
      <c r="V2" s="327"/>
      <c r="W2" s="327"/>
      <c r="X2" s="327"/>
      <c r="Y2" s="327"/>
      <c r="Z2" s="327"/>
      <c r="AA2" s="327"/>
      <c r="AB2" s="327"/>
      <c r="AC2" s="327"/>
      <c r="AD2" s="327"/>
    </row>
    <row r="3" spans="1:30" ht="14.1" customHeight="1">
      <c r="P3" s="327"/>
      <c r="Q3" s="327"/>
      <c r="R3" s="327"/>
      <c r="S3" s="327"/>
      <c r="T3" s="327"/>
      <c r="U3" s="327"/>
      <c r="V3" s="327"/>
      <c r="W3" s="327"/>
      <c r="X3" s="327"/>
      <c r="Y3" s="327"/>
      <c r="Z3" s="327"/>
      <c r="AA3" s="327"/>
      <c r="AB3" s="327"/>
      <c r="AC3" s="327"/>
      <c r="AD3" s="327"/>
    </row>
    <row r="4" spans="1:30" ht="14.1" customHeight="1" thickBot="1">
      <c r="P4" s="328"/>
      <c r="Q4" s="328"/>
      <c r="R4" s="328"/>
      <c r="S4" s="328"/>
      <c r="T4" s="328"/>
      <c r="U4" s="328"/>
      <c r="V4" s="328"/>
      <c r="W4" s="328"/>
      <c r="X4" s="328"/>
      <c r="Y4" s="328"/>
      <c r="Z4" s="328"/>
      <c r="AA4" s="328"/>
      <c r="AB4" s="328"/>
      <c r="AC4" s="328"/>
      <c r="AD4" s="328"/>
    </row>
    <row r="5" spans="1:30" ht="14.1" customHeight="1">
      <c r="A5" s="329" t="s">
        <v>1</v>
      </c>
      <c r="B5" s="330"/>
      <c r="C5" s="330"/>
      <c r="D5" s="330"/>
      <c r="E5" s="330"/>
      <c r="F5" s="330"/>
      <c r="G5" s="330"/>
      <c r="H5" s="330"/>
      <c r="I5" s="330"/>
      <c r="J5" s="330"/>
      <c r="K5" s="330"/>
      <c r="L5" s="330"/>
      <c r="M5" s="330"/>
      <c r="N5" s="330"/>
      <c r="O5" s="331"/>
      <c r="P5" s="182" t="s">
        <v>2</v>
      </c>
      <c r="Q5" s="183"/>
      <c r="R5" s="183"/>
      <c r="S5" s="183"/>
      <c r="T5" s="184"/>
      <c r="U5" s="690">
        <f>Client</f>
        <v>0</v>
      </c>
      <c r="V5" s="691"/>
      <c r="W5" s="691"/>
      <c r="X5" s="691"/>
      <c r="Y5" s="691"/>
      <c r="Z5" s="691"/>
      <c r="AA5" s="691"/>
      <c r="AB5" s="691"/>
      <c r="AC5" s="691"/>
      <c r="AD5" s="692"/>
    </row>
    <row r="6" spans="1:30" ht="14.1" customHeight="1" thickBot="1">
      <c r="A6" s="332"/>
      <c r="B6" s="333"/>
      <c r="C6" s="333"/>
      <c r="D6" s="333"/>
      <c r="E6" s="333"/>
      <c r="F6" s="333"/>
      <c r="G6" s="333"/>
      <c r="H6" s="333"/>
      <c r="I6" s="333"/>
      <c r="J6" s="333"/>
      <c r="K6" s="333"/>
      <c r="L6" s="333"/>
      <c r="M6" s="333"/>
      <c r="N6" s="333"/>
      <c r="O6" s="334"/>
      <c r="P6" s="178" t="s">
        <v>3</v>
      </c>
      <c r="Q6" s="179"/>
      <c r="R6" s="179"/>
      <c r="S6" s="179"/>
      <c r="T6" s="180"/>
      <c r="U6" s="163">
        <f>Num_Devis</f>
        <v>0</v>
      </c>
      <c r="V6" s="688"/>
      <c r="W6" s="688"/>
      <c r="X6" s="688"/>
      <c r="Y6" s="688"/>
      <c r="Z6" s="688"/>
      <c r="AA6" s="688"/>
      <c r="AB6" s="688"/>
      <c r="AC6" s="688"/>
      <c r="AD6" s="689"/>
    </row>
    <row r="7" spans="1:30" ht="27.95" customHeight="1">
      <c r="A7" s="350" t="s">
        <v>4</v>
      </c>
      <c r="B7" s="351"/>
      <c r="C7" s="351"/>
      <c r="D7" s="351"/>
      <c r="E7" s="351"/>
      <c r="F7" s="352"/>
      <c r="G7" s="457">
        <f>Commercial</f>
        <v>0</v>
      </c>
      <c r="H7" s="457"/>
      <c r="I7" s="457"/>
      <c r="J7" s="457"/>
      <c r="K7" s="457"/>
      <c r="L7" s="457"/>
      <c r="M7" s="457"/>
      <c r="N7" s="457"/>
      <c r="O7" s="458"/>
      <c r="P7" s="256" t="s">
        <v>5</v>
      </c>
      <c r="Q7" s="257"/>
      <c r="R7" s="257"/>
      <c r="S7" s="257"/>
      <c r="T7" s="258"/>
      <c r="U7" s="163">
        <f>Code_Client_Divalto</f>
        <v>0</v>
      </c>
      <c r="V7" s="688"/>
      <c r="W7" s="688"/>
      <c r="X7" s="688"/>
      <c r="Y7" s="688"/>
      <c r="Z7" s="688"/>
      <c r="AA7" s="688"/>
      <c r="AB7" s="688"/>
      <c r="AC7" s="688"/>
      <c r="AD7" s="689"/>
    </row>
    <row r="8" spans="1:30"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0"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0" ht="20.100000000000001" customHeight="1" thickBot="1">
      <c r="A10" s="862" t="s">
        <v>394</v>
      </c>
      <c r="B10" s="863"/>
      <c r="C10" s="863"/>
      <c r="D10" s="863"/>
      <c r="E10" s="920" t="s">
        <v>395</v>
      </c>
      <c r="F10" s="920"/>
      <c r="G10" s="920"/>
      <c r="H10" s="920"/>
      <c r="I10" s="920"/>
      <c r="J10" s="920"/>
      <c r="K10" s="863" t="s">
        <v>396</v>
      </c>
      <c r="L10" s="863"/>
      <c r="M10" s="863"/>
      <c r="N10" s="863"/>
      <c r="O10" s="920">
        <v>4</v>
      </c>
      <c r="P10" s="920"/>
      <c r="Q10" s="920"/>
      <c r="R10" s="920"/>
      <c r="S10" s="920"/>
      <c r="T10" s="920"/>
      <c r="U10" s="863" t="s">
        <v>372</v>
      </c>
      <c r="V10" s="863"/>
      <c r="W10" s="863"/>
      <c r="X10" s="863"/>
      <c r="Y10" s="918">
        <v>44046</v>
      </c>
      <c r="Z10" s="918"/>
      <c r="AA10" s="918"/>
      <c r="AB10" s="918"/>
      <c r="AC10" s="918"/>
      <c r="AD10" s="919"/>
    </row>
    <row r="11" spans="1:30" ht="15.75" thickBot="1"/>
    <row r="12" spans="1:30" ht="20.100000000000001" customHeight="1" thickBot="1">
      <c r="A12" s="864" t="s">
        <v>397</v>
      </c>
      <c r="B12" s="865"/>
      <c r="C12" s="865"/>
      <c r="D12" s="865"/>
      <c r="E12" s="865"/>
      <c r="F12" s="865"/>
      <c r="G12" s="865"/>
      <c r="H12" s="865"/>
      <c r="I12" s="865"/>
      <c r="J12" s="865"/>
      <c r="K12" s="865"/>
      <c r="L12" s="865"/>
      <c r="M12" s="865"/>
      <c r="N12" s="865"/>
      <c r="O12" s="865"/>
      <c r="P12" s="865"/>
      <c r="Q12" s="865"/>
      <c r="R12" s="865"/>
      <c r="S12" s="865"/>
      <c r="T12" s="865"/>
      <c r="U12" s="865"/>
      <c r="V12" s="865"/>
      <c r="W12" s="865"/>
      <c r="X12" s="865"/>
      <c r="Y12" s="865"/>
      <c r="Z12" s="865"/>
      <c r="AA12" s="865"/>
      <c r="AB12" s="865"/>
      <c r="AC12" s="865"/>
      <c r="AD12" s="866"/>
    </row>
    <row r="13" spans="1:30" ht="20.100000000000001" customHeight="1">
      <c r="A13" s="896" t="s">
        <v>398</v>
      </c>
      <c r="B13" s="897"/>
      <c r="C13" s="897"/>
      <c r="D13" s="897"/>
      <c r="E13" s="897"/>
      <c r="F13" s="921"/>
      <c r="G13" s="922"/>
      <c r="H13" s="922"/>
      <c r="I13" s="922"/>
      <c r="J13" s="922"/>
      <c r="K13" s="922"/>
      <c r="L13" s="922"/>
      <c r="M13" s="922"/>
      <c r="N13" s="922"/>
      <c r="O13" s="923"/>
      <c r="P13" s="898" t="s">
        <v>2</v>
      </c>
      <c r="Q13" s="898"/>
      <c r="R13" s="898"/>
      <c r="S13" s="899">
        <f>Client</f>
        <v>0</v>
      </c>
      <c r="T13" s="899"/>
      <c r="U13" s="899"/>
      <c r="V13" s="899"/>
      <c r="W13" s="899"/>
      <c r="X13" s="899"/>
      <c r="Y13" s="899"/>
      <c r="Z13" s="899"/>
      <c r="AA13" s="899"/>
      <c r="AB13" s="899"/>
      <c r="AC13" s="899"/>
      <c r="AD13" s="900"/>
    </row>
    <row r="14" spans="1:30" ht="20.100000000000001" customHeight="1" thickBot="1">
      <c r="A14" s="907" t="s">
        <v>399</v>
      </c>
      <c r="B14" s="908"/>
      <c r="C14" s="908"/>
      <c r="D14" s="908"/>
      <c r="E14" s="908"/>
      <c r="F14" s="909">
        <v>44573</v>
      </c>
      <c r="G14" s="828"/>
      <c r="H14" s="828"/>
      <c r="I14" s="828"/>
      <c r="J14" s="828"/>
      <c r="K14" s="828"/>
      <c r="L14" s="828"/>
      <c r="M14" s="828"/>
      <c r="N14" s="828"/>
      <c r="O14" s="829"/>
      <c r="P14" s="878" t="s">
        <v>400</v>
      </c>
      <c r="Q14" s="878"/>
      <c r="R14" s="878"/>
      <c r="S14" s="879">
        <f>ChargéAF</f>
        <v>0</v>
      </c>
      <c r="T14" s="879"/>
      <c r="U14" s="879"/>
      <c r="V14" s="879"/>
      <c r="W14" s="879"/>
      <c r="X14" s="879"/>
      <c r="Y14" s="879"/>
      <c r="Z14" s="879"/>
      <c r="AA14" s="879"/>
      <c r="AB14" s="879"/>
      <c r="AC14" s="879"/>
      <c r="AD14" s="880"/>
    </row>
    <row r="15" spans="1:30" ht="20.100000000000001" customHeight="1" thickBot="1"/>
    <row r="16" spans="1:30" ht="18.75" thickBot="1">
      <c r="A16" s="864" t="s">
        <v>401</v>
      </c>
      <c r="B16" s="865"/>
      <c r="C16" s="865"/>
      <c r="D16" s="865"/>
      <c r="E16" s="865"/>
      <c r="F16" s="865"/>
      <c r="G16" s="865"/>
      <c r="H16" s="865"/>
      <c r="I16" s="865"/>
      <c r="J16" s="865"/>
      <c r="K16" s="865"/>
      <c r="L16" s="865"/>
      <c r="M16" s="865"/>
      <c r="N16" s="865"/>
      <c r="O16" s="865"/>
      <c r="P16" s="865"/>
      <c r="Q16" s="865"/>
      <c r="R16" s="865"/>
      <c r="S16" s="865"/>
      <c r="T16" s="865"/>
      <c r="U16" s="865"/>
      <c r="V16" s="865"/>
      <c r="W16" s="865"/>
      <c r="X16" s="865"/>
      <c r="Y16" s="865"/>
      <c r="Z16" s="865"/>
      <c r="AA16" s="865"/>
      <c r="AB16" s="865"/>
      <c r="AC16" s="865"/>
      <c r="AD16" s="866"/>
    </row>
    <row r="17" spans="1:37">
      <c r="A17" s="896" t="s">
        <v>402</v>
      </c>
      <c r="B17" s="897"/>
      <c r="C17" s="897"/>
      <c r="D17" s="897"/>
      <c r="E17" s="791"/>
      <c r="F17" s="910"/>
      <c r="G17" s="911"/>
      <c r="H17" s="911"/>
      <c r="I17" s="911"/>
      <c r="J17" s="911"/>
      <c r="K17" s="911"/>
      <c r="L17" s="911"/>
      <c r="M17" s="911"/>
      <c r="N17" s="911"/>
      <c r="O17" s="912"/>
      <c r="P17" s="886" t="s">
        <v>403</v>
      </c>
      <c r="Q17" s="898"/>
      <c r="R17" s="898"/>
      <c r="S17" s="899"/>
      <c r="T17" s="899"/>
      <c r="U17" s="899"/>
      <c r="V17" s="899"/>
      <c r="W17" s="899"/>
      <c r="X17" s="899"/>
      <c r="Y17" s="899"/>
      <c r="Z17" s="899"/>
      <c r="AA17" s="899"/>
      <c r="AB17" s="899"/>
      <c r="AC17" s="899"/>
      <c r="AD17" s="900"/>
    </row>
    <row r="18" spans="1:37" ht="50.1" customHeight="1">
      <c r="A18" s="890" t="s">
        <v>11</v>
      </c>
      <c r="B18" s="891"/>
      <c r="C18" s="891"/>
      <c r="D18" s="891"/>
      <c r="E18" s="891"/>
      <c r="F18" s="892" t="str">
        <f>IFERROR(VLOOKUP(F13,Information!U3:V8,2,FALSE),"")</f>
        <v/>
      </c>
      <c r="G18" s="893"/>
      <c r="H18" s="893"/>
      <c r="I18" s="893"/>
      <c r="J18" s="893"/>
      <c r="K18" s="893"/>
      <c r="L18" s="893"/>
      <c r="M18" s="893"/>
      <c r="N18" s="893"/>
      <c r="O18" s="893"/>
      <c r="P18" s="894"/>
      <c r="Q18" s="894"/>
      <c r="R18" s="894"/>
      <c r="S18" s="894"/>
      <c r="T18" s="894"/>
      <c r="U18" s="894"/>
      <c r="V18" s="894"/>
      <c r="W18" s="894"/>
      <c r="X18" s="894"/>
      <c r="Y18" s="894"/>
      <c r="Z18" s="894"/>
      <c r="AA18" s="894"/>
      <c r="AB18" s="894"/>
      <c r="AC18" s="894"/>
      <c r="AD18" s="895"/>
    </row>
    <row r="19" spans="1:37" ht="15.75" thickBot="1">
      <c r="A19" s="907" t="s">
        <v>404</v>
      </c>
      <c r="B19" s="908"/>
      <c r="C19" s="908"/>
      <c r="D19" s="908"/>
      <c r="E19" s="908"/>
      <c r="F19" s="909"/>
      <c r="G19" s="828"/>
      <c r="H19" s="828"/>
      <c r="I19" s="828"/>
      <c r="J19" s="828"/>
      <c r="K19" s="828"/>
      <c r="L19" s="828"/>
      <c r="M19" s="828"/>
      <c r="N19" s="828"/>
      <c r="O19" s="829"/>
      <c r="P19" s="878" t="s">
        <v>405</v>
      </c>
      <c r="Q19" s="878"/>
      <c r="R19" s="878"/>
      <c r="S19" s="879"/>
      <c r="T19" s="879"/>
      <c r="U19" s="879"/>
      <c r="V19" s="879"/>
      <c r="W19" s="879"/>
      <c r="X19" s="879"/>
      <c r="Y19" s="879"/>
      <c r="Z19" s="879"/>
      <c r="AA19" s="879"/>
      <c r="AB19" s="879"/>
      <c r="AC19" s="879"/>
      <c r="AD19" s="880"/>
    </row>
    <row r="20" spans="1:37" ht="15.75" thickBot="1"/>
    <row r="21" spans="1:37" ht="20.100000000000001" customHeight="1" thickBot="1">
      <c r="A21" s="864" t="s">
        <v>406</v>
      </c>
      <c r="B21" s="865"/>
      <c r="C21" s="865"/>
      <c r="D21" s="865"/>
      <c r="E21" s="865"/>
      <c r="F21" s="865"/>
      <c r="G21" s="865"/>
      <c r="H21" s="865"/>
      <c r="I21" s="865"/>
      <c r="J21" s="865"/>
      <c r="K21" s="865"/>
      <c r="L21" s="865"/>
      <c r="M21" s="865"/>
      <c r="N21" s="865"/>
      <c r="O21" s="865"/>
      <c r="P21" s="865"/>
      <c r="Q21" s="865"/>
      <c r="R21" s="865"/>
      <c r="S21" s="865"/>
      <c r="T21" s="865"/>
      <c r="U21" s="865"/>
      <c r="V21" s="865"/>
      <c r="W21" s="865"/>
      <c r="X21" s="865"/>
      <c r="Y21" s="865"/>
      <c r="Z21" s="865"/>
      <c r="AA21" s="865"/>
      <c r="AB21" s="865"/>
      <c r="AC21" s="865"/>
      <c r="AD21" s="866"/>
    </row>
    <row r="22" spans="1:37" ht="20.100000000000001" customHeight="1" thickBot="1">
      <c r="A22" s="896" t="s">
        <v>402</v>
      </c>
      <c r="B22" s="897"/>
      <c r="C22" s="897"/>
      <c r="D22" s="897"/>
      <c r="E22" s="897"/>
      <c r="F22" s="904"/>
      <c r="G22" s="905"/>
      <c r="H22" s="905"/>
      <c r="I22" s="905"/>
      <c r="J22" s="905"/>
      <c r="K22" s="905"/>
      <c r="L22" s="905"/>
      <c r="M22" s="905"/>
      <c r="N22" s="905"/>
      <c r="O22" s="906"/>
      <c r="P22" s="898" t="s">
        <v>403</v>
      </c>
      <c r="Q22" s="898"/>
      <c r="R22" s="898"/>
      <c r="S22" s="899"/>
      <c r="T22" s="899"/>
      <c r="U22" s="899"/>
      <c r="V22" s="899"/>
      <c r="W22" s="899"/>
      <c r="X22" s="899"/>
      <c r="Y22" s="899"/>
      <c r="Z22" s="899"/>
      <c r="AA22" s="899"/>
      <c r="AB22" s="899"/>
      <c r="AC22" s="899"/>
      <c r="AD22" s="900"/>
      <c r="AF22" s="901" t="s">
        <v>407</v>
      </c>
      <c r="AG22" s="902"/>
      <c r="AH22" s="902"/>
      <c r="AI22" s="902"/>
      <c r="AJ22" s="903"/>
      <c r="AK22" s="123" t="s">
        <v>408</v>
      </c>
    </row>
    <row r="23" spans="1:37" ht="50.1" customHeight="1">
      <c r="A23" s="890" t="s">
        <v>11</v>
      </c>
      <c r="B23" s="891"/>
      <c r="C23" s="891"/>
      <c r="D23" s="891"/>
      <c r="E23" s="891"/>
      <c r="F23" s="917" t="str">
        <f>IFERROR(VLOOKUP(AF22,Information!U3:V8,2,FALSE),Projet!R16&amp;CHAR(10)&amp;Projet!R17&amp;CHAR(10)&amp;Projet!R18&amp;CHAR(10)&amp;Projet!R19&amp;" "&amp;Projet!X19)</f>
        <v>ZI Pompelle
31 Rue du Val Clair
51100 Reims</v>
      </c>
      <c r="G23" s="894"/>
      <c r="H23" s="894"/>
      <c r="I23" s="894"/>
      <c r="J23" s="894"/>
      <c r="K23" s="894"/>
      <c r="L23" s="894"/>
      <c r="M23" s="894"/>
      <c r="N23" s="894"/>
      <c r="O23" s="894"/>
      <c r="P23" s="894"/>
      <c r="Q23" s="894"/>
      <c r="R23" s="894"/>
      <c r="S23" s="894"/>
      <c r="T23" s="894"/>
      <c r="U23" s="894"/>
      <c r="V23" s="894"/>
      <c r="W23" s="894"/>
      <c r="X23" s="894"/>
      <c r="Y23" s="894"/>
      <c r="Z23" s="894"/>
      <c r="AA23" s="894"/>
      <c r="AB23" s="894"/>
      <c r="AC23" s="894"/>
      <c r="AD23" s="895"/>
    </row>
    <row r="24" spans="1:37" ht="20.100000000000001" customHeight="1" thickBot="1">
      <c r="A24" s="907" t="s">
        <v>404</v>
      </c>
      <c r="B24" s="908"/>
      <c r="C24" s="908"/>
      <c r="D24" s="908"/>
      <c r="E24" s="908"/>
      <c r="F24" s="909"/>
      <c r="G24" s="828"/>
      <c r="H24" s="828"/>
      <c r="I24" s="828"/>
      <c r="J24" s="828"/>
      <c r="K24" s="828"/>
      <c r="L24" s="828"/>
      <c r="M24" s="828"/>
      <c r="N24" s="828"/>
      <c r="O24" s="829"/>
      <c r="P24" s="878" t="s">
        <v>405</v>
      </c>
      <c r="Q24" s="878"/>
      <c r="R24" s="878"/>
      <c r="S24" s="879"/>
      <c r="T24" s="879"/>
      <c r="U24" s="879"/>
      <c r="V24" s="879"/>
      <c r="W24" s="879"/>
      <c r="X24" s="879"/>
      <c r="Y24" s="879"/>
      <c r="Z24" s="879"/>
      <c r="AA24" s="879"/>
      <c r="AB24" s="879"/>
      <c r="AC24" s="879"/>
      <c r="AD24" s="880"/>
    </row>
    <row r="25" spans="1:37" ht="15.75" thickBot="1"/>
    <row r="26" spans="1:37" ht="20.100000000000001" customHeight="1" thickBot="1">
      <c r="A26" s="864" t="s">
        <v>409</v>
      </c>
      <c r="B26" s="865"/>
      <c r="C26" s="865"/>
      <c r="D26" s="865"/>
      <c r="E26" s="865"/>
      <c r="F26" s="865"/>
      <c r="G26" s="865"/>
      <c r="H26" s="865"/>
      <c r="I26" s="865"/>
      <c r="J26" s="865"/>
      <c r="K26" s="865"/>
      <c r="L26" s="865"/>
      <c r="M26" s="865"/>
      <c r="N26" s="865"/>
      <c r="O26" s="865"/>
      <c r="P26" s="865"/>
      <c r="Q26" s="865"/>
      <c r="R26" s="865"/>
      <c r="S26" s="865"/>
      <c r="T26" s="865"/>
      <c r="U26" s="865"/>
      <c r="V26" s="865"/>
      <c r="W26" s="865"/>
      <c r="X26" s="865"/>
      <c r="Y26" s="865"/>
      <c r="Z26" s="865"/>
      <c r="AA26" s="865"/>
      <c r="AB26" s="865"/>
      <c r="AC26" s="865"/>
      <c r="AD26" s="866"/>
    </row>
    <row r="27" spans="1:37">
      <c r="A27" s="881" t="s">
        <v>410</v>
      </c>
      <c r="B27" s="882"/>
      <c r="C27" s="882"/>
      <c r="D27" s="882"/>
      <c r="E27" s="882"/>
      <c r="F27" s="882"/>
      <c r="G27" s="882"/>
      <c r="H27" s="882"/>
      <c r="I27" s="882"/>
      <c r="J27" s="882"/>
      <c r="K27" s="882"/>
      <c r="L27" s="882"/>
      <c r="M27" s="882"/>
      <c r="N27" s="882"/>
      <c r="O27" s="883"/>
      <c r="P27" s="884" t="s">
        <v>411</v>
      </c>
      <c r="Q27" s="885"/>
      <c r="R27" s="885"/>
      <c r="S27" s="885"/>
      <c r="T27" s="885"/>
      <c r="U27" s="885"/>
      <c r="V27" s="885"/>
      <c r="W27" s="885"/>
      <c r="X27" s="885"/>
      <c r="Y27" s="885"/>
      <c r="Z27" s="886"/>
      <c r="AA27" s="887"/>
      <c r="AB27" s="888"/>
      <c r="AC27" s="888"/>
      <c r="AD27" s="889"/>
    </row>
    <row r="28" spans="1:37" ht="63.75" customHeight="1">
      <c r="A28" s="913" t="s">
        <v>412</v>
      </c>
      <c r="B28" s="914"/>
      <c r="C28" s="914"/>
      <c r="D28" s="914"/>
      <c r="E28" s="914"/>
      <c r="F28" s="914"/>
      <c r="G28" s="914"/>
      <c r="H28" s="914"/>
      <c r="I28" s="914"/>
      <c r="J28" s="914"/>
      <c r="K28" s="915"/>
      <c r="L28" s="915"/>
      <c r="M28" s="915"/>
      <c r="N28" s="915"/>
      <c r="O28" s="915"/>
      <c r="P28" s="915"/>
      <c r="Q28" s="915"/>
      <c r="R28" s="915"/>
      <c r="S28" s="915"/>
      <c r="T28" s="915"/>
      <c r="U28" s="915"/>
      <c r="V28" s="915"/>
      <c r="W28" s="915"/>
      <c r="X28" s="915"/>
      <c r="Y28" s="915"/>
      <c r="Z28" s="915"/>
      <c r="AA28" s="915"/>
      <c r="AB28" s="915"/>
      <c r="AC28" s="915"/>
      <c r="AD28" s="916"/>
    </row>
    <row r="29" spans="1:37" ht="27.75" customHeight="1">
      <c r="A29" s="876" t="s">
        <v>413</v>
      </c>
      <c r="B29" s="875"/>
      <c r="C29" s="875"/>
      <c r="D29" s="875"/>
      <c r="E29" s="875"/>
      <c r="F29" s="874" t="s">
        <v>414</v>
      </c>
      <c r="G29" s="874"/>
      <c r="H29" s="874"/>
      <c r="I29" s="874"/>
      <c r="J29" s="874"/>
      <c r="K29" s="874"/>
      <c r="L29" s="874"/>
      <c r="M29" s="874"/>
      <c r="N29" s="874"/>
      <c r="O29" s="874"/>
      <c r="P29" s="874"/>
      <c r="Q29" s="874"/>
      <c r="R29" s="875" t="s">
        <v>124</v>
      </c>
      <c r="S29" s="875"/>
      <c r="T29" s="875" t="s">
        <v>415</v>
      </c>
      <c r="U29" s="875"/>
      <c r="V29" s="875"/>
      <c r="W29" s="875"/>
      <c r="X29" s="875"/>
      <c r="Y29" s="875" t="s">
        <v>416</v>
      </c>
      <c r="Z29" s="875"/>
      <c r="AA29" s="875"/>
      <c r="AB29" s="875" t="s">
        <v>417</v>
      </c>
      <c r="AC29" s="875"/>
      <c r="AD29" s="877"/>
    </row>
    <row r="30" spans="1:37" ht="20.100000000000001" customHeight="1">
      <c r="A30" s="872"/>
      <c r="B30" s="868"/>
      <c r="C30" s="868"/>
      <c r="D30" s="868"/>
      <c r="E30" s="868"/>
      <c r="F30" s="868"/>
      <c r="G30" s="868"/>
      <c r="H30" s="868"/>
      <c r="I30" s="868"/>
      <c r="J30" s="868"/>
      <c r="K30" s="868"/>
      <c r="L30" s="868"/>
      <c r="M30" s="868"/>
      <c r="N30" s="868"/>
      <c r="O30" s="868"/>
      <c r="P30" s="868"/>
      <c r="Q30" s="868"/>
      <c r="R30" s="868"/>
      <c r="S30" s="868"/>
      <c r="T30" s="868"/>
      <c r="U30" s="868"/>
      <c r="V30" s="868"/>
      <c r="W30" s="868"/>
      <c r="X30" s="868"/>
      <c r="Y30" s="868"/>
      <c r="Z30" s="868"/>
      <c r="AA30" s="868"/>
      <c r="AB30" s="868"/>
      <c r="AC30" s="868"/>
      <c r="AD30" s="873"/>
    </row>
    <row r="31" spans="1:37" ht="20.100000000000001" customHeight="1">
      <c r="A31" s="872"/>
      <c r="B31" s="868"/>
      <c r="C31" s="868"/>
      <c r="D31" s="868"/>
      <c r="E31" s="868"/>
      <c r="F31" s="868"/>
      <c r="G31" s="868"/>
      <c r="H31" s="868"/>
      <c r="I31" s="868"/>
      <c r="J31" s="868"/>
      <c r="K31" s="868"/>
      <c r="L31" s="868"/>
      <c r="M31" s="868"/>
      <c r="N31" s="868"/>
      <c r="O31" s="868"/>
      <c r="P31" s="868"/>
      <c r="Q31" s="868"/>
      <c r="R31" s="868"/>
      <c r="S31" s="868"/>
      <c r="T31" s="868"/>
      <c r="U31" s="868"/>
      <c r="V31" s="868"/>
      <c r="W31" s="868"/>
      <c r="X31" s="868"/>
      <c r="Y31" s="868"/>
      <c r="Z31" s="868"/>
      <c r="AA31" s="868"/>
      <c r="AB31" s="868"/>
      <c r="AC31" s="868"/>
      <c r="AD31" s="873"/>
    </row>
    <row r="32" spans="1:37" ht="20.100000000000001" customHeight="1">
      <c r="A32" s="872"/>
      <c r="B32" s="868"/>
      <c r="C32" s="868"/>
      <c r="D32" s="868"/>
      <c r="E32" s="868"/>
      <c r="F32" s="868"/>
      <c r="G32" s="868"/>
      <c r="H32" s="868"/>
      <c r="I32" s="868"/>
      <c r="J32" s="868"/>
      <c r="K32" s="868"/>
      <c r="L32" s="868"/>
      <c r="M32" s="868"/>
      <c r="N32" s="868"/>
      <c r="O32" s="868"/>
      <c r="P32" s="868"/>
      <c r="Q32" s="868"/>
      <c r="R32" s="868"/>
      <c r="S32" s="868"/>
      <c r="T32" s="868"/>
      <c r="U32" s="868"/>
      <c r="V32" s="868"/>
      <c r="W32" s="868"/>
      <c r="X32" s="868"/>
      <c r="Y32" s="868"/>
      <c r="Z32" s="868"/>
      <c r="AA32" s="868"/>
      <c r="AB32" s="868"/>
      <c r="AC32" s="868"/>
      <c r="AD32" s="873"/>
    </row>
    <row r="33" spans="1:30" ht="20.100000000000001" customHeight="1">
      <c r="A33" s="872"/>
      <c r="B33" s="868"/>
      <c r="C33" s="868"/>
      <c r="D33" s="868"/>
      <c r="E33" s="868"/>
      <c r="F33" s="868"/>
      <c r="G33" s="868"/>
      <c r="H33" s="868"/>
      <c r="I33" s="868"/>
      <c r="J33" s="868"/>
      <c r="K33" s="868"/>
      <c r="L33" s="868"/>
      <c r="M33" s="868"/>
      <c r="N33" s="868"/>
      <c r="O33" s="868"/>
      <c r="P33" s="868"/>
      <c r="Q33" s="868"/>
      <c r="R33" s="868"/>
      <c r="S33" s="868"/>
      <c r="T33" s="868"/>
      <c r="U33" s="868"/>
      <c r="V33" s="868"/>
      <c r="W33" s="868"/>
      <c r="X33" s="868"/>
      <c r="Y33" s="868"/>
      <c r="Z33" s="868"/>
      <c r="AA33" s="868"/>
      <c r="AB33" s="868"/>
      <c r="AC33" s="868"/>
      <c r="AD33" s="873"/>
    </row>
    <row r="34" spans="1:30" ht="20.100000000000001" customHeight="1">
      <c r="A34" s="872"/>
      <c r="B34" s="868"/>
      <c r="C34" s="868"/>
      <c r="D34" s="868"/>
      <c r="E34" s="868"/>
      <c r="F34" s="868"/>
      <c r="G34" s="868"/>
      <c r="H34" s="868"/>
      <c r="I34" s="868"/>
      <c r="J34" s="868"/>
      <c r="K34" s="868"/>
      <c r="L34" s="868"/>
      <c r="M34" s="868"/>
      <c r="N34" s="868"/>
      <c r="O34" s="868"/>
      <c r="P34" s="868"/>
      <c r="Q34" s="868"/>
      <c r="R34" s="868"/>
      <c r="S34" s="868"/>
      <c r="T34" s="868"/>
      <c r="U34" s="868"/>
      <c r="V34" s="868"/>
      <c r="W34" s="868"/>
      <c r="X34" s="868"/>
      <c r="Y34" s="868"/>
      <c r="Z34" s="868"/>
      <c r="AA34" s="868"/>
      <c r="AB34" s="868"/>
      <c r="AC34" s="868"/>
      <c r="AD34" s="873"/>
    </row>
    <row r="35" spans="1:30" ht="20.100000000000001" customHeight="1" thickBot="1">
      <c r="A35" s="869"/>
      <c r="B35" s="870"/>
      <c r="C35" s="870"/>
      <c r="D35" s="870"/>
      <c r="E35" s="870"/>
      <c r="F35" s="870"/>
      <c r="G35" s="870"/>
      <c r="H35" s="870"/>
      <c r="I35" s="870"/>
      <c r="J35" s="870"/>
      <c r="K35" s="870"/>
      <c r="L35" s="870"/>
      <c r="M35" s="870"/>
      <c r="N35" s="870"/>
      <c r="O35" s="870"/>
      <c r="P35" s="870"/>
      <c r="Q35" s="870"/>
      <c r="R35" s="870"/>
      <c r="S35" s="870"/>
      <c r="T35" s="870"/>
      <c r="U35" s="870"/>
      <c r="V35" s="870"/>
      <c r="W35" s="870"/>
      <c r="X35" s="870"/>
      <c r="Y35" s="870"/>
      <c r="Z35" s="870"/>
      <c r="AA35" s="870"/>
      <c r="AB35" s="870"/>
      <c r="AC35" s="870"/>
      <c r="AD35" s="871"/>
    </row>
    <row r="36" spans="1:30" ht="15.75" thickBot="1"/>
    <row r="37" spans="1:30" ht="18">
      <c r="A37" s="864" t="s">
        <v>409</v>
      </c>
      <c r="B37" s="865"/>
      <c r="C37" s="865"/>
      <c r="D37" s="865"/>
      <c r="E37" s="865"/>
      <c r="F37" s="865"/>
      <c r="G37" s="865"/>
      <c r="H37" s="865"/>
      <c r="I37" s="865"/>
      <c r="J37" s="865"/>
      <c r="K37" s="865"/>
      <c r="L37" s="865"/>
      <c r="M37" s="865"/>
      <c r="N37" s="865"/>
      <c r="O37" s="865"/>
      <c r="P37" s="865"/>
      <c r="Q37" s="865"/>
      <c r="R37" s="865"/>
      <c r="S37" s="865"/>
      <c r="T37" s="865"/>
      <c r="U37" s="865"/>
      <c r="V37" s="865"/>
      <c r="W37" s="865"/>
      <c r="X37" s="865"/>
      <c r="Y37" s="865"/>
      <c r="Z37" s="865"/>
      <c r="AA37" s="865"/>
      <c r="AB37" s="865"/>
      <c r="AC37" s="865"/>
      <c r="AD37" s="866"/>
    </row>
    <row r="38" spans="1:30" ht="20.100000000000001" customHeight="1">
      <c r="A38" s="867" t="s">
        <v>418</v>
      </c>
      <c r="B38" s="867"/>
      <c r="C38" s="867"/>
      <c r="D38" s="867"/>
      <c r="E38" s="867"/>
      <c r="F38" s="867"/>
      <c r="G38" s="867"/>
      <c r="H38" s="868"/>
      <c r="I38" s="868"/>
      <c r="J38" s="868"/>
      <c r="K38" s="868"/>
      <c r="L38" s="868"/>
      <c r="M38" s="868"/>
      <c r="N38" s="868"/>
      <c r="O38" s="868"/>
      <c r="P38" s="868"/>
      <c r="Q38" s="868"/>
      <c r="R38" s="868"/>
      <c r="S38" s="868"/>
      <c r="T38" s="868"/>
      <c r="U38" s="868"/>
      <c r="V38" s="868"/>
      <c r="W38" s="868"/>
      <c r="X38" s="868"/>
      <c r="Y38" s="868"/>
      <c r="Z38" s="868"/>
      <c r="AA38" s="868"/>
      <c r="AB38" s="868"/>
      <c r="AC38" s="868"/>
      <c r="AD38" s="868"/>
    </row>
    <row r="39" spans="1:30" ht="20.100000000000001" customHeight="1">
      <c r="A39" s="867" t="s">
        <v>419</v>
      </c>
      <c r="B39" s="867"/>
      <c r="C39" s="867"/>
      <c r="D39" s="867"/>
      <c r="E39" s="867"/>
      <c r="F39" s="867"/>
      <c r="G39" s="867"/>
      <c r="H39" s="868"/>
      <c r="I39" s="868"/>
      <c r="J39" s="868"/>
      <c r="K39" s="868"/>
      <c r="L39" s="868"/>
      <c r="M39" s="868"/>
      <c r="N39" s="868"/>
      <c r="O39" s="868"/>
      <c r="P39" s="868"/>
      <c r="Q39" s="868"/>
      <c r="R39" s="868"/>
      <c r="S39" s="868"/>
      <c r="T39" s="868"/>
      <c r="U39" s="868"/>
      <c r="V39" s="868"/>
      <c r="W39" s="868"/>
      <c r="X39" s="868"/>
      <c r="Y39" s="868"/>
      <c r="Z39" s="868"/>
      <c r="AA39" s="868"/>
      <c r="AB39" s="868"/>
      <c r="AC39" s="868"/>
      <c r="AD39" s="868"/>
    </row>
    <row r="40" spans="1:30" ht="20.100000000000001" customHeight="1">
      <c r="A40" s="867" t="s">
        <v>420</v>
      </c>
      <c r="B40" s="867"/>
      <c r="C40" s="867"/>
      <c r="D40" s="867"/>
      <c r="E40" s="867"/>
      <c r="F40" s="867"/>
      <c r="G40" s="867"/>
      <c r="H40" s="868"/>
      <c r="I40" s="868"/>
      <c r="J40" s="868"/>
      <c r="K40" s="868"/>
      <c r="L40" s="868"/>
      <c r="M40" s="868"/>
      <c r="N40" s="868"/>
      <c r="O40" s="868"/>
      <c r="P40" s="868"/>
      <c r="Q40" s="868"/>
      <c r="R40" s="868"/>
      <c r="S40" s="868"/>
      <c r="T40" s="868"/>
      <c r="U40" s="868"/>
      <c r="V40" s="868"/>
      <c r="W40" s="868"/>
      <c r="X40" s="868"/>
      <c r="Y40" s="868"/>
      <c r="Z40" s="868"/>
      <c r="AA40" s="868"/>
      <c r="AB40" s="868"/>
      <c r="AC40" s="868"/>
      <c r="AD40" s="868"/>
    </row>
    <row r="41" spans="1:30" ht="15.75" thickBot="1"/>
    <row r="42" spans="1:30" ht="15.75" thickBot="1">
      <c r="A42" s="857" t="s">
        <v>421</v>
      </c>
      <c r="B42" s="858"/>
      <c r="C42" s="858"/>
      <c r="D42" s="858"/>
      <c r="E42" s="858"/>
      <c r="F42" s="858"/>
      <c r="G42" s="858"/>
      <c r="H42" s="859"/>
      <c r="I42" s="860"/>
      <c r="J42" s="860"/>
      <c r="K42" s="861"/>
    </row>
  </sheetData>
  <dataConsolidate/>
  <mergeCells count="113">
    <mergeCell ref="A7:F7"/>
    <mergeCell ref="G7:O7"/>
    <mergeCell ref="P7:T7"/>
    <mergeCell ref="U7:AD7"/>
    <mergeCell ref="A8:F8"/>
    <mergeCell ref="G8:O8"/>
    <mergeCell ref="P8:T8"/>
    <mergeCell ref="U8:AD8"/>
    <mergeCell ref="P1:AD4"/>
    <mergeCell ref="A5:O6"/>
    <mergeCell ref="P5:T5"/>
    <mergeCell ref="U5:AD5"/>
    <mergeCell ref="P6:T6"/>
    <mergeCell ref="U6:AD6"/>
    <mergeCell ref="A28:J28"/>
    <mergeCell ref="K28:AD28"/>
    <mergeCell ref="A26:AD26"/>
    <mergeCell ref="A23:E23"/>
    <mergeCell ref="F23:AD23"/>
    <mergeCell ref="A24:E24"/>
    <mergeCell ref="F24:O24"/>
    <mergeCell ref="A9:F9"/>
    <mergeCell ref="G9:O9"/>
    <mergeCell ref="P9:T9"/>
    <mergeCell ref="U9:AD9"/>
    <mergeCell ref="A12:AD12"/>
    <mergeCell ref="Y10:AD10"/>
    <mergeCell ref="E10:J10"/>
    <mergeCell ref="O10:T10"/>
    <mergeCell ref="A16:AD16"/>
    <mergeCell ref="A13:E13"/>
    <mergeCell ref="F13:O13"/>
    <mergeCell ref="F14:O14"/>
    <mergeCell ref="P13:R13"/>
    <mergeCell ref="S13:AD13"/>
    <mergeCell ref="P14:R14"/>
    <mergeCell ref="S14:AD14"/>
    <mergeCell ref="A14:E14"/>
    <mergeCell ref="AF22:AJ22"/>
    <mergeCell ref="F22:O22"/>
    <mergeCell ref="A17:E17"/>
    <mergeCell ref="P17:R17"/>
    <mergeCell ref="S17:AD17"/>
    <mergeCell ref="A19:E19"/>
    <mergeCell ref="F19:O19"/>
    <mergeCell ref="P19:R19"/>
    <mergeCell ref="S19:AD19"/>
    <mergeCell ref="F17:O17"/>
    <mergeCell ref="P24:R24"/>
    <mergeCell ref="S24:AD24"/>
    <mergeCell ref="A27:O27"/>
    <mergeCell ref="P27:Z27"/>
    <mergeCell ref="AA27:AD27"/>
    <mergeCell ref="A18:E18"/>
    <mergeCell ref="F18:AD18"/>
    <mergeCell ref="A21:AD21"/>
    <mergeCell ref="A22:E22"/>
    <mergeCell ref="P22:R22"/>
    <mergeCell ref="S22:AD22"/>
    <mergeCell ref="Y30:AA30"/>
    <mergeCell ref="AB30:AD30"/>
    <mergeCell ref="A31:E31"/>
    <mergeCell ref="F31:Q31"/>
    <mergeCell ref="R31:S31"/>
    <mergeCell ref="T31:X31"/>
    <mergeCell ref="Y31:AA31"/>
    <mergeCell ref="AB31:AD31"/>
    <mergeCell ref="F29:Q29"/>
    <mergeCell ref="A30:E30"/>
    <mergeCell ref="F30:Q30"/>
    <mergeCell ref="R29:S29"/>
    <mergeCell ref="T29:X29"/>
    <mergeCell ref="R30:S30"/>
    <mergeCell ref="T30:X30"/>
    <mergeCell ref="A29:E29"/>
    <mergeCell ref="AB29:AD29"/>
    <mergeCell ref="Y29:AA29"/>
    <mergeCell ref="A33:E33"/>
    <mergeCell ref="F33:Q33"/>
    <mergeCell ref="R33:S33"/>
    <mergeCell ref="T33:X33"/>
    <mergeCell ref="Y33:AA33"/>
    <mergeCell ref="AB33:AD33"/>
    <mergeCell ref="A32:E32"/>
    <mergeCell ref="F32:Q32"/>
    <mergeCell ref="R32:S32"/>
    <mergeCell ref="T32:X32"/>
    <mergeCell ref="Y32:AA32"/>
    <mergeCell ref="AB32:AD32"/>
    <mergeCell ref="A42:G42"/>
    <mergeCell ref="H42:K42"/>
    <mergeCell ref="A10:D10"/>
    <mergeCell ref="K10:N10"/>
    <mergeCell ref="U10:X10"/>
    <mergeCell ref="A37:AD37"/>
    <mergeCell ref="A38:G38"/>
    <mergeCell ref="A39:G39"/>
    <mergeCell ref="A40:G40"/>
    <mergeCell ref="H38:AD38"/>
    <mergeCell ref="H39:AD39"/>
    <mergeCell ref="H40:AD40"/>
    <mergeCell ref="A35:E35"/>
    <mergeCell ref="F35:Q35"/>
    <mergeCell ref="R35:S35"/>
    <mergeCell ref="T35:X35"/>
    <mergeCell ref="Y35:AA35"/>
    <mergeCell ref="AB35:AD35"/>
    <mergeCell ref="A34:E34"/>
    <mergeCell ref="F34:Q34"/>
    <mergeCell ref="R34:S34"/>
    <mergeCell ref="T34:X34"/>
    <mergeCell ref="Y34:AA34"/>
    <mergeCell ref="AB34:AD34"/>
  </mergeCells>
  <dataValidations count="3">
    <dataValidation type="list" allowBlank="1" sqref="F13:O13 AF22" xr:uid="{0BCDB762-6585-4D61-9525-069501FFEF3F}">
      <formula1>L_Agence</formula1>
    </dataValidation>
    <dataValidation type="list" allowBlank="1" sqref="F18:AD18 F23:AD23" xr:uid="{2F74477B-E08F-48F6-BC59-6017617047A1}">
      <formula1>L_Adresses</formula1>
    </dataValidation>
    <dataValidation type="list" allowBlank="1" showInputMessage="1" showErrorMessage="1" sqref="AA27:AD27 H42:K42" xr:uid="{5C7A75D2-81A1-4872-A56F-98F6EADCA384}">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99" r:id="rId4" name="Button 23">
              <controlPr defaultSize="0" print="0" autoFill="0" autoPict="0" macro="[0]!RemiseFormule">
                <anchor moveWithCells="1" sizeWithCells="1">
                  <from>
                    <xdr:col>37</xdr:col>
                    <xdr:colOff>571500</xdr:colOff>
                    <xdr:row>17</xdr:row>
                    <xdr:rowOff>95250</xdr:rowOff>
                  </from>
                  <to>
                    <xdr:col>40</xdr:col>
                    <xdr:colOff>466725</xdr:colOff>
                    <xdr:row>19</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B6DA-86E0-4270-B4A8-828062DF713F}">
  <sheetPr codeName="Feuil19">
    <tabColor theme="8" tint="0.59999389629810485"/>
    <pageSetUpPr fitToPage="1"/>
  </sheetPr>
  <dimension ref="A1:AD37"/>
  <sheetViews>
    <sheetView view="pageBreakPreview" topLeftCell="A22" zoomScaleNormal="100" zoomScaleSheetLayoutView="100" workbookViewId="0">
      <selection activeCell="AM7" sqref="AM7"/>
    </sheetView>
  </sheetViews>
  <sheetFormatPr baseColWidth="10" defaultColWidth="11.42578125" defaultRowHeight="15"/>
  <cols>
    <col min="1" max="38" width="3.28515625" customWidth="1"/>
  </cols>
  <sheetData>
    <row r="1" spans="1:30" ht="14.1" customHeight="1">
      <c r="P1" s="326" t="s">
        <v>393</v>
      </c>
      <c r="Q1" s="326"/>
      <c r="R1" s="326"/>
      <c r="S1" s="326"/>
      <c r="T1" s="326"/>
      <c r="U1" s="326"/>
      <c r="V1" s="326"/>
      <c r="W1" s="326"/>
      <c r="X1" s="326"/>
      <c r="Y1" s="326"/>
      <c r="Z1" s="326"/>
      <c r="AA1" s="326"/>
      <c r="AB1" s="326"/>
      <c r="AC1" s="326"/>
      <c r="AD1" s="326"/>
    </row>
    <row r="2" spans="1:30" ht="14.1" customHeight="1">
      <c r="P2" s="327"/>
      <c r="Q2" s="327"/>
      <c r="R2" s="327"/>
      <c r="S2" s="327"/>
      <c r="T2" s="327"/>
      <c r="U2" s="327"/>
      <c r="V2" s="327"/>
      <c r="W2" s="327"/>
      <c r="X2" s="327"/>
      <c r="Y2" s="327"/>
      <c r="Z2" s="327"/>
      <c r="AA2" s="327"/>
      <c r="AB2" s="327"/>
      <c r="AC2" s="327"/>
      <c r="AD2" s="327"/>
    </row>
    <row r="3" spans="1:30" ht="14.1" customHeight="1">
      <c r="P3" s="327"/>
      <c r="Q3" s="327"/>
      <c r="R3" s="327"/>
      <c r="S3" s="327"/>
      <c r="T3" s="327"/>
      <c r="U3" s="327"/>
      <c r="V3" s="327"/>
      <c r="W3" s="327"/>
      <c r="X3" s="327"/>
      <c r="Y3" s="327"/>
      <c r="Z3" s="327"/>
      <c r="AA3" s="327"/>
      <c r="AB3" s="327"/>
      <c r="AC3" s="327"/>
      <c r="AD3" s="327"/>
    </row>
    <row r="4" spans="1:30" ht="14.1" customHeight="1" thickBot="1">
      <c r="P4" s="328"/>
      <c r="Q4" s="328"/>
      <c r="R4" s="328"/>
      <c r="S4" s="328"/>
      <c r="T4" s="328"/>
      <c r="U4" s="328"/>
      <c r="V4" s="328"/>
      <c r="W4" s="328"/>
      <c r="X4" s="328"/>
      <c r="Y4" s="328"/>
      <c r="Z4" s="328"/>
      <c r="AA4" s="328"/>
      <c r="AB4" s="328"/>
      <c r="AC4" s="328"/>
      <c r="AD4" s="328"/>
    </row>
    <row r="5" spans="1:30" ht="14.1" customHeight="1">
      <c r="A5" s="329" t="s">
        <v>1</v>
      </c>
      <c r="B5" s="330"/>
      <c r="C5" s="330"/>
      <c r="D5" s="330"/>
      <c r="E5" s="330"/>
      <c r="F5" s="330"/>
      <c r="G5" s="330"/>
      <c r="H5" s="330"/>
      <c r="I5" s="330"/>
      <c r="J5" s="330"/>
      <c r="K5" s="330"/>
      <c r="L5" s="330"/>
      <c r="M5" s="330"/>
      <c r="N5" s="330"/>
      <c r="O5" s="331"/>
      <c r="P5" s="182" t="s">
        <v>2</v>
      </c>
      <c r="Q5" s="183"/>
      <c r="R5" s="183"/>
      <c r="S5" s="183"/>
      <c r="T5" s="184"/>
      <c r="U5" s="690">
        <f>Client</f>
        <v>0</v>
      </c>
      <c r="V5" s="691"/>
      <c r="W5" s="691"/>
      <c r="X5" s="691"/>
      <c r="Y5" s="691"/>
      <c r="Z5" s="691"/>
      <c r="AA5" s="691"/>
      <c r="AB5" s="691"/>
      <c r="AC5" s="691"/>
      <c r="AD5" s="692"/>
    </row>
    <row r="6" spans="1:30" ht="14.1" customHeight="1" thickBot="1">
      <c r="A6" s="332"/>
      <c r="B6" s="333"/>
      <c r="C6" s="333"/>
      <c r="D6" s="333"/>
      <c r="E6" s="333"/>
      <c r="F6" s="333"/>
      <c r="G6" s="333"/>
      <c r="H6" s="333"/>
      <c r="I6" s="333"/>
      <c r="J6" s="333"/>
      <c r="K6" s="333"/>
      <c r="L6" s="333"/>
      <c r="M6" s="333"/>
      <c r="N6" s="333"/>
      <c r="O6" s="334"/>
      <c r="P6" s="178" t="s">
        <v>3</v>
      </c>
      <c r="Q6" s="179"/>
      <c r="R6" s="179"/>
      <c r="S6" s="179"/>
      <c r="T6" s="180"/>
      <c r="U6" s="163">
        <f>Num_Devis</f>
        <v>0</v>
      </c>
      <c r="V6" s="688"/>
      <c r="W6" s="688"/>
      <c r="X6" s="688"/>
      <c r="Y6" s="688"/>
      <c r="Z6" s="688"/>
      <c r="AA6" s="688"/>
      <c r="AB6" s="688"/>
      <c r="AC6" s="688"/>
      <c r="AD6" s="689"/>
    </row>
    <row r="7" spans="1:30" ht="27.95" customHeight="1">
      <c r="A7" s="350" t="s">
        <v>4</v>
      </c>
      <c r="B7" s="351"/>
      <c r="C7" s="351"/>
      <c r="D7" s="351"/>
      <c r="E7" s="351"/>
      <c r="F7" s="352"/>
      <c r="G7" s="457">
        <f>Commercial</f>
        <v>0</v>
      </c>
      <c r="H7" s="457"/>
      <c r="I7" s="457"/>
      <c r="J7" s="457"/>
      <c r="K7" s="457"/>
      <c r="L7" s="457"/>
      <c r="M7" s="457"/>
      <c r="N7" s="457"/>
      <c r="O7" s="458"/>
      <c r="P7" s="256" t="s">
        <v>5</v>
      </c>
      <c r="Q7" s="257"/>
      <c r="R7" s="257"/>
      <c r="S7" s="257"/>
      <c r="T7" s="258"/>
      <c r="U7" s="163">
        <f>Code_Client_Divalto</f>
        <v>0</v>
      </c>
      <c r="V7" s="688"/>
      <c r="W7" s="688"/>
      <c r="X7" s="688"/>
      <c r="Y7" s="688"/>
      <c r="Z7" s="688"/>
      <c r="AA7" s="688"/>
      <c r="AB7" s="688"/>
      <c r="AC7" s="688"/>
      <c r="AD7" s="689"/>
    </row>
    <row r="8" spans="1:30"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0"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0" ht="15.75" thickBot="1"/>
    <row r="11" spans="1:30" ht="20.100000000000001" customHeight="1">
      <c r="A11" s="864" t="s">
        <v>406</v>
      </c>
      <c r="B11" s="865"/>
      <c r="C11" s="865"/>
      <c r="D11" s="865"/>
      <c r="E11" s="865"/>
      <c r="F11" s="865"/>
      <c r="G11" s="865"/>
      <c r="H11" s="865"/>
      <c r="I11" s="865"/>
      <c r="J11" s="865"/>
      <c r="K11" s="865"/>
      <c r="L11" s="865"/>
      <c r="M11" s="865"/>
      <c r="N11" s="865"/>
      <c r="O11" s="865"/>
      <c r="P11" s="865"/>
      <c r="Q11" s="865"/>
      <c r="R11" s="865"/>
      <c r="S11" s="865"/>
      <c r="T11" s="865"/>
      <c r="U11" s="865"/>
      <c r="V11" s="865"/>
      <c r="W11" s="865"/>
      <c r="X11" s="865"/>
      <c r="Y11" s="865"/>
      <c r="Z11" s="865"/>
      <c r="AA11" s="865"/>
      <c r="AB11" s="865"/>
      <c r="AC11" s="865"/>
      <c r="AD11" s="866"/>
    </row>
    <row r="12" spans="1:30" ht="50.1" customHeight="1">
      <c r="A12" s="890" t="s">
        <v>11</v>
      </c>
      <c r="B12" s="891"/>
      <c r="C12" s="891"/>
      <c r="D12" s="891"/>
      <c r="E12" s="891"/>
      <c r="F12" s="917" t="str">
        <f>IFERROR(VLOOKUP(#REF!,Information!U2:V7,2,FALSE),Projet!R16&amp;CHAR(10)&amp;Projet!R17&amp;CHAR(10)&amp;Projet!R18&amp;CHAR(10)&amp;Projet!R19&amp;" "&amp;Projet!X19)</f>
        <v xml:space="preserve">
 </v>
      </c>
      <c r="G12" s="894"/>
      <c r="H12" s="894"/>
      <c r="I12" s="894"/>
      <c r="J12" s="894"/>
      <c r="K12" s="894"/>
      <c r="L12" s="894"/>
      <c r="M12" s="894"/>
      <c r="N12" s="894"/>
      <c r="O12" s="894"/>
      <c r="P12" s="894"/>
      <c r="Q12" s="894"/>
      <c r="R12" s="894"/>
      <c r="S12" s="894"/>
      <c r="T12" s="894"/>
      <c r="U12" s="894"/>
      <c r="V12" s="894"/>
      <c r="W12" s="894"/>
      <c r="X12" s="894"/>
      <c r="Y12" s="894"/>
      <c r="Z12" s="894"/>
      <c r="AA12" s="894"/>
      <c r="AB12" s="894"/>
      <c r="AC12" s="894"/>
      <c r="AD12" s="895"/>
    </row>
    <row r="13" spans="1:30" ht="50.1" customHeight="1">
      <c r="A13" s="934" t="s">
        <v>422</v>
      </c>
      <c r="B13" s="935"/>
      <c r="C13" s="935"/>
      <c r="D13" s="935"/>
      <c r="E13" s="935"/>
      <c r="F13" s="917"/>
      <c r="G13" s="894"/>
      <c r="H13" s="894"/>
      <c r="I13" s="894"/>
      <c r="J13" s="894"/>
      <c r="K13" s="894"/>
      <c r="L13" s="894"/>
      <c r="M13" s="894"/>
      <c r="N13" s="894"/>
      <c r="O13" s="894"/>
      <c r="P13" s="894"/>
      <c r="Q13" s="894"/>
      <c r="R13" s="894"/>
      <c r="S13" s="894"/>
      <c r="T13" s="894"/>
      <c r="U13" s="894"/>
      <c r="V13" s="894"/>
      <c r="W13" s="894"/>
      <c r="X13" s="894"/>
      <c r="Y13" s="894"/>
      <c r="Z13" s="894"/>
      <c r="AA13" s="894"/>
      <c r="AB13" s="894"/>
      <c r="AC13" s="894"/>
      <c r="AD13" s="895"/>
    </row>
    <row r="14" spans="1:30" ht="20.100000000000001" customHeight="1" thickBot="1">
      <c r="A14" s="907" t="s">
        <v>404</v>
      </c>
      <c r="B14" s="908"/>
      <c r="C14" s="908"/>
      <c r="D14" s="908"/>
      <c r="E14" s="908"/>
      <c r="F14" s="827">
        <f>Interlocuteur</f>
        <v>0</v>
      </c>
      <c r="G14" s="828"/>
      <c r="H14" s="828"/>
      <c r="I14" s="828"/>
      <c r="J14" s="828"/>
      <c r="K14" s="828"/>
      <c r="L14" s="828"/>
      <c r="M14" s="828"/>
      <c r="N14" s="828"/>
      <c r="O14" s="829"/>
      <c r="P14" s="878" t="s">
        <v>405</v>
      </c>
      <c r="Q14" s="878"/>
      <c r="R14" s="878"/>
      <c r="S14" s="879">
        <f>Projet!F13</f>
        <v>0</v>
      </c>
      <c r="T14" s="879"/>
      <c r="U14" s="879"/>
      <c r="V14" s="879"/>
      <c r="W14" s="879"/>
      <c r="X14" s="879"/>
      <c r="Y14" s="879"/>
      <c r="Z14" s="879"/>
      <c r="AA14" s="879"/>
      <c r="AB14" s="879"/>
      <c r="AC14" s="879"/>
      <c r="AD14" s="880"/>
    </row>
    <row r="15" spans="1:30" ht="15.75" thickBot="1"/>
    <row r="16" spans="1:30" ht="20.100000000000001" customHeight="1">
      <c r="A16" s="864" t="s">
        <v>409</v>
      </c>
      <c r="B16" s="865"/>
      <c r="C16" s="865"/>
      <c r="D16" s="865"/>
      <c r="E16" s="865"/>
      <c r="F16" s="865"/>
      <c r="G16" s="865"/>
      <c r="H16" s="865"/>
      <c r="I16" s="865"/>
      <c r="J16" s="865"/>
      <c r="K16" s="865"/>
      <c r="L16" s="865"/>
      <c r="M16" s="865"/>
      <c r="N16" s="865"/>
      <c r="O16" s="865"/>
      <c r="P16" s="865"/>
      <c r="Q16" s="865"/>
      <c r="R16" s="865"/>
      <c r="S16" s="865"/>
      <c r="T16" s="865"/>
      <c r="U16" s="865"/>
      <c r="V16" s="865"/>
      <c r="W16" s="865"/>
      <c r="X16" s="865"/>
      <c r="Y16" s="865"/>
      <c r="Z16" s="865"/>
      <c r="AA16" s="865"/>
      <c r="AB16" s="865"/>
      <c r="AC16" s="865"/>
      <c r="AD16" s="866"/>
    </row>
    <row r="17" spans="1:30" ht="63.75" customHeight="1">
      <c r="A17" s="913" t="s">
        <v>423</v>
      </c>
      <c r="B17" s="914"/>
      <c r="C17" s="914"/>
      <c r="D17" s="914"/>
      <c r="E17" s="914"/>
      <c r="F17" s="914"/>
      <c r="G17" s="914"/>
      <c r="H17" s="914"/>
      <c r="I17" s="914"/>
      <c r="J17" s="914"/>
      <c r="K17" s="915"/>
      <c r="L17" s="915"/>
      <c r="M17" s="915"/>
      <c r="N17" s="915"/>
      <c r="O17" s="915"/>
      <c r="P17" s="915"/>
      <c r="Q17" s="915"/>
      <c r="R17" s="915"/>
      <c r="S17" s="915"/>
      <c r="T17" s="915"/>
      <c r="U17" s="915"/>
      <c r="V17" s="915"/>
      <c r="W17" s="915"/>
      <c r="X17" s="915"/>
      <c r="Y17" s="915"/>
      <c r="Z17" s="915"/>
      <c r="AA17" s="915"/>
      <c r="AB17" s="915"/>
      <c r="AC17" s="915"/>
      <c r="AD17" s="916"/>
    </row>
    <row r="18" spans="1:30" ht="27.75" customHeight="1">
      <c r="A18" s="876" t="s">
        <v>413</v>
      </c>
      <c r="B18" s="875"/>
      <c r="C18" s="875"/>
      <c r="D18" s="875"/>
      <c r="E18" s="875"/>
      <c r="F18" s="874" t="s">
        <v>414</v>
      </c>
      <c r="G18" s="874"/>
      <c r="H18" s="874"/>
      <c r="I18" s="874"/>
      <c r="J18" s="874"/>
      <c r="K18" s="874"/>
      <c r="L18" s="874"/>
      <c r="M18" s="874"/>
      <c r="N18" s="874"/>
      <c r="O18" s="874"/>
      <c r="P18" s="874"/>
      <c r="Q18" s="874"/>
      <c r="R18" s="875" t="s">
        <v>124</v>
      </c>
      <c r="S18" s="875"/>
      <c r="T18" s="875" t="s">
        <v>415</v>
      </c>
      <c r="U18" s="875"/>
      <c r="V18" s="875"/>
      <c r="W18" s="875"/>
      <c r="X18" s="875"/>
      <c r="Y18" s="875" t="s">
        <v>416</v>
      </c>
      <c r="Z18" s="875"/>
      <c r="AA18" s="875"/>
      <c r="AB18" s="875" t="s">
        <v>424</v>
      </c>
      <c r="AC18" s="875"/>
      <c r="AD18" s="877"/>
    </row>
    <row r="19" spans="1:30" ht="20.100000000000001" customHeight="1">
      <c r="A19" s="872"/>
      <c r="B19" s="868"/>
      <c r="C19" s="868"/>
      <c r="D19" s="868"/>
      <c r="E19" s="868"/>
      <c r="F19" s="868"/>
      <c r="G19" s="868"/>
      <c r="H19" s="868"/>
      <c r="I19" s="868"/>
      <c r="J19" s="868"/>
      <c r="K19" s="868"/>
      <c r="L19" s="868"/>
      <c r="M19" s="868"/>
      <c r="N19" s="868"/>
      <c r="O19" s="868"/>
      <c r="P19" s="868"/>
      <c r="Q19" s="868"/>
      <c r="R19" s="868"/>
      <c r="S19" s="868"/>
      <c r="T19" s="868"/>
      <c r="U19" s="868"/>
      <c r="V19" s="868"/>
      <c r="W19" s="868"/>
      <c r="X19" s="868"/>
      <c r="Y19" s="868"/>
      <c r="Z19" s="868"/>
      <c r="AA19" s="868"/>
      <c r="AB19" s="868"/>
      <c r="AC19" s="868"/>
      <c r="AD19" s="873"/>
    </row>
    <row r="20" spans="1:30" ht="20.100000000000001" customHeight="1">
      <c r="A20" s="872"/>
      <c r="B20" s="868"/>
      <c r="C20" s="868"/>
      <c r="D20" s="868"/>
      <c r="E20" s="868"/>
      <c r="F20" s="868"/>
      <c r="G20" s="868"/>
      <c r="H20" s="868"/>
      <c r="I20" s="868"/>
      <c r="J20" s="868"/>
      <c r="K20" s="868"/>
      <c r="L20" s="868"/>
      <c r="M20" s="868"/>
      <c r="N20" s="868"/>
      <c r="O20" s="868"/>
      <c r="P20" s="868"/>
      <c r="Q20" s="868"/>
      <c r="R20" s="868"/>
      <c r="S20" s="868"/>
      <c r="T20" s="868"/>
      <c r="U20" s="868"/>
      <c r="V20" s="868"/>
      <c r="W20" s="868"/>
      <c r="X20" s="868"/>
      <c r="Y20" s="868"/>
      <c r="Z20" s="868"/>
      <c r="AA20" s="868"/>
      <c r="AB20" s="868"/>
      <c r="AC20" s="868"/>
      <c r="AD20" s="873"/>
    </row>
    <row r="21" spans="1:30" ht="20.100000000000001" customHeight="1">
      <c r="A21" s="872"/>
      <c r="B21" s="868"/>
      <c r="C21" s="868"/>
      <c r="D21" s="868"/>
      <c r="E21" s="868"/>
      <c r="F21" s="868"/>
      <c r="G21" s="868"/>
      <c r="H21" s="868"/>
      <c r="I21" s="868"/>
      <c r="J21" s="868"/>
      <c r="K21" s="868"/>
      <c r="L21" s="868"/>
      <c r="M21" s="868"/>
      <c r="N21" s="868"/>
      <c r="O21" s="868"/>
      <c r="P21" s="868"/>
      <c r="Q21" s="868"/>
      <c r="R21" s="868"/>
      <c r="S21" s="868"/>
      <c r="T21" s="868"/>
      <c r="U21" s="868"/>
      <c r="V21" s="868"/>
      <c r="W21" s="868"/>
      <c r="X21" s="868"/>
      <c r="Y21" s="868"/>
      <c r="Z21" s="868"/>
      <c r="AA21" s="868"/>
      <c r="AB21" s="868"/>
      <c r="AC21" s="868"/>
      <c r="AD21" s="873"/>
    </row>
    <row r="22" spans="1:30" ht="20.100000000000001" customHeight="1">
      <c r="A22" s="872"/>
      <c r="B22" s="868"/>
      <c r="C22" s="868"/>
      <c r="D22" s="868"/>
      <c r="E22" s="868"/>
      <c r="F22" s="868"/>
      <c r="G22" s="868"/>
      <c r="H22" s="868"/>
      <c r="I22" s="868"/>
      <c r="J22" s="868"/>
      <c r="K22" s="868"/>
      <c r="L22" s="868"/>
      <c r="M22" s="868"/>
      <c r="N22" s="868"/>
      <c r="O22" s="868"/>
      <c r="P22" s="868"/>
      <c r="Q22" s="868"/>
      <c r="R22" s="868"/>
      <c r="S22" s="868"/>
      <c r="T22" s="868"/>
      <c r="U22" s="868"/>
      <c r="V22" s="868"/>
      <c r="W22" s="868"/>
      <c r="X22" s="868"/>
      <c r="Y22" s="868"/>
      <c r="Z22" s="868"/>
      <c r="AA22" s="868"/>
      <c r="AB22" s="868"/>
      <c r="AC22" s="868"/>
      <c r="AD22" s="873"/>
    </row>
    <row r="23" spans="1:30" ht="20.100000000000001" customHeight="1">
      <c r="A23" s="872"/>
      <c r="B23" s="868"/>
      <c r="C23" s="868"/>
      <c r="D23" s="868"/>
      <c r="E23" s="868"/>
      <c r="F23" s="868"/>
      <c r="G23" s="868"/>
      <c r="H23" s="868"/>
      <c r="I23" s="868"/>
      <c r="J23" s="868"/>
      <c r="K23" s="868"/>
      <c r="L23" s="868"/>
      <c r="M23" s="868"/>
      <c r="N23" s="868"/>
      <c r="O23" s="868"/>
      <c r="P23" s="868"/>
      <c r="Q23" s="868"/>
      <c r="R23" s="868"/>
      <c r="S23" s="868"/>
      <c r="T23" s="868"/>
      <c r="U23" s="868"/>
      <c r="V23" s="868"/>
      <c r="W23" s="868"/>
      <c r="X23" s="868"/>
      <c r="Y23" s="868"/>
      <c r="Z23" s="868"/>
      <c r="AA23" s="868"/>
      <c r="AB23" s="868"/>
      <c r="AC23" s="868"/>
      <c r="AD23" s="873"/>
    </row>
    <row r="24" spans="1:30" ht="20.100000000000001" customHeight="1" thickBot="1">
      <c r="A24" s="869"/>
      <c r="B24" s="870"/>
      <c r="C24" s="870"/>
      <c r="D24" s="870"/>
      <c r="E24" s="870"/>
      <c r="F24" s="870"/>
      <c r="G24" s="870"/>
      <c r="H24" s="870"/>
      <c r="I24" s="870"/>
      <c r="J24" s="870"/>
      <c r="K24" s="870"/>
      <c r="L24" s="870"/>
      <c r="M24" s="870"/>
      <c r="N24" s="870"/>
      <c r="O24" s="870"/>
      <c r="P24" s="870"/>
      <c r="Q24" s="870"/>
      <c r="R24" s="870"/>
      <c r="S24" s="870"/>
      <c r="T24" s="870"/>
      <c r="U24" s="870"/>
      <c r="V24" s="870"/>
      <c r="W24" s="870"/>
      <c r="X24" s="870"/>
      <c r="Y24" s="870"/>
      <c r="Z24" s="870"/>
      <c r="AA24" s="870"/>
      <c r="AB24" s="870"/>
      <c r="AC24" s="870"/>
      <c r="AD24" s="871"/>
    </row>
    <row r="25" spans="1:30" ht="15.75" thickBot="1"/>
    <row r="26" spans="1:30" ht="18">
      <c r="A26" s="864" t="s">
        <v>425</v>
      </c>
      <c r="B26" s="865"/>
      <c r="C26" s="865"/>
      <c r="D26" s="865"/>
      <c r="E26" s="865"/>
      <c r="F26" s="865"/>
      <c r="G26" s="865"/>
      <c r="H26" s="865"/>
      <c r="I26" s="865"/>
      <c r="J26" s="865"/>
      <c r="K26" s="865"/>
      <c r="L26" s="865"/>
      <c r="M26" s="865"/>
      <c r="N26" s="865"/>
      <c r="O26" s="865"/>
      <c r="P26" s="865"/>
      <c r="Q26" s="865"/>
      <c r="R26" s="865"/>
      <c r="S26" s="865"/>
      <c r="T26" s="865"/>
      <c r="U26" s="865"/>
      <c r="V26" s="865"/>
      <c r="W26" s="865"/>
      <c r="X26" s="865"/>
      <c r="Y26" s="865"/>
      <c r="Z26" s="865"/>
      <c r="AA26" s="865"/>
      <c r="AB26" s="865"/>
      <c r="AC26" s="865"/>
      <c r="AD26" s="866"/>
    </row>
    <row r="27" spans="1:30" ht="20.100000000000001" customHeight="1">
      <c r="A27" s="931" t="s">
        <v>426</v>
      </c>
      <c r="B27" s="932"/>
      <c r="C27" s="932"/>
      <c r="D27" s="932"/>
      <c r="E27" s="932"/>
      <c r="F27" s="932"/>
      <c r="G27" s="932"/>
      <c r="H27" s="932"/>
      <c r="I27" s="932"/>
      <c r="J27" s="932"/>
      <c r="K27" s="932"/>
      <c r="L27" s="932"/>
      <c r="M27" s="932"/>
      <c r="N27" s="932"/>
      <c r="O27" s="932"/>
      <c r="P27" s="932"/>
      <c r="Q27" s="932"/>
      <c r="R27" s="932"/>
      <c r="S27" s="932"/>
      <c r="T27" s="932"/>
      <c r="U27" s="932"/>
      <c r="V27" s="932"/>
      <c r="W27" s="932"/>
      <c r="X27" s="932"/>
      <c r="Y27" s="932"/>
      <c r="Z27" s="933"/>
      <c r="AA27" s="910" t="s">
        <v>51</v>
      </c>
      <c r="AB27" s="911"/>
      <c r="AC27" s="911"/>
      <c r="AD27" s="912"/>
    </row>
    <row r="28" spans="1:30" ht="20.100000000000001" customHeight="1">
      <c r="A28" s="931" t="s">
        <v>427</v>
      </c>
      <c r="B28" s="932"/>
      <c r="C28" s="932"/>
      <c r="D28" s="932"/>
      <c r="E28" s="932"/>
      <c r="F28" s="932"/>
      <c r="G28" s="932"/>
      <c r="H28" s="932"/>
      <c r="I28" s="932"/>
      <c r="J28" s="932"/>
      <c r="K28" s="932"/>
      <c r="L28" s="932"/>
      <c r="M28" s="932"/>
      <c r="N28" s="932"/>
      <c r="O28" s="932"/>
      <c r="P28" s="932"/>
      <c r="Q28" s="932"/>
      <c r="R28" s="932"/>
      <c r="S28" s="932"/>
      <c r="T28" s="932"/>
      <c r="U28" s="932"/>
      <c r="V28" s="932"/>
      <c r="W28" s="932"/>
      <c r="X28" s="932"/>
      <c r="Y28" s="932"/>
      <c r="Z28" s="933"/>
      <c r="AA28" s="910" t="s">
        <v>51</v>
      </c>
      <c r="AB28" s="911"/>
      <c r="AC28" s="911"/>
      <c r="AD28" s="912"/>
    </row>
    <row r="29" spans="1:30" ht="20.100000000000001" customHeight="1">
      <c r="A29" s="931" t="s">
        <v>428</v>
      </c>
      <c r="B29" s="932"/>
      <c r="C29" s="932"/>
      <c r="D29" s="932"/>
      <c r="E29" s="932"/>
      <c r="F29" s="932"/>
      <c r="G29" s="932"/>
      <c r="H29" s="932"/>
      <c r="I29" s="932"/>
      <c r="J29" s="932"/>
      <c r="K29" s="932"/>
      <c r="L29" s="932"/>
      <c r="M29" s="932"/>
      <c r="N29" s="932"/>
      <c r="O29" s="932"/>
      <c r="P29" s="932"/>
      <c r="Q29" s="932"/>
      <c r="R29" s="932"/>
      <c r="S29" s="932"/>
      <c r="T29" s="932"/>
      <c r="U29" s="932"/>
      <c r="V29" s="932"/>
      <c r="W29" s="932"/>
      <c r="X29" s="932"/>
      <c r="Y29" s="932"/>
      <c r="Z29" s="933"/>
      <c r="AA29" s="910" t="s">
        <v>51</v>
      </c>
      <c r="AB29" s="911"/>
      <c r="AC29" s="911"/>
      <c r="AD29" s="912"/>
    </row>
    <row r="30" spans="1:30" ht="31.5" customHeight="1">
      <c r="A30" s="924" t="s">
        <v>429</v>
      </c>
      <c r="B30" s="925"/>
      <c r="C30" s="925"/>
      <c r="D30" s="925"/>
      <c r="E30" s="925"/>
      <c r="F30" s="925"/>
      <c r="G30" s="925"/>
      <c r="H30" s="925"/>
      <c r="I30" s="925"/>
      <c r="J30" s="925"/>
      <c r="K30" s="925"/>
      <c r="L30" s="925"/>
      <c r="M30" s="925"/>
      <c r="N30" s="925"/>
      <c r="O30" s="925"/>
      <c r="P30" s="925"/>
      <c r="Q30" s="925"/>
      <c r="R30" s="925"/>
      <c r="S30" s="925"/>
      <c r="T30" s="925"/>
      <c r="U30" s="925"/>
      <c r="V30" s="925"/>
      <c r="W30" s="925"/>
      <c r="X30" s="925"/>
      <c r="Y30" s="925"/>
      <c r="Z30" s="925"/>
      <c r="AA30" s="925"/>
      <c r="AB30" s="925"/>
      <c r="AC30" s="925"/>
      <c r="AD30" s="926"/>
    </row>
    <row r="32" spans="1:30" ht="74.25" customHeight="1">
      <c r="A32" s="924" t="s">
        <v>430</v>
      </c>
      <c r="B32" s="925"/>
      <c r="C32" s="925"/>
      <c r="D32" s="925"/>
      <c r="E32" s="925"/>
      <c r="F32" s="925"/>
      <c r="G32" s="925"/>
      <c r="H32" s="925"/>
      <c r="I32" s="925"/>
      <c r="J32" s="925"/>
      <c r="K32" s="925"/>
      <c r="L32" s="925"/>
      <c r="M32" s="925"/>
      <c r="N32" s="925"/>
      <c r="O32" s="925"/>
      <c r="P32" s="925"/>
      <c r="Q32" s="925"/>
      <c r="R32" s="925"/>
      <c r="S32" s="925"/>
      <c r="T32" s="925"/>
      <c r="U32" s="925"/>
      <c r="V32" s="925"/>
      <c r="W32" s="925"/>
      <c r="X32" s="925"/>
      <c r="Y32" s="925"/>
      <c r="Z32" s="925"/>
      <c r="AA32" s="925"/>
      <c r="AB32" s="925"/>
      <c r="AC32" s="925"/>
      <c r="AD32" s="926"/>
    </row>
    <row r="33" spans="1:30" ht="15.75" thickBot="1"/>
    <row r="34" spans="1:30" ht="20.100000000000001" customHeight="1">
      <c r="A34" s="927" t="str">
        <f>_xlfn.CONCAT("Signature et date ",Client," :")</f>
        <v>Signature et date  :</v>
      </c>
      <c r="B34" s="928"/>
      <c r="C34" s="928"/>
      <c r="D34" s="928"/>
      <c r="E34" s="928"/>
      <c r="F34" s="928"/>
      <c r="G34" s="928"/>
      <c r="H34" s="928"/>
      <c r="I34" s="928"/>
      <c r="J34" s="928"/>
      <c r="K34" s="928" t="str">
        <f>_xlfn.CONCAT("Cachet Entreprise ",Client," :")</f>
        <v>Cachet Entreprise  :</v>
      </c>
      <c r="L34" s="928"/>
      <c r="M34" s="928"/>
      <c r="N34" s="928"/>
      <c r="O34" s="928"/>
      <c r="P34" s="928"/>
      <c r="Q34" s="928"/>
      <c r="R34" s="928"/>
      <c r="S34" s="928"/>
      <c r="T34" s="928"/>
      <c r="U34" s="928" t="s">
        <v>379</v>
      </c>
      <c r="V34" s="928"/>
      <c r="W34" s="928"/>
      <c r="X34" s="928"/>
      <c r="Y34" s="928"/>
      <c r="Z34" s="928"/>
      <c r="AA34" s="928"/>
      <c r="AB34" s="928"/>
      <c r="AC34" s="928"/>
      <c r="AD34" s="929"/>
    </row>
    <row r="35" spans="1:30" ht="20.100000000000001" customHeight="1">
      <c r="A35" s="930"/>
      <c r="B35" s="815"/>
      <c r="C35" s="815"/>
      <c r="D35" s="815"/>
      <c r="E35" s="815"/>
      <c r="F35" s="815"/>
      <c r="G35" s="815"/>
      <c r="H35" s="815"/>
      <c r="I35" s="815"/>
      <c r="J35" s="815"/>
      <c r="K35" s="815"/>
      <c r="L35" s="815"/>
      <c r="M35" s="815"/>
      <c r="N35" s="815"/>
      <c r="O35" s="815"/>
      <c r="P35" s="815"/>
      <c r="Q35" s="815"/>
      <c r="R35" s="815"/>
      <c r="S35" s="815"/>
      <c r="T35" s="815"/>
      <c r="U35" s="815">
        <f>Interlocuteur</f>
        <v>0</v>
      </c>
      <c r="V35" s="815"/>
      <c r="W35" s="815"/>
      <c r="X35" s="815"/>
      <c r="Y35" s="815"/>
      <c r="Z35" s="815"/>
      <c r="AA35" s="815"/>
      <c r="AB35" s="815"/>
      <c r="AC35" s="815"/>
      <c r="AD35" s="830"/>
    </row>
    <row r="36" spans="1:30" ht="20.100000000000001" customHeight="1">
      <c r="A36" s="814"/>
      <c r="B36" s="815"/>
      <c r="C36" s="815"/>
      <c r="D36" s="815"/>
      <c r="E36" s="815"/>
      <c r="F36" s="815"/>
      <c r="G36" s="815"/>
      <c r="H36" s="815"/>
      <c r="I36" s="815"/>
      <c r="J36" s="815"/>
      <c r="K36" s="815"/>
      <c r="L36" s="815"/>
      <c r="M36" s="815"/>
      <c r="N36" s="815"/>
      <c r="O36" s="815"/>
      <c r="P36" s="815"/>
      <c r="Q36" s="815"/>
      <c r="R36" s="815"/>
      <c r="S36" s="815"/>
      <c r="T36" s="815"/>
      <c r="U36" s="818" t="s">
        <v>380</v>
      </c>
      <c r="V36" s="818"/>
      <c r="W36" s="818"/>
      <c r="X36" s="818"/>
      <c r="Y36" s="818"/>
      <c r="Z36" s="818"/>
      <c r="AA36" s="818"/>
      <c r="AB36" s="818"/>
      <c r="AC36" s="818"/>
      <c r="AD36" s="819"/>
    </row>
    <row r="37" spans="1:30" ht="20.100000000000001" customHeight="1" thickBot="1">
      <c r="A37" s="816"/>
      <c r="B37" s="817"/>
      <c r="C37" s="817"/>
      <c r="D37" s="817"/>
      <c r="E37" s="817"/>
      <c r="F37" s="817"/>
      <c r="G37" s="817"/>
      <c r="H37" s="817"/>
      <c r="I37" s="817"/>
      <c r="J37" s="817"/>
      <c r="K37" s="817"/>
      <c r="L37" s="817"/>
      <c r="M37" s="817"/>
      <c r="N37" s="817"/>
      <c r="O37" s="817"/>
      <c r="P37" s="817"/>
      <c r="Q37" s="817"/>
      <c r="R37" s="817"/>
      <c r="S37" s="817"/>
      <c r="T37" s="817"/>
      <c r="U37" s="817">
        <f>Fonc_Interloc</f>
        <v>0</v>
      </c>
      <c r="V37" s="817"/>
      <c r="W37" s="817"/>
      <c r="X37" s="817"/>
      <c r="Y37" s="817"/>
      <c r="Z37" s="817"/>
      <c r="AA37" s="817"/>
      <c r="AB37" s="817"/>
      <c r="AC37" s="817"/>
      <c r="AD37" s="820"/>
    </row>
  </sheetData>
  <dataConsolidate/>
  <mergeCells count="89">
    <mergeCell ref="P1:AD4"/>
    <mergeCell ref="A5:O6"/>
    <mergeCell ref="P5:T5"/>
    <mergeCell ref="U5:AD5"/>
    <mergeCell ref="P6:T6"/>
    <mergeCell ref="U6:AD6"/>
    <mergeCell ref="A9:F9"/>
    <mergeCell ref="G9:O9"/>
    <mergeCell ref="P9:T9"/>
    <mergeCell ref="U9:AD9"/>
    <mergeCell ref="A7:F7"/>
    <mergeCell ref="G7:O7"/>
    <mergeCell ref="P7:T7"/>
    <mergeCell ref="U7:AD7"/>
    <mergeCell ref="A8:F8"/>
    <mergeCell ref="G8:O8"/>
    <mergeCell ref="P8:T8"/>
    <mergeCell ref="U8:AD8"/>
    <mergeCell ref="A11:AD11"/>
    <mergeCell ref="A12:E12"/>
    <mergeCell ref="F12:AD12"/>
    <mergeCell ref="A13:E13"/>
    <mergeCell ref="F13:AD13"/>
    <mergeCell ref="A14:E14"/>
    <mergeCell ref="F14:O14"/>
    <mergeCell ref="P14:R14"/>
    <mergeCell ref="S14:AD14"/>
    <mergeCell ref="A16:AD16"/>
    <mergeCell ref="AB19:AD19"/>
    <mergeCell ref="A17:J17"/>
    <mergeCell ref="K17:AD17"/>
    <mergeCell ref="A18:E18"/>
    <mergeCell ref="F18:Q18"/>
    <mergeCell ref="R18:S18"/>
    <mergeCell ref="T18:X18"/>
    <mergeCell ref="Y18:AA18"/>
    <mergeCell ref="AB18:AD18"/>
    <mergeCell ref="A19:E19"/>
    <mergeCell ref="F19:Q19"/>
    <mergeCell ref="R19:S19"/>
    <mergeCell ref="T19:X19"/>
    <mergeCell ref="Y19:AA19"/>
    <mergeCell ref="AB21:AD21"/>
    <mergeCell ref="A20:E20"/>
    <mergeCell ref="F20:Q20"/>
    <mergeCell ref="R20:S20"/>
    <mergeCell ref="T20:X20"/>
    <mergeCell ref="Y20:AA20"/>
    <mergeCell ref="AB20:AD20"/>
    <mergeCell ref="A21:E21"/>
    <mergeCell ref="F21:Q21"/>
    <mergeCell ref="R21:S21"/>
    <mergeCell ref="T21:X21"/>
    <mergeCell ref="Y21:AA21"/>
    <mergeCell ref="AB23:AD23"/>
    <mergeCell ref="A22:E22"/>
    <mergeCell ref="F22:Q22"/>
    <mergeCell ref="R22:S22"/>
    <mergeCell ref="T22:X22"/>
    <mergeCell ref="Y22:AA22"/>
    <mergeCell ref="AB22:AD22"/>
    <mergeCell ref="A23:E23"/>
    <mergeCell ref="F23:Q23"/>
    <mergeCell ref="R23:S23"/>
    <mergeCell ref="T23:X23"/>
    <mergeCell ref="Y23:AA23"/>
    <mergeCell ref="A26:AD26"/>
    <mergeCell ref="A24:E24"/>
    <mergeCell ref="F24:Q24"/>
    <mergeCell ref="R24:S24"/>
    <mergeCell ref="T24:X24"/>
    <mergeCell ref="Y24:AA24"/>
    <mergeCell ref="AB24:AD24"/>
    <mergeCell ref="A27:Z27"/>
    <mergeCell ref="AA27:AD27"/>
    <mergeCell ref="AA28:AD28"/>
    <mergeCell ref="A28:Z28"/>
    <mergeCell ref="A29:Z29"/>
    <mergeCell ref="AA29:AD29"/>
    <mergeCell ref="A30:AD30"/>
    <mergeCell ref="A34:J34"/>
    <mergeCell ref="K34:T34"/>
    <mergeCell ref="U34:AD34"/>
    <mergeCell ref="A35:J37"/>
    <mergeCell ref="K35:T37"/>
    <mergeCell ref="U35:AD35"/>
    <mergeCell ref="U36:AD36"/>
    <mergeCell ref="U37:AD37"/>
    <mergeCell ref="A32:AD32"/>
  </mergeCells>
  <dataValidations count="2">
    <dataValidation type="list" allowBlank="1" sqref="F12:AD12" xr:uid="{7DEED391-9AD3-44F7-B85B-312DB415D0E4}">
      <formula1>L_Adresses</formula1>
    </dataValidation>
    <dataValidation type="list" allowBlank="1" sqref="AA27:AD29" xr:uid="{7627BA27-1502-44C8-BD65-86F70C0B82D1}">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4"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9DA3-5B8A-44FB-9B5A-CC6B0C49A3F5}">
  <sheetPr codeName="Feuil20">
    <tabColor theme="8" tint="0.59999389629810485"/>
  </sheetPr>
  <dimension ref="A1:AD47"/>
  <sheetViews>
    <sheetView view="pageBreakPreview" zoomScale="115" zoomScaleNormal="70" zoomScaleSheetLayoutView="115" workbookViewId="0">
      <selection sqref="A1:AD15"/>
    </sheetView>
  </sheetViews>
  <sheetFormatPr baseColWidth="10" defaultColWidth="11.42578125" defaultRowHeight="15"/>
  <cols>
    <col min="1" max="1" width="3.7109375" style="118" customWidth="1"/>
    <col min="2" max="30" width="3.7109375" customWidth="1"/>
  </cols>
  <sheetData>
    <row r="1" spans="1:30" ht="39.950000000000003" customHeight="1" thickBot="1">
      <c r="A1" s="968" t="s">
        <v>431</v>
      </c>
      <c r="B1" s="969"/>
      <c r="C1" s="121" t="s">
        <v>432</v>
      </c>
      <c r="D1" s="982"/>
      <c r="E1" s="982"/>
      <c r="F1" s="982"/>
      <c r="G1" s="982"/>
      <c r="H1" s="982"/>
      <c r="I1" s="982"/>
      <c r="J1" s="982"/>
      <c r="K1" s="981" t="s">
        <v>433</v>
      </c>
      <c r="L1" s="981"/>
      <c r="M1" s="981"/>
      <c r="N1" s="981"/>
      <c r="O1" s="981"/>
      <c r="P1" s="983"/>
      <c r="Q1" s="984"/>
      <c r="R1" s="985"/>
      <c r="S1" s="116">
        <v>1</v>
      </c>
      <c r="T1" s="116">
        <v>2</v>
      </c>
      <c r="U1" s="116">
        <v>3</v>
      </c>
      <c r="V1" s="116">
        <v>4</v>
      </c>
      <c r="W1" s="116">
        <v>5</v>
      </c>
      <c r="X1" s="116">
        <v>6</v>
      </c>
      <c r="Y1" s="116">
        <v>7</v>
      </c>
      <c r="Z1" s="116">
        <v>8</v>
      </c>
      <c r="AA1" s="116">
        <v>9</v>
      </c>
      <c r="AB1" s="116">
        <v>10</v>
      </c>
      <c r="AC1" s="116">
        <v>11</v>
      </c>
      <c r="AD1" s="117">
        <v>12</v>
      </c>
    </row>
    <row r="2" spans="1:30" ht="20.100000000000001" customHeight="1">
      <c r="A2" s="976" t="s">
        <v>434</v>
      </c>
      <c r="B2" s="977"/>
      <c r="C2" s="977"/>
      <c r="D2" s="977"/>
      <c r="E2" s="977"/>
      <c r="F2" s="977"/>
      <c r="G2" s="977"/>
      <c r="H2" s="973">
        <f>Client</f>
        <v>0</v>
      </c>
      <c r="I2" s="973"/>
      <c r="J2" s="973"/>
      <c r="K2" s="973"/>
      <c r="L2" s="973"/>
      <c r="M2" s="973"/>
      <c r="N2" s="973"/>
      <c r="O2" s="973"/>
      <c r="P2" s="962" t="s">
        <v>435</v>
      </c>
      <c r="Q2" s="963"/>
      <c r="R2" s="963"/>
      <c r="S2" s="963"/>
      <c r="T2" s="963"/>
      <c r="U2" s="963"/>
      <c r="V2" s="963"/>
      <c r="W2" s="963"/>
      <c r="X2" s="963"/>
      <c r="Y2" s="963"/>
      <c r="Z2" s="963"/>
      <c r="AA2" s="963"/>
      <c r="AB2" s="963"/>
      <c r="AC2" s="963"/>
      <c r="AD2" s="964"/>
    </row>
    <row r="3" spans="1:30" ht="20.100000000000001" customHeight="1">
      <c r="A3" s="974" t="s">
        <v>436</v>
      </c>
      <c r="B3" s="975"/>
      <c r="C3" s="975"/>
      <c r="D3" s="975"/>
      <c r="E3" s="975"/>
      <c r="F3" s="975"/>
      <c r="G3" s="975"/>
      <c r="H3" s="905">
        <f>Interlocuteur</f>
        <v>0</v>
      </c>
      <c r="I3" s="905"/>
      <c r="J3" s="905"/>
      <c r="K3" s="905"/>
      <c r="L3" s="905"/>
      <c r="M3" s="905"/>
      <c r="N3" s="905"/>
      <c r="O3" s="905"/>
      <c r="P3" s="951" t="s">
        <v>346</v>
      </c>
      <c r="Q3" s="905"/>
      <c r="R3" s="905"/>
      <c r="S3" s="905"/>
      <c r="T3" s="905"/>
      <c r="U3" s="905"/>
      <c r="V3" s="905"/>
      <c r="W3" s="905"/>
      <c r="X3" s="119" t="s">
        <v>437</v>
      </c>
      <c r="Y3" s="905"/>
      <c r="Z3" s="905"/>
      <c r="AA3" s="905"/>
      <c r="AB3" s="905"/>
      <c r="AC3" s="905"/>
      <c r="AD3" s="952"/>
    </row>
    <row r="4" spans="1:30" ht="20.100000000000001" customHeight="1">
      <c r="A4" s="967" t="s">
        <v>438</v>
      </c>
      <c r="B4" s="960"/>
      <c r="C4" s="960"/>
      <c r="D4" s="960"/>
      <c r="E4" s="960"/>
      <c r="F4" s="960"/>
      <c r="G4" s="960"/>
      <c r="H4" s="960"/>
      <c r="I4" s="960"/>
      <c r="J4" s="960"/>
      <c r="K4" s="960"/>
      <c r="L4" s="960"/>
      <c r="M4" s="960"/>
      <c r="N4" s="960"/>
      <c r="O4" s="960"/>
      <c r="P4" s="948" t="s">
        <v>439</v>
      </c>
      <c r="Q4" s="949"/>
      <c r="R4" s="949"/>
      <c r="S4" s="949"/>
      <c r="T4" s="949"/>
      <c r="U4" s="949"/>
      <c r="V4" s="949"/>
      <c r="W4" s="949"/>
      <c r="X4" s="949"/>
      <c r="Y4" s="949"/>
      <c r="Z4" s="949"/>
      <c r="AA4" s="949"/>
      <c r="AB4" s="949"/>
      <c r="AC4" s="949"/>
      <c r="AD4" s="950"/>
    </row>
    <row r="5" spans="1:30" ht="20.100000000000001" customHeight="1">
      <c r="A5" s="965">
        <f>Projet!R11</f>
        <v>0</v>
      </c>
      <c r="B5" s="949"/>
      <c r="C5" s="949"/>
      <c r="D5" s="949"/>
      <c r="E5" s="949"/>
      <c r="F5" s="949"/>
      <c r="G5" s="949"/>
      <c r="H5" s="949"/>
      <c r="I5" s="949"/>
      <c r="J5" s="949"/>
      <c r="K5" s="949"/>
      <c r="L5" s="949"/>
      <c r="M5" s="949"/>
      <c r="N5" s="949"/>
      <c r="O5" s="949"/>
      <c r="P5" s="951" t="s">
        <v>346</v>
      </c>
      <c r="Q5" s="905"/>
      <c r="R5" s="905"/>
      <c r="S5" s="905"/>
      <c r="T5" s="905"/>
      <c r="U5" s="905"/>
      <c r="V5" s="905"/>
      <c r="W5" s="905"/>
      <c r="X5" s="119" t="s">
        <v>437</v>
      </c>
      <c r="Y5" s="905"/>
      <c r="Z5" s="905"/>
      <c r="AA5" s="905"/>
      <c r="AB5" s="905"/>
      <c r="AC5" s="905"/>
      <c r="AD5" s="952"/>
    </row>
    <row r="6" spans="1:30" ht="20.100000000000001" customHeight="1">
      <c r="A6" s="965">
        <f>Projet!R12</f>
        <v>0</v>
      </c>
      <c r="B6" s="949"/>
      <c r="C6" s="949"/>
      <c r="D6" s="949"/>
      <c r="E6" s="949"/>
      <c r="F6" s="949"/>
      <c r="G6" s="949"/>
      <c r="H6" s="949"/>
      <c r="I6" s="949"/>
      <c r="J6" s="949"/>
      <c r="K6" s="949"/>
      <c r="L6" s="949"/>
      <c r="M6" s="949"/>
      <c r="N6" s="949"/>
      <c r="O6" s="949"/>
      <c r="P6" s="948" t="s">
        <v>440</v>
      </c>
      <c r="Q6" s="949"/>
      <c r="R6" s="949"/>
      <c r="S6" s="949"/>
      <c r="T6" s="949"/>
      <c r="U6" s="949"/>
      <c r="V6" s="949"/>
      <c r="W6" s="949"/>
      <c r="X6" s="949"/>
      <c r="Y6" s="949"/>
      <c r="Z6" s="949"/>
      <c r="AA6" s="949"/>
      <c r="AB6" s="949"/>
      <c r="AC6" s="949"/>
      <c r="AD6" s="950"/>
    </row>
    <row r="7" spans="1:30" ht="20.100000000000001" customHeight="1">
      <c r="A7" s="965">
        <f>Projet!R13</f>
        <v>0</v>
      </c>
      <c r="B7" s="949"/>
      <c r="C7" s="949"/>
      <c r="D7" s="949"/>
      <c r="E7" s="949"/>
      <c r="F7" s="949"/>
      <c r="G7" s="949"/>
      <c r="H7" s="949"/>
      <c r="I7" s="949"/>
      <c r="J7" s="949"/>
      <c r="K7" s="949"/>
      <c r="L7" s="949"/>
      <c r="M7" s="949"/>
      <c r="N7" s="949"/>
      <c r="O7" s="949"/>
      <c r="P7" s="951" t="s">
        <v>346</v>
      </c>
      <c r="Q7" s="905"/>
      <c r="R7" s="905"/>
      <c r="S7" s="905"/>
      <c r="T7" s="905"/>
      <c r="U7" s="905"/>
      <c r="V7" s="905"/>
      <c r="W7" s="905"/>
      <c r="X7" s="119" t="s">
        <v>437</v>
      </c>
      <c r="Y7" s="905"/>
      <c r="Z7" s="905"/>
      <c r="AA7" s="905"/>
      <c r="AB7" s="905"/>
      <c r="AC7" s="905"/>
      <c r="AD7" s="952"/>
    </row>
    <row r="8" spans="1:30" ht="20.100000000000001" customHeight="1">
      <c r="A8" s="966">
        <f>Projet!R14</f>
        <v>0</v>
      </c>
      <c r="B8" s="905"/>
      <c r="C8" s="905"/>
      <c r="D8" s="905"/>
      <c r="E8" s="905">
        <f>Projet!X14</f>
        <v>0</v>
      </c>
      <c r="F8" s="905"/>
      <c r="G8" s="905"/>
      <c r="H8" s="905"/>
      <c r="I8" s="905"/>
      <c r="J8" s="905"/>
      <c r="K8" s="905"/>
      <c r="L8" s="905"/>
      <c r="M8" s="905"/>
      <c r="N8" s="905"/>
      <c r="O8" s="905"/>
      <c r="P8" s="953" t="s">
        <v>441</v>
      </c>
      <c r="Q8" s="954"/>
      <c r="R8" s="954"/>
      <c r="S8" s="954"/>
      <c r="T8" s="954"/>
      <c r="U8" s="954"/>
      <c r="V8" s="954"/>
      <c r="W8" s="954"/>
      <c r="X8" s="954"/>
      <c r="Y8" s="954"/>
      <c r="Z8" s="954"/>
      <c r="AA8" s="954"/>
      <c r="AB8" s="954"/>
      <c r="AC8" s="954"/>
      <c r="AD8" s="955"/>
    </row>
    <row r="9" spans="1:30" ht="20.100000000000001" customHeight="1">
      <c r="A9" s="967" t="s">
        <v>442</v>
      </c>
      <c r="B9" s="960"/>
      <c r="C9" s="960"/>
      <c r="D9" s="960"/>
      <c r="E9" s="960"/>
      <c r="F9" s="960"/>
      <c r="G9" s="960"/>
      <c r="H9" s="960"/>
      <c r="I9" s="960"/>
      <c r="J9" s="960"/>
      <c r="K9" s="960"/>
      <c r="L9" s="960"/>
      <c r="M9" s="960"/>
      <c r="N9" s="960"/>
      <c r="O9" s="960"/>
      <c r="P9" s="953"/>
      <c r="Q9" s="954"/>
      <c r="R9" s="954"/>
      <c r="S9" s="954"/>
      <c r="T9" s="954"/>
      <c r="U9" s="954"/>
      <c r="V9" s="954"/>
      <c r="W9" s="954"/>
      <c r="X9" s="954"/>
      <c r="Y9" s="954"/>
      <c r="Z9" s="954"/>
      <c r="AA9" s="954"/>
      <c r="AB9" s="954"/>
      <c r="AC9" s="954"/>
      <c r="AD9" s="955"/>
    </row>
    <row r="10" spans="1:30" ht="20.100000000000001" customHeight="1">
      <c r="A10" s="965">
        <f>Projet!R16</f>
        <v>0</v>
      </c>
      <c r="B10" s="949"/>
      <c r="C10" s="949"/>
      <c r="D10" s="949"/>
      <c r="E10" s="949"/>
      <c r="F10" s="949"/>
      <c r="G10" s="949"/>
      <c r="H10" s="949"/>
      <c r="I10" s="949"/>
      <c r="J10" s="949"/>
      <c r="K10" s="949"/>
      <c r="L10" s="949"/>
      <c r="M10" s="949"/>
      <c r="N10" s="949"/>
      <c r="O10" s="949"/>
      <c r="P10" s="953"/>
      <c r="Q10" s="954"/>
      <c r="R10" s="954"/>
      <c r="S10" s="954"/>
      <c r="T10" s="954"/>
      <c r="U10" s="954"/>
      <c r="V10" s="954"/>
      <c r="W10" s="954"/>
      <c r="X10" s="954"/>
      <c r="Y10" s="954"/>
      <c r="Z10" s="954"/>
      <c r="AA10" s="954"/>
      <c r="AB10" s="954"/>
      <c r="AC10" s="954"/>
      <c r="AD10" s="955"/>
    </row>
    <row r="11" spans="1:30" ht="20.100000000000001" customHeight="1">
      <c r="A11" s="965">
        <f>Projet!R17</f>
        <v>0</v>
      </c>
      <c r="B11" s="949"/>
      <c r="C11" s="949"/>
      <c r="D11" s="949"/>
      <c r="E11" s="949"/>
      <c r="F11" s="949"/>
      <c r="G11" s="949"/>
      <c r="H11" s="949"/>
      <c r="I11" s="949"/>
      <c r="J11" s="949"/>
      <c r="K11" s="949"/>
      <c r="L11" s="949"/>
      <c r="M11" s="949"/>
      <c r="N11" s="949"/>
      <c r="O11" s="949"/>
      <c r="P11" s="953"/>
      <c r="Q11" s="954"/>
      <c r="R11" s="954"/>
      <c r="S11" s="954"/>
      <c r="T11" s="954"/>
      <c r="U11" s="954"/>
      <c r="V11" s="954"/>
      <c r="W11" s="954"/>
      <c r="X11" s="954"/>
      <c r="Y11" s="954"/>
      <c r="Z11" s="954"/>
      <c r="AA11" s="954"/>
      <c r="AB11" s="954"/>
      <c r="AC11" s="954"/>
      <c r="AD11" s="955"/>
    </row>
    <row r="12" spans="1:30" ht="20.100000000000001" customHeight="1">
      <c r="A12" s="965">
        <f>Projet!R18</f>
        <v>0</v>
      </c>
      <c r="B12" s="949"/>
      <c r="C12" s="949"/>
      <c r="D12" s="949"/>
      <c r="E12" s="949"/>
      <c r="F12" s="949"/>
      <c r="G12" s="949"/>
      <c r="H12" s="949"/>
      <c r="I12" s="949"/>
      <c r="J12" s="949"/>
      <c r="K12" s="949"/>
      <c r="L12" s="949"/>
      <c r="M12" s="949"/>
      <c r="N12" s="949"/>
      <c r="O12" s="949"/>
      <c r="P12" s="953"/>
      <c r="Q12" s="954"/>
      <c r="R12" s="954"/>
      <c r="S12" s="954"/>
      <c r="T12" s="954"/>
      <c r="U12" s="954"/>
      <c r="V12" s="954"/>
      <c r="W12" s="954"/>
      <c r="X12" s="954"/>
      <c r="Y12" s="954"/>
      <c r="Z12" s="954"/>
      <c r="AA12" s="954"/>
      <c r="AB12" s="954"/>
      <c r="AC12" s="954"/>
      <c r="AD12" s="955"/>
    </row>
    <row r="13" spans="1:30" ht="20.100000000000001" customHeight="1">
      <c r="A13" s="966">
        <f>Projet!R19</f>
        <v>0</v>
      </c>
      <c r="B13" s="905"/>
      <c r="C13" s="905"/>
      <c r="D13" s="905"/>
      <c r="E13" s="905">
        <f>Projet!X19</f>
        <v>0</v>
      </c>
      <c r="F13" s="905"/>
      <c r="G13" s="905"/>
      <c r="H13" s="905"/>
      <c r="I13" s="905"/>
      <c r="J13" s="905"/>
      <c r="K13" s="905"/>
      <c r="L13" s="905"/>
      <c r="M13" s="905"/>
      <c r="N13" s="905"/>
      <c r="O13" s="905"/>
      <c r="P13" s="956"/>
      <c r="Q13" s="957"/>
      <c r="R13" s="957"/>
      <c r="S13" s="957"/>
      <c r="T13" s="957"/>
      <c r="U13" s="957"/>
      <c r="V13" s="957"/>
      <c r="W13" s="957"/>
      <c r="X13" s="957"/>
      <c r="Y13" s="957"/>
      <c r="Z13" s="957"/>
      <c r="AA13" s="957"/>
      <c r="AB13" s="957"/>
      <c r="AC13" s="957"/>
      <c r="AD13" s="958"/>
    </row>
    <row r="14" spans="1:30" ht="20.100000000000001" customHeight="1">
      <c r="A14" s="967" t="s">
        <v>443</v>
      </c>
      <c r="B14" s="960"/>
      <c r="C14" s="960"/>
      <c r="D14" s="960"/>
      <c r="E14" s="960"/>
      <c r="F14" s="960"/>
      <c r="G14" s="960"/>
      <c r="H14" s="960"/>
      <c r="I14" s="960"/>
      <c r="J14" s="960"/>
      <c r="K14" s="960"/>
      <c r="L14" s="960"/>
      <c r="M14" s="960"/>
      <c r="N14" s="960"/>
      <c r="O14" s="960"/>
      <c r="P14" s="959" t="s">
        <v>444</v>
      </c>
      <c r="Q14" s="960"/>
      <c r="R14" s="960"/>
      <c r="S14" s="960"/>
      <c r="T14" s="960"/>
      <c r="U14" s="960"/>
      <c r="V14" s="960"/>
      <c r="W14" s="960"/>
      <c r="X14" s="960"/>
      <c r="Y14" s="960"/>
      <c r="Z14" s="960"/>
      <c r="AA14" s="960"/>
      <c r="AB14" s="960"/>
      <c r="AC14" s="960"/>
      <c r="AD14" s="961"/>
    </row>
    <row r="15" spans="1:30" ht="35.1" customHeight="1" thickBot="1">
      <c r="A15" s="944" t="s">
        <v>424</v>
      </c>
      <c r="B15" s="936"/>
      <c r="C15" s="945">
        <v>44573</v>
      </c>
      <c r="D15" s="946"/>
      <c r="E15" s="946"/>
      <c r="F15" s="946"/>
      <c r="G15" s="946"/>
      <c r="H15" s="936" t="s">
        <v>445</v>
      </c>
      <c r="I15" s="936"/>
      <c r="J15" s="936"/>
      <c r="K15" s="936"/>
      <c r="L15" s="936"/>
      <c r="M15" s="936"/>
      <c r="N15" s="936"/>
      <c r="O15" s="936"/>
      <c r="P15" s="947" t="s">
        <v>424</v>
      </c>
      <c r="Q15" s="936"/>
      <c r="R15" s="945">
        <v>44573</v>
      </c>
      <c r="S15" s="946"/>
      <c r="T15" s="946"/>
      <c r="U15" s="946"/>
      <c r="V15" s="946"/>
      <c r="W15" s="936" t="s">
        <v>445</v>
      </c>
      <c r="X15" s="936"/>
      <c r="Y15" s="936"/>
      <c r="Z15" s="936"/>
      <c r="AA15" s="936"/>
      <c r="AB15" s="936"/>
      <c r="AC15" s="936"/>
      <c r="AD15" s="937"/>
    </row>
    <row r="16" spans="1:30" ht="15" customHeight="1" thickBot="1">
      <c r="A16"/>
    </row>
    <row r="17" spans="1:30" ht="39.950000000000003" customHeight="1" thickBot="1">
      <c r="A17" s="968" t="s">
        <v>446</v>
      </c>
      <c r="B17" s="969"/>
      <c r="C17" s="121" t="s">
        <v>432</v>
      </c>
      <c r="D17" s="982"/>
      <c r="E17" s="982"/>
      <c r="F17" s="982"/>
      <c r="G17" s="982"/>
      <c r="H17" s="982"/>
      <c r="I17" s="982"/>
      <c r="J17" s="982"/>
      <c r="K17" s="970" t="s">
        <v>447</v>
      </c>
      <c r="L17" s="971"/>
      <c r="M17" s="971"/>
      <c r="N17" s="971"/>
      <c r="O17" s="971"/>
      <c r="P17" s="971"/>
      <c r="Q17" s="971"/>
      <c r="R17" s="972"/>
      <c r="S17" s="116">
        <v>1</v>
      </c>
      <c r="T17" s="116">
        <v>2</v>
      </c>
      <c r="U17" s="116">
        <v>3</v>
      </c>
      <c r="V17" s="116">
        <v>4</v>
      </c>
      <c r="W17" s="116">
        <v>5</v>
      </c>
      <c r="X17" s="116">
        <v>6</v>
      </c>
      <c r="Y17" s="116">
        <v>7</v>
      </c>
      <c r="Z17" s="116">
        <v>8</v>
      </c>
      <c r="AA17" s="116">
        <v>9</v>
      </c>
      <c r="AB17" s="116">
        <v>10</v>
      </c>
      <c r="AC17" s="116">
        <v>11</v>
      </c>
      <c r="AD17" s="117">
        <v>12</v>
      </c>
    </row>
    <row r="18" spans="1:30" ht="20.100000000000001" customHeight="1">
      <c r="A18" s="976" t="s">
        <v>434</v>
      </c>
      <c r="B18" s="977"/>
      <c r="C18" s="977"/>
      <c r="D18" s="977"/>
      <c r="E18" s="977"/>
      <c r="F18" s="977"/>
      <c r="G18" s="977"/>
      <c r="H18" s="973">
        <f>Client</f>
        <v>0</v>
      </c>
      <c r="I18" s="973"/>
      <c r="J18" s="973"/>
      <c r="K18" s="973"/>
      <c r="L18" s="973"/>
      <c r="M18" s="973"/>
      <c r="N18" s="973"/>
      <c r="O18" s="973"/>
      <c r="P18" s="962" t="s">
        <v>435</v>
      </c>
      <c r="Q18" s="963"/>
      <c r="R18" s="963"/>
      <c r="S18" s="963"/>
      <c r="T18" s="963"/>
      <c r="U18" s="963"/>
      <c r="V18" s="963"/>
      <c r="W18" s="963"/>
      <c r="X18" s="963"/>
      <c r="Y18" s="963"/>
      <c r="Z18" s="963"/>
      <c r="AA18" s="963"/>
      <c r="AB18" s="963"/>
      <c r="AC18" s="963"/>
      <c r="AD18" s="964"/>
    </row>
    <row r="19" spans="1:30" ht="20.100000000000001" customHeight="1">
      <c r="A19" s="974" t="s">
        <v>436</v>
      </c>
      <c r="B19" s="975"/>
      <c r="C19" s="975"/>
      <c r="D19" s="975"/>
      <c r="E19" s="975"/>
      <c r="F19" s="975"/>
      <c r="G19" s="975"/>
      <c r="H19" s="905">
        <f>Interlocuteur</f>
        <v>0</v>
      </c>
      <c r="I19" s="905"/>
      <c r="J19" s="905"/>
      <c r="K19" s="905"/>
      <c r="L19" s="905"/>
      <c r="M19" s="905"/>
      <c r="N19" s="905"/>
      <c r="O19" s="905"/>
      <c r="P19" s="951" t="s">
        <v>346</v>
      </c>
      <c r="Q19" s="905"/>
      <c r="R19" s="905">
        <f>R3</f>
        <v>0</v>
      </c>
      <c r="S19" s="905"/>
      <c r="T19" s="905"/>
      <c r="U19" s="905"/>
      <c r="V19" s="905"/>
      <c r="W19" s="905"/>
      <c r="X19" s="119" t="s">
        <v>437</v>
      </c>
      <c r="Y19" s="905">
        <f>Y3</f>
        <v>0</v>
      </c>
      <c r="Z19" s="905"/>
      <c r="AA19" s="905"/>
      <c r="AB19" s="905"/>
      <c r="AC19" s="905"/>
      <c r="AD19" s="952"/>
    </row>
    <row r="20" spans="1:30" ht="20.100000000000001" customHeight="1">
      <c r="A20" s="967" t="s">
        <v>438</v>
      </c>
      <c r="B20" s="960"/>
      <c r="C20" s="960"/>
      <c r="D20" s="960"/>
      <c r="E20" s="960"/>
      <c r="F20" s="960"/>
      <c r="G20" s="960"/>
      <c r="H20" s="960"/>
      <c r="I20" s="960"/>
      <c r="J20" s="960"/>
      <c r="K20" s="960"/>
      <c r="L20" s="960"/>
      <c r="M20" s="960"/>
      <c r="N20" s="960"/>
      <c r="O20" s="960"/>
      <c r="P20" s="948" t="s">
        <v>439</v>
      </c>
      <c r="Q20" s="949"/>
      <c r="R20" s="949"/>
      <c r="S20" s="949"/>
      <c r="T20" s="949"/>
      <c r="U20" s="949"/>
      <c r="V20" s="949"/>
      <c r="W20" s="949"/>
      <c r="X20" s="949"/>
      <c r="Y20" s="949"/>
      <c r="Z20" s="949"/>
      <c r="AA20" s="949"/>
      <c r="AB20" s="949"/>
      <c r="AC20" s="949"/>
      <c r="AD20" s="950"/>
    </row>
    <row r="21" spans="1:30" ht="20.100000000000001" customHeight="1">
      <c r="A21" s="965">
        <f>Projet!R28</f>
        <v>0</v>
      </c>
      <c r="B21" s="949"/>
      <c r="C21" s="949"/>
      <c r="D21" s="949"/>
      <c r="E21" s="949"/>
      <c r="F21" s="949"/>
      <c r="G21" s="949"/>
      <c r="H21" s="949"/>
      <c r="I21" s="949"/>
      <c r="J21" s="949"/>
      <c r="K21" s="949"/>
      <c r="L21" s="949"/>
      <c r="M21" s="949"/>
      <c r="N21" s="949"/>
      <c r="O21" s="949"/>
      <c r="P21" s="951" t="s">
        <v>346</v>
      </c>
      <c r="Q21" s="905"/>
      <c r="R21" s="905">
        <f>R5</f>
        <v>0</v>
      </c>
      <c r="S21" s="905"/>
      <c r="T21" s="905"/>
      <c r="U21" s="905"/>
      <c r="V21" s="905"/>
      <c r="W21" s="905"/>
      <c r="X21" s="119" t="s">
        <v>437</v>
      </c>
      <c r="Y21" s="905">
        <f>Y5</f>
        <v>0</v>
      </c>
      <c r="Z21" s="905"/>
      <c r="AA21" s="905"/>
      <c r="AB21" s="905"/>
      <c r="AC21" s="905"/>
      <c r="AD21" s="952"/>
    </row>
    <row r="22" spans="1:30" ht="20.100000000000001" customHeight="1">
      <c r="A22" s="965">
        <f>Projet!R29</f>
        <v>0</v>
      </c>
      <c r="B22" s="949"/>
      <c r="C22" s="949"/>
      <c r="D22" s="949"/>
      <c r="E22" s="949"/>
      <c r="F22" s="949"/>
      <c r="G22" s="949"/>
      <c r="H22" s="949"/>
      <c r="I22" s="949"/>
      <c r="J22" s="949"/>
      <c r="K22" s="949"/>
      <c r="L22" s="949"/>
      <c r="M22" s="949"/>
      <c r="N22" s="949"/>
      <c r="O22" s="949"/>
      <c r="P22" s="948" t="s">
        <v>440</v>
      </c>
      <c r="Q22" s="949"/>
      <c r="R22" s="949"/>
      <c r="S22" s="949"/>
      <c r="T22" s="949"/>
      <c r="U22" s="949"/>
      <c r="V22" s="949"/>
      <c r="W22" s="949"/>
      <c r="X22" s="949"/>
      <c r="Y22" s="949"/>
      <c r="Z22" s="949"/>
      <c r="AA22" s="949"/>
      <c r="AB22" s="949"/>
      <c r="AC22" s="949"/>
      <c r="AD22" s="950"/>
    </row>
    <row r="23" spans="1:30" ht="20.100000000000001" customHeight="1">
      <c r="A23" s="965">
        <f>Projet!R30</f>
        <v>0</v>
      </c>
      <c r="B23" s="949"/>
      <c r="C23" s="949"/>
      <c r="D23" s="949"/>
      <c r="E23" s="949"/>
      <c r="F23" s="949"/>
      <c r="G23" s="949"/>
      <c r="H23" s="949"/>
      <c r="I23" s="949"/>
      <c r="J23" s="949"/>
      <c r="K23" s="949"/>
      <c r="L23" s="949"/>
      <c r="M23" s="949"/>
      <c r="N23" s="949"/>
      <c r="O23" s="949"/>
      <c r="P23" s="951" t="s">
        <v>346</v>
      </c>
      <c r="Q23" s="905"/>
      <c r="R23" s="905">
        <f>R7</f>
        <v>0</v>
      </c>
      <c r="S23" s="905"/>
      <c r="T23" s="905"/>
      <c r="U23" s="905"/>
      <c r="V23" s="905"/>
      <c r="W23" s="905"/>
      <c r="X23" s="119" t="s">
        <v>437</v>
      </c>
      <c r="Y23" s="905">
        <f>Y7</f>
        <v>0</v>
      </c>
      <c r="Z23" s="905"/>
      <c r="AA23" s="905"/>
      <c r="AB23" s="905"/>
      <c r="AC23" s="905"/>
      <c r="AD23" s="952"/>
    </row>
    <row r="24" spans="1:30" ht="20.100000000000001" customHeight="1">
      <c r="A24" s="966">
        <f>Projet!R31</f>
        <v>0</v>
      </c>
      <c r="B24" s="905"/>
      <c r="C24" s="905"/>
      <c r="D24" s="905"/>
      <c r="E24" s="905">
        <f>Projet!X31</f>
        <v>0</v>
      </c>
      <c r="F24" s="905"/>
      <c r="G24" s="905"/>
      <c r="H24" s="905"/>
      <c r="I24" s="905"/>
      <c r="J24" s="905"/>
      <c r="K24" s="905"/>
      <c r="L24" s="905"/>
      <c r="M24" s="905"/>
      <c r="N24" s="905"/>
      <c r="O24" s="905"/>
      <c r="P24" s="953" t="s">
        <v>441</v>
      </c>
      <c r="Q24" s="954"/>
      <c r="R24" s="954"/>
      <c r="S24" s="954"/>
      <c r="T24" s="954"/>
      <c r="U24" s="954"/>
      <c r="V24" s="954"/>
      <c r="W24" s="954"/>
      <c r="X24" s="954"/>
      <c r="Y24" s="954"/>
      <c r="Z24" s="954"/>
      <c r="AA24" s="954"/>
      <c r="AB24" s="954"/>
      <c r="AC24" s="954"/>
      <c r="AD24" s="955"/>
    </row>
    <row r="25" spans="1:30" ht="20.100000000000001" customHeight="1">
      <c r="A25" s="967" t="s">
        <v>442</v>
      </c>
      <c r="B25" s="960"/>
      <c r="C25" s="960"/>
      <c r="D25" s="960"/>
      <c r="E25" s="960"/>
      <c r="F25" s="960"/>
      <c r="G25" s="960"/>
      <c r="H25" s="960"/>
      <c r="I25" s="960"/>
      <c r="J25" s="960"/>
      <c r="K25" s="960"/>
      <c r="L25" s="960"/>
      <c r="M25" s="960"/>
      <c r="N25" s="960"/>
      <c r="O25" s="960"/>
      <c r="P25" s="953"/>
      <c r="Q25" s="954"/>
      <c r="R25" s="954"/>
      <c r="S25" s="954"/>
      <c r="T25" s="954"/>
      <c r="U25" s="954"/>
      <c r="V25" s="954"/>
      <c r="W25" s="954"/>
      <c r="X25" s="954"/>
      <c r="Y25" s="954"/>
      <c r="Z25" s="954"/>
      <c r="AA25" s="954"/>
      <c r="AB25" s="954"/>
      <c r="AC25" s="954"/>
      <c r="AD25" s="955"/>
    </row>
    <row r="26" spans="1:30" ht="20.100000000000001" customHeight="1">
      <c r="A26" s="965">
        <f>Projet!R33</f>
        <v>0</v>
      </c>
      <c r="B26" s="949"/>
      <c r="C26" s="949"/>
      <c r="D26" s="949"/>
      <c r="E26" s="949"/>
      <c r="F26" s="949"/>
      <c r="G26" s="949"/>
      <c r="H26" s="949"/>
      <c r="I26" s="949"/>
      <c r="J26" s="949"/>
      <c r="K26" s="949"/>
      <c r="L26" s="949"/>
      <c r="M26" s="949"/>
      <c r="N26" s="949"/>
      <c r="O26" s="949"/>
      <c r="P26" s="953"/>
      <c r="Q26" s="954"/>
      <c r="R26" s="954"/>
      <c r="S26" s="954"/>
      <c r="T26" s="954"/>
      <c r="U26" s="954"/>
      <c r="V26" s="954"/>
      <c r="W26" s="954"/>
      <c r="X26" s="954"/>
      <c r="Y26" s="954"/>
      <c r="Z26" s="954"/>
      <c r="AA26" s="954"/>
      <c r="AB26" s="954"/>
      <c r="AC26" s="954"/>
      <c r="AD26" s="955"/>
    </row>
    <row r="27" spans="1:30" ht="20.100000000000001" customHeight="1">
      <c r="A27" s="965">
        <f>Projet!R34</f>
        <v>0</v>
      </c>
      <c r="B27" s="949"/>
      <c r="C27" s="949"/>
      <c r="D27" s="949"/>
      <c r="E27" s="949"/>
      <c r="F27" s="949"/>
      <c r="G27" s="949"/>
      <c r="H27" s="949"/>
      <c r="I27" s="949"/>
      <c r="J27" s="949"/>
      <c r="K27" s="949"/>
      <c r="L27" s="949"/>
      <c r="M27" s="949"/>
      <c r="N27" s="949"/>
      <c r="O27" s="949"/>
      <c r="P27" s="953"/>
      <c r="Q27" s="954"/>
      <c r="R27" s="954"/>
      <c r="S27" s="954"/>
      <c r="T27" s="954"/>
      <c r="U27" s="954"/>
      <c r="V27" s="954"/>
      <c r="W27" s="954"/>
      <c r="X27" s="954"/>
      <c r="Y27" s="954"/>
      <c r="Z27" s="954"/>
      <c r="AA27" s="954"/>
      <c r="AB27" s="954"/>
      <c r="AC27" s="954"/>
      <c r="AD27" s="955"/>
    </row>
    <row r="28" spans="1:30" ht="20.100000000000001" customHeight="1">
      <c r="A28" s="965">
        <f>Projet!R35</f>
        <v>0</v>
      </c>
      <c r="B28" s="949"/>
      <c r="C28" s="949"/>
      <c r="D28" s="949"/>
      <c r="E28" s="949"/>
      <c r="F28" s="949"/>
      <c r="G28" s="949"/>
      <c r="H28" s="949"/>
      <c r="I28" s="949"/>
      <c r="J28" s="949"/>
      <c r="K28" s="949"/>
      <c r="L28" s="949"/>
      <c r="M28" s="949"/>
      <c r="N28" s="949"/>
      <c r="O28" s="949"/>
      <c r="P28" s="953"/>
      <c r="Q28" s="954"/>
      <c r="R28" s="954"/>
      <c r="S28" s="954"/>
      <c r="T28" s="954"/>
      <c r="U28" s="954"/>
      <c r="V28" s="954"/>
      <c r="W28" s="954"/>
      <c r="X28" s="954"/>
      <c r="Y28" s="954"/>
      <c r="Z28" s="954"/>
      <c r="AA28" s="954"/>
      <c r="AB28" s="954"/>
      <c r="AC28" s="954"/>
      <c r="AD28" s="955"/>
    </row>
    <row r="29" spans="1:30" ht="20.100000000000001" customHeight="1">
      <c r="A29" s="966">
        <f>Projet!R36</f>
        <v>0</v>
      </c>
      <c r="B29" s="905"/>
      <c r="C29" s="905"/>
      <c r="D29" s="905"/>
      <c r="E29" s="905">
        <f>Projet!X36</f>
        <v>0</v>
      </c>
      <c r="F29" s="905"/>
      <c r="G29" s="905"/>
      <c r="H29" s="905"/>
      <c r="I29" s="905"/>
      <c r="J29" s="905"/>
      <c r="K29" s="905"/>
      <c r="L29" s="905"/>
      <c r="M29" s="905"/>
      <c r="N29" s="905"/>
      <c r="O29" s="905"/>
      <c r="P29" s="956"/>
      <c r="Q29" s="957"/>
      <c r="R29" s="957"/>
      <c r="S29" s="957"/>
      <c r="T29" s="957"/>
      <c r="U29" s="957"/>
      <c r="V29" s="957"/>
      <c r="W29" s="957"/>
      <c r="X29" s="957"/>
      <c r="Y29" s="957"/>
      <c r="Z29" s="957"/>
      <c r="AA29" s="957"/>
      <c r="AB29" s="957"/>
      <c r="AC29" s="957"/>
      <c r="AD29" s="958"/>
    </row>
    <row r="30" spans="1:30" ht="20.100000000000001" customHeight="1">
      <c r="A30" s="967" t="s">
        <v>443</v>
      </c>
      <c r="B30" s="960"/>
      <c r="C30" s="960"/>
      <c r="D30" s="960"/>
      <c r="E30" s="960"/>
      <c r="F30" s="960"/>
      <c r="G30" s="960"/>
      <c r="H30" s="960"/>
      <c r="I30" s="960"/>
      <c r="J30" s="960"/>
      <c r="K30" s="960"/>
      <c r="L30" s="960"/>
      <c r="M30" s="960"/>
      <c r="N30" s="960"/>
      <c r="O30" s="960"/>
      <c r="P30" s="959" t="s">
        <v>444</v>
      </c>
      <c r="Q30" s="960"/>
      <c r="R30" s="960"/>
      <c r="S30" s="960"/>
      <c r="T30" s="960"/>
      <c r="U30" s="960"/>
      <c r="V30" s="960"/>
      <c r="W30" s="960"/>
      <c r="X30" s="960"/>
      <c r="Y30" s="960"/>
      <c r="Z30" s="960"/>
      <c r="AA30" s="960"/>
      <c r="AB30" s="960"/>
      <c r="AC30" s="960"/>
      <c r="AD30" s="961"/>
    </row>
    <row r="31" spans="1:30" ht="35.1" customHeight="1" thickBot="1">
      <c r="A31" s="944" t="s">
        <v>424</v>
      </c>
      <c r="B31" s="936"/>
      <c r="C31" s="945">
        <v>44573</v>
      </c>
      <c r="D31" s="946"/>
      <c r="E31" s="946"/>
      <c r="F31" s="946"/>
      <c r="G31" s="946"/>
      <c r="H31" s="936" t="s">
        <v>445</v>
      </c>
      <c r="I31" s="936"/>
      <c r="J31" s="936"/>
      <c r="K31" s="936"/>
      <c r="L31" s="936"/>
      <c r="M31" s="936"/>
      <c r="N31" s="936"/>
      <c r="O31" s="936"/>
      <c r="P31" s="947" t="s">
        <v>424</v>
      </c>
      <c r="Q31" s="936"/>
      <c r="R31" s="945">
        <v>44573</v>
      </c>
      <c r="S31" s="946"/>
      <c r="T31" s="946"/>
      <c r="U31" s="946"/>
      <c r="V31" s="946"/>
      <c r="W31" s="936" t="s">
        <v>445</v>
      </c>
      <c r="X31" s="936"/>
      <c r="Y31" s="936"/>
      <c r="Z31" s="936"/>
      <c r="AA31" s="936"/>
      <c r="AB31" s="936"/>
      <c r="AC31" s="936"/>
      <c r="AD31" s="937"/>
    </row>
    <row r="32" spans="1:30" ht="15" customHeight="1" thickBot="1">
      <c r="A32"/>
    </row>
    <row r="33" spans="1:30" ht="39.950000000000003" customHeight="1" thickBot="1">
      <c r="A33" s="968" t="s">
        <v>448</v>
      </c>
      <c r="B33" s="969"/>
      <c r="C33" s="121" t="s">
        <v>432</v>
      </c>
      <c r="D33" s="978">
        <f>D17</f>
        <v>0</v>
      </c>
      <c r="E33" s="979"/>
      <c r="F33" s="979"/>
      <c r="G33" s="979"/>
      <c r="H33" s="979"/>
      <c r="I33" s="980"/>
      <c r="J33" s="970" t="s">
        <v>449</v>
      </c>
      <c r="K33" s="971"/>
      <c r="L33" s="971"/>
      <c r="M33" s="971"/>
      <c r="N33" s="971"/>
      <c r="O33" s="971"/>
      <c r="P33" s="971"/>
      <c r="Q33" s="971"/>
      <c r="R33" s="972"/>
      <c r="S33" s="116">
        <v>1</v>
      </c>
      <c r="T33" s="116">
        <v>2</v>
      </c>
      <c r="U33" s="116">
        <v>3</v>
      </c>
      <c r="V33" s="116">
        <v>4</v>
      </c>
      <c r="W33" s="116">
        <v>5</v>
      </c>
      <c r="X33" s="116">
        <v>6</v>
      </c>
      <c r="Y33" s="116">
        <v>7</v>
      </c>
      <c r="Z33" s="116">
        <v>8</v>
      </c>
      <c r="AA33" s="116">
        <v>9</v>
      </c>
      <c r="AB33" s="116">
        <v>10</v>
      </c>
      <c r="AC33" s="116">
        <v>11</v>
      </c>
      <c r="AD33" s="117">
        <v>12</v>
      </c>
    </row>
    <row r="34" spans="1:30" ht="20.100000000000001" customHeight="1">
      <c r="A34" s="938" t="s">
        <v>450</v>
      </c>
      <c r="B34" s="939"/>
      <c r="C34" s="939"/>
      <c r="D34" s="939"/>
      <c r="E34" s="939"/>
      <c r="F34" s="939"/>
      <c r="G34" s="939"/>
      <c r="H34" s="939"/>
      <c r="I34" s="939"/>
      <c r="J34" s="939"/>
      <c r="K34" s="939"/>
      <c r="L34" s="939"/>
      <c r="M34" s="939"/>
      <c r="N34" s="939"/>
      <c r="O34" s="940"/>
      <c r="P34" s="962" t="s">
        <v>435</v>
      </c>
      <c r="Q34" s="963"/>
      <c r="R34" s="963"/>
      <c r="S34" s="963"/>
      <c r="T34" s="963"/>
      <c r="U34" s="963"/>
      <c r="V34" s="963"/>
      <c r="W34" s="963"/>
      <c r="X34" s="963"/>
      <c r="Y34" s="963"/>
      <c r="Z34" s="963"/>
      <c r="AA34" s="963"/>
      <c r="AB34" s="963"/>
      <c r="AC34" s="963"/>
      <c r="AD34" s="964"/>
    </row>
    <row r="35" spans="1:30" ht="20.100000000000001" customHeight="1">
      <c r="A35" s="941"/>
      <c r="B35" s="942"/>
      <c r="C35" s="942"/>
      <c r="D35" s="942"/>
      <c r="E35" s="942"/>
      <c r="F35" s="942"/>
      <c r="G35" s="942"/>
      <c r="H35" s="942"/>
      <c r="I35" s="942"/>
      <c r="J35" s="942"/>
      <c r="K35" s="942"/>
      <c r="L35" s="942"/>
      <c r="M35" s="942"/>
      <c r="N35" s="942"/>
      <c r="O35" s="943"/>
      <c r="P35" s="951" t="s">
        <v>346</v>
      </c>
      <c r="Q35" s="905"/>
      <c r="R35" s="905">
        <f>R19</f>
        <v>0</v>
      </c>
      <c r="S35" s="905"/>
      <c r="T35" s="905"/>
      <c r="U35" s="905"/>
      <c r="V35" s="905"/>
      <c r="W35" s="905"/>
      <c r="X35" s="119" t="s">
        <v>437</v>
      </c>
      <c r="Y35" s="905">
        <f>Y19</f>
        <v>0</v>
      </c>
      <c r="Z35" s="905"/>
      <c r="AA35" s="905"/>
      <c r="AB35" s="905"/>
      <c r="AC35" s="905"/>
      <c r="AD35" s="952"/>
    </row>
    <row r="36" spans="1:30" ht="20.100000000000001" customHeight="1">
      <c r="A36" s="941"/>
      <c r="B36" s="942"/>
      <c r="C36" s="942"/>
      <c r="D36" s="942"/>
      <c r="E36" s="942"/>
      <c r="F36" s="942"/>
      <c r="G36" s="942"/>
      <c r="H36" s="942"/>
      <c r="I36" s="942"/>
      <c r="J36" s="942"/>
      <c r="K36" s="942"/>
      <c r="L36" s="942"/>
      <c r="M36" s="942"/>
      <c r="N36" s="942"/>
      <c r="O36" s="943"/>
      <c r="P36" s="948" t="s">
        <v>439</v>
      </c>
      <c r="Q36" s="949"/>
      <c r="R36" s="949"/>
      <c r="S36" s="949"/>
      <c r="T36" s="949"/>
      <c r="U36" s="949"/>
      <c r="V36" s="949"/>
      <c r="W36" s="949"/>
      <c r="X36" s="949"/>
      <c r="Y36" s="949"/>
      <c r="Z36" s="949"/>
      <c r="AA36" s="949"/>
      <c r="AB36" s="949"/>
      <c r="AC36" s="949"/>
      <c r="AD36" s="950"/>
    </row>
    <row r="37" spans="1:30" ht="20.100000000000001" customHeight="1">
      <c r="A37" s="941"/>
      <c r="B37" s="942"/>
      <c r="C37" s="942"/>
      <c r="D37" s="942"/>
      <c r="E37" s="942"/>
      <c r="F37" s="942"/>
      <c r="G37" s="942"/>
      <c r="H37" s="942"/>
      <c r="I37" s="942"/>
      <c r="J37" s="942"/>
      <c r="K37" s="942"/>
      <c r="L37" s="942"/>
      <c r="M37" s="942"/>
      <c r="N37" s="942"/>
      <c r="O37" s="943"/>
      <c r="P37" s="951" t="s">
        <v>346</v>
      </c>
      <c r="Q37" s="905"/>
      <c r="R37" s="905">
        <f>R21</f>
        <v>0</v>
      </c>
      <c r="S37" s="905"/>
      <c r="T37" s="905"/>
      <c r="U37" s="905"/>
      <c r="V37" s="905"/>
      <c r="W37" s="905"/>
      <c r="X37" s="119" t="s">
        <v>437</v>
      </c>
      <c r="Y37" s="905">
        <f>Y21</f>
        <v>0</v>
      </c>
      <c r="Z37" s="905"/>
      <c r="AA37" s="905"/>
      <c r="AB37" s="905"/>
      <c r="AC37" s="905"/>
      <c r="AD37" s="952"/>
    </row>
    <row r="38" spans="1:30" ht="20.100000000000001" customHeight="1">
      <c r="A38" s="941"/>
      <c r="B38" s="942"/>
      <c r="C38" s="942"/>
      <c r="D38" s="942"/>
      <c r="E38" s="942"/>
      <c r="F38" s="942"/>
      <c r="G38" s="942"/>
      <c r="H38" s="942"/>
      <c r="I38" s="942"/>
      <c r="J38" s="942"/>
      <c r="K38" s="942"/>
      <c r="L38" s="942"/>
      <c r="M38" s="942"/>
      <c r="N38" s="942"/>
      <c r="O38" s="943"/>
      <c r="P38" s="948" t="s">
        <v>440</v>
      </c>
      <c r="Q38" s="949"/>
      <c r="R38" s="949"/>
      <c r="S38" s="949"/>
      <c r="T38" s="949"/>
      <c r="U38" s="949"/>
      <c r="V38" s="949"/>
      <c r="W38" s="949"/>
      <c r="X38" s="949"/>
      <c r="Y38" s="949"/>
      <c r="Z38" s="949"/>
      <c r="AA38" s="949"/>
      <c r="AB38" s="949"/>
      <c r="AC38" s="949"/>
      <c r="AD38" s="950"/>
    </row>
    <row r="39" spans="1:30" ht="20.100000000000001" customHeight="1">
      <c r="A39" s="941"/>
      <c r="B39" s="942"/>
      <c r="C39" s="942"/>
      <c r="D39" s="942"/>
      <c r="E39" s="942"/>
      <c r="F39" s="942"/>
      <c r="G39" s="942"/>
      <c r="H39" s="942"/>
      <c r="I39" s="942"/>
      <c r="J39" s="942"/>
      <c r="K39" s="942"/>
      <c r="L39" s="942"/>
      <c r="M39" s="942"/>
      <c r="N39" s="942"/>
      <c r="O39" s="943"/>
      <c r="P39" s="951" t="s">
        <v>346</v>
      </c>
      <c r="Q39" s="905"/>
      <c r="R39" s="905">
        <f>R23</f>
        <v>0</v>
      </c>
      <c r="S39" s="905"/>
      <c r="T39" s="905"/>
      <c r="U39" s="905"/>
      <c r="V39" s="905"/>
      <c r="W39" s="905"/>
      <c r="X39" s="119" t="s">
        <v>437</v>
      </c>
      <c r="Y39" s="905">
        <f>Y23</f>
        <v>0</v>
      </c>
      <c r="Z39" s="905"/>
      <c r="AA39" s="905"/>
      <c r="AB39" s="905"/>
      <c r="AC39" s="905"/>
      <c r="AD39" s="952"/>
    </row>
    <row r="40" spans="1:30" ht="20.100000000000001" customHeight="1">
      <c r="A40" s="941"/>
      <c r="B40" s="942"/>
      <c r="C40" s="942"/>
      <c r="D40" s="942"/>
      <c r="E40" s="942"/>
      <c r="F40" s="942"/>
      <c r="G40" s="942"/>
      <c r="H40" s="942"/>
      <c r="I40" s="942"/>
      <c r="J40" s="942"/>
      <c r="K40" s="942"/>
      <c r="L40" s="942"/>
      <c r="M40" s="942"/>
      <c r="N40" s="942"/>
      <c r="O40" s="943"/>
      <c r="P40" s="953" t="s">
        <v>441</v>
      </c>
      <c r="Q40" s="954"/>
      <c r="R40" s="954"/>
      <c r="S40" s="954"/>
      <c r="T40" s="954"/>
      <c r="U40" s="954"/>
      <c r="V40" s="954"/>
      <c r="W40" s="954"/>
      <c r="X40" s="954"/>
      <c r="Y40" s="954"/>
      <c r="Z40" s="954"/>
      <c r="AA40" s="954"/>
      <c r="AB40" s="954"/>
      <c r="AC40" s="954"/>
      <c r="AD40" s="955"/>
    </row>
    <row r="41" spans="1:30" ht="20.100000000000001" customHeight="1">
      <c r="A41" s="941"/>
      <c r="B41" s="942"/>
      <c r="C41" s="942"/>
      <c r="D41" s="942"/>
      <c r="E41" s="942"/>
      <c r="F41" s="942"/>
      <c r="G41" s="942"/>
      <c r="H41" s="942"/>
      <c r="I41" s="942"/>
      <c r="J41" s="942"/>
      <c r="K41" s="942"/>
      <c r="L41" s="942"/>
      <c r="M41" s="942"/>
      <c r="N41" s="942"/>
      <c r="O41" s="943"/>
      <c r="P41" s="953"/>
      <c r="Q41" s="954"/>
      <c r="R41" s="954"/>
      <c r="S41" s="954"/>
      <c r="T41" s="954"/>
      <c r="U41" s="954"/>
      <c r="V41" s="954"/>
      <c r="W41" s="954"/>
      <c r="X41" s="954"/>
      <c r="Y41" s="954"/>
      <c r="Z41" s="954"/>
      <c r="AA41" s="954"/>
      <c r="AB41" s="954"/>
      <c r="AC41" s="954"/>
      <c r="AD41" s="955"/>
    </row>
    <row r="42" spans="1:30" ht="20.100000000000001" customHeight="1">
      <c r="A42" s="941"/>
      <c r="B42" s="942"/>
      <c r="C42" s="942"/>
      <c r="D42" s="942"/>
      <c r="E42" s="942"/>
      <c r="F42" s="942"/>
      <c r="G42" s="942"/>
      <c r="H42" s="942"/>
      <c r="I42" s="942"/>
      <c r="J42" s="942"/>
      <c r="K42" s="942"/>
      <c r="L42" s="942"/>
      <c r="M42" s="942"/>
      <c r="N42" s="942"/>
      <c r="O42" s="943"/>
      <c r="P42" s="953"/>
      <c r="Q42" s="954"/>
      <c r="R42" s="954"/>
      <c r="S42" s="954"/>
      <c r="T42" s="954"/>
      <c r="U42" s="954"/>
      <c r="V42" s="954"/>
      <c r="W42" s="954"/>
      <c r="X42" s="954"/>
      <c r="Y42" s="954"/>
      <c r="Z42" s="954"/>
      <c r="AA42" s="954"/>
      <c r="AB42" s="954"/>
      <c r="AC42" s="954"/>
      <c r="AD42" s="955"/>
    </row>
    <row r="43" spans="1:30" ht="20.100000000000001" customHeight="1">
      <c r="A43" s="941"/>
      <c r="B43" s="942"/>
      <c r="C43" s="942"/>
      <c r="D43" s="942"/>
      <c r="E43" s="942"/>
      <c r="F43" s="942"/>
      <c r="G43" s="942"/>
      <c r="H43" s="942"/>
      <c r="I43" s="942"/>
      <c r="J43" s="942"/>
      <c r="K43" s="942"/>
      <c r="L43" s="942"/>
      <c r="M43" s="942"/>
      <c r="N43" s="942"/>
      <c r="O43" s="943"/>
      <c r="P43" s="953"/>
      <c r="Q43" s="954"/>
      <c r="R43" s="954"/>
      <c r="S43" s="954"/>
      <c r="T43" s="954"/>
      <c r="U43" s="954"/>
      <c r="V43" s="954"/>
      <c r="W43" s="954"/>
      <c r="X43" s="954"/>
      <c r="Y43" s="954"/>
      <c r="Z43" s="954"/>
      <c r="AA43" s="954"/>
      <c r="AB43" s="954"/>
      <c r="AC43" s="954"/>
      <c r="AD43" s="955"/>
    </row>
    <row r="44" spans="1:30" ht="20.100000000000001" customHeight="1">
      <c r="A44" s="941"/>
      <c r="B44" s="942"/>
      <c r="C44" s="942"/>
      <c r="D44" s="942"/>
      <c r="E44" s="942"/>
      <c r="F44" s="942"/>
      <c r="G44" s="942"/>
      <c r="H44" s="942"/>
      <c r="I44" s="942"/>
      <c r="J44" s="942"/>
      <c r="K44" s="942"/>
      <c r="L44" s="942"/>
      <c r="M44" s="942"/>
      <c r="N44" s="942"/>
      <c r="O44" s="943"/>
      <c r="P44" s="953"/>
      <c r="Q44" s="954"/>
      <c r="R44" s="954"/>
      <c r="S44" s="954"/>
      <c r="T44" s="954"/>
      <c r="U44" s="954"/>
      <c r="V44" s="954"/>
      <c r="W44" s="954"/>
      <c r="X44" s="954"/>
      <c r="Y44" s="954"/>
      <c r="Z44" s="954"/>
      <c r="AA44" s="954"/>
      <c r="AB44" s="954"/>
      <c r="AC44" s="954"/>
      <c r="AD44" s="955"/>
    </row>
    <row r="45" spans="1:30" ht="20.100000000000001" customHeight="1">
      <c r="A45" s="941"/>
      <c r="B45" s="942"/>
      <c r="C45" s="942"/>
      <c r="D45" s="942"/>
      <c r="E45" s="942"/>
      <c r="F45" s="942"/>
      <c r="G45" s="942"/>
      <c r="H45" s="942"/>
      <c r="I45" s="942"/>
      <c r="J45" s="942"/>
      <c r="K45" s="942"/>
      <c r="L45" s="942"/>
      <c r="M45" s="942"/>
      <c r="N45" s="942"/>
      <c r="O45" s="943"/>
      <c r="P45" s="956"/>
      <c r="Q45" s="957"/>
      <c r="R45" s="957"/>
      <c r="S45" s="957"/>
      <c r="T45" s="957"/>
      <c r="U45" s="957"/>
      <c r="V45" s="957"/>
      <c r="W45" s="957"/>
      <c r="X45" s="957"/>
      <c r="Y45" s="957"/>
      <c r="Z45" s="957"/>
      <c r="AA45" s="957"/>
      <c r="AB45" s="957"/>
      <c r="AC45" s="957"/>
      <c r="AD45" s="958"/>
    </row>
    <row r="46" spans="1:30" ht="20.100000000000001" customHeight="1">
      <c r="A46" s="941"/>
      <c r="B46" s="942"/>
      <c r="C46" s="942"/>
      <c r="D46" s="942"/>
      <c r="E46" s="942"/>
      <c r="F46" s="942"/>
      <c r="G46" s="942"/>
      <c r="H46" s="942"/>
      <c r="I46" s="942"/>
      <c r="J46" s="942"/>
      <c r="K46" s="942"/>
      <c r="L46" s="942"/>
      <c r="M46" s="942"/>
      <c r="N46" s="942"/>
      <c r="O46" s="943"/>
      <c r="P46" s="959" t="s">
        <v>444</v>
      </c>
      <c r="Q46" s="960"/>
      <c r="R46" s="960"/>
      <c r="S46" s="960"/>
      <c r="T46" s="960"/>
      <c r="U46" s="960"/>
      <c r="V46" s="960"/>
      <c r="W46" s="960"/>
      <c r="X46" s="960"/>
      <c r="Y46" s="960"/>
      <c r="Z46" s="960"/>
      <c r="AA46" s="960"/>
      <c r="AB46" s="960"/>
      <c r="AC46" s="960"/>
      <c r="AD46" s="961"/>
    </row>
    <row r="47" spans="1:30" ht="35.1" customHeight="1" thickBot="1">
      <c r="A47" s="941"/>
      <c r="B47" s="942"/>
      <c r="C47" s="942"/>
      <c r="D47" s="942"/>
      <c r="E47" s="942"/>
      <c r="F47" s="942"/>
      <c r="G47" s="942"/>
      <c r="H47" s="942"/>
      <c r="I47" s="942"/>
      <c r="J47" s="942"/>
      <c r="K47" s="942"/>
      <c r="L47" s="942"/>
      <c r="M47" s="942"/>
      <c r="N47" s="942"/>
      <c r="O47" s="942"/>
      <c r="P47" s="947" t="s">
        <v>424</v>
      </c>
      <c r="Q47" s="936"/>
      <c r="R47" s="945">
        <v>44573</v>
      </c>
      <c r="S47" s="946"/>
      <c r="T47" s="946"/>
      <c r="U47" s="946"/>
      <c r="V47" s="946"/>
      <c r="W47" s="936" t="s">
        <v>445</v>
      </c>
      <c r="X47" s="936"/>
      <c r="Y47" s="936"/>
      <c r="Z47" s="936"/>
      <c r="AA47" s="936"/>
      <c r="AB47" s="936"/>
      <c r="AC47" s="936"/>
      <c r="AD47" s="937"/>
    </row>
  </sheetData>
  <mergeCells count="102">
    <mergeCell ref="K17:R17"/>
    <mergeCell ref="D33:I33"/>
    <mergeCell ref="A1:B1"/>
    <mergeCell ref="K1:O1"/>
    <mergeCell ref="D1:J1"/>
    <mergeCell ref="P1:R1"/>
    <mergeCell ref="P47:Q47"/>
    <mergeCell ref="R47:V47"/>
    <mergeCell ref="P24:AD29"/>
    <mergeCell ref="A25:O25"/>
    <mergeCell ref="A24:D24"/>
    <mergeCell ref="E24:O24"/>
    <mergeCell ref="A20:O20"/>
    <mergeCell ref="P20:AD20"/>
    <mergeCell ref="A21:O21"/>
    <mergeCell ref="P21:Q21"/>
    <mergeCell ref="A17:B17"/>
    <mergeCell ref="D17:J17"/>
    <mergeCell ref="A18:G18"/>
    <mergeCell ref="A9:O9"/>
    <mergeCell ref="A10:O10"/>
    <mergeCell ref="E8:O8"/>
    <mergeCell ref="Y7:AD7"/>
    <mergeCell ref="A8:D8"/>
    <mergeCell ref="A11:O11"/>
    <mergeCell ref="A12:O12"/>
    <mergeCell ref="A13:D13"/>
    <mergeCell ref="E13:O13"/>
    <mergeCell ref="A14:O14"/>
    <mergeCell ref="H15:O15"/>
    <mergeCell ref="H2:O2"/>
    <mergeCell ref="A5:O5"/>
    <mergeCell ref="A4:O4"/>
    <mergeCell ref="A2:G2"/>
    <mergeCell ref="A3:G3"/>
    <mergeCell ref="H3:O3"/>
    <mergeCell ref="A7:O7"/>
    <mergeCell ref="A6:O6"/>
    <mergeCell ref="P7:Q7"/>
    <mergeCell ref="R7:W7"/>
    <mergeCell ref="P14:AD14"/>
    <mergeCell ref="W15:AD15"/>
    <mergeCell ref="P8:AD13"/>
    <mergeCell ref="P2:AD2"/>
    <mergeCell ref="P4:AD4"/>
    <mergeCell ref="R3:W3"/>
    <mergeCell ref="Y3:AD3"/>
    <mergeCell ref="P3:Q3"/>
    <mergeCell ref="P5:Q5"/>
    <mergeCell ref="R5:W5"/>
    <mergeCell ref="P6:AD6"/>
    <mergeCell ref="Y5:AD5"/>
    <mergeCell ref="R21:W21"/>
    <mergeCell ref="Y21:AD21"/>
    <mergeCell ref="A22:O22"/>
    <mergeCell ref="P22:AD22"/>
    <mergeCell ref="A23:O23"/>
    <mergeCell ref="P23:Q23"/>
    <mergeCell ref="R23:W23"/>
    <mergeCell ref="Y23:AD23"/>
    <mergeCell ref="H18:O18"/>
    <mergeCell ref="P18:AD18"/>
    <mergeCell ref="A19:G19"/>
    <mergeCell ref="H19:O19"/>
    <mergeCell ref="P19:Q19"/>
    <mergeCell ref="R19:W19"/>
    <mergeCell ref="Y19:AD19"/>
    <mergeCell ref="H31:O31"/>
    <mergeCell ref="W31:AD31"/>
    <mergeCell ref="P34:AD34"/>
    <mergeCell ref="A26:O26"/>
    <mergeCell ref="A27:O27"/>
    <mergeCell ref="A28:O28"/>
    <mergeCell ref="A29:D29"/>
    <mergeCell ref="E29:O29"/>
    <mergeCell ref="A30:O30"/>
    <mergeCell ref="A33:B33"/>
    <mergeCell ref="J33:R33"/>
    <mergeCell ref="W47:AD47"/>
    <mergeCell ref="A34:O47"/>
    <mergeCell ref="A15:B15"/>
    <mergeCell ref="C15:G15"/>
    <mergeCell ref="P15:Q15"/>
    <mergeCell ref="R15:V15"/>
    <mergeCell ref="A31:B31"/>
    <mergeCell ref="C31:G31"/>
    <mergeCell ref="P31:Q31"/>
    <mergeCell ref="R31:V31"/>
    <mergeCell ref="P38:AD38"/>
    <mergeCell ref="P39:Q39"/>
    <mergeCell ref="R39:W39"/>
    <mergeCell ref="Y39:AD39"/>
    <mergeCell ref="P40:AD45"/>
    <mergeCell ref="P46:AD46"/>
    <mergeCell ref="P35:Q35"/>
    <mergeCell ref="R35:W35"/>
    <mergeCell ref="Y35:AD35"/>
    <mergeCell ref="P36:AD36"/>
    <mergeCell ref="P37:Q37"/>
    <mergeCell ref="R37:W37"/>
    <mergeCell ref="Y37:AD37"/>
    <mergeCell ref="P30:AD30"/>
  </mergeCells>
  <pageMargins left="0.25" right="0.25" top="0.75" bottom="0.75" header="0.3" footer="0.3"/>
  <pageSetup paperSize="9" scale="73"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9AC90-2DC8-4177-9DAA-04819DC1C08B}">
  <sheetPr codeName="Feuil12">
    <tabColor rgb="FFFFC000"/>
    <pageSetUpPr fitToPage="1"/>
  </sheetPr>
  <dimension ref="A1:AM75"/>
  <sheetViews>
    <sheetView view="pageBreakPreview" topLeftCell="A25" zoomScaleNormal="100" zoomScaleSheetLayoutView="100" workbookViewId="0">
      <selection activeCell="X34" sqref="X34:AD34"/>
    </sheetView>
  </sheetViews>
  <sheetFormatPr baseColWidth="10" defaultColWidth="11.42578125" defaultRowHeight="15"/>
  <cols>
    <col min="1" max="34" width="3.28515625" customWidth="1"/>
  </cols>
  <sheetData>
    <row r="1" spans="1:35" ht="14.1" customHeight="1">
      <c r="P1" s="326" t="s">
        <v>451</v>
      </c>
      <c r="Q1" s="326"/>
      <c r="R1" s="326"/>
      <c r="S1" s="326"/>
      <c r="T1" s="326"/>
      <c r="U1" s="326"/>
      <c r="V1" s="326"/>
      <c r="W1" s="326"/>
      <c r="X1" s="326"/>
      <c r="Y1" s="326"/>
      <c r="Z1" s="326"/>
      <c r="AA1" s="326"/>
      <c r="AB1" s="326"/>
      <c r="AC1" s="326"/>
      <c r="AD1" s="326"/>
    </row>
    <row r="2" spans="1:35" ht="14.1" customHeight="1">
      <c r="P2" s="327"/>
      <c r="Q2" s="327"/>
      <c r="R2" s="327"/>
      <c r="S2" s="327"/>
      <c r="T2" s="327"/>
      <c r="U2" s="327"/>
      <c r="V2" s="327"/>
      <c r="W2" s="327"/>
      <c r="X2" s="327"/>
      <c r="Y2" s="327"/>
      <c r="Z2" s="327"/>
      <c r="AA2" s="327"/>
      <c r="AB2" s="327"/>
      <c r="AC2" s="327"/>
      <c r="AD2" s="327"/>
    </row>
    <row r="3" spans="1:35" ht="14.1" customHeight="1">
      <c r="P3" s="327"/>
      <c r="Q3" s="327"/>
      <c r="R3" s="327"/>
      <c r="S3" s="327"/>
      <c r="T3" s="327"/>
      <c r="U3" s="327"/>
      <c r="V3" s="327"/>
      <c r="W3" s="327"/>
      <c r="X3" s="327"/>
      <c r="Y3" s="327"/>
      <c r="Z3" s="327"/>
      <c r="AA3" s="327"/>
      <c r="AB3" s="327"/>
      <c r="AC3" s="327"/>
      <c r="AD3" s="327"/>
    </row>
    <row r="4" spans="1:35" ht="14.1" customHeight="1" thickBot="1">
      <c r="P4" s="328"/>
      <c r="Q4" s="328"/>
      <c r="R4" s="328"/>
      <c r="S4" s="328"/>
      <c r="T4" s="328"/>
      <c r="U4" s="328"/>
      <c r="V4" s="328"/>
      <c r="W4" s="328"/>
      <c r="X4" s="328"/>
      <c r="Y4" s="328"/>
      <c r="Z4" s="328"/>
      <c r="AA4" s="328"/>
      <c r="AB4" s="328"/>
      <c r="AC4" s="328"/>
      <c r="AD4" s="328"/>
    </row>
    <row r="5" spans="1:35" ht="14.1" customHeight="1">
      <c r="A5" s="329" t="s">
        <v>1</v>
      </c>
      <c r="B5" s="330"/>
      <c r="C5" s="330"/>
      <c r="D5" s="330"/>
      <c r="E5" s="330"/>
      <c r="F5" s="330"/>
      <c r="G5" s="330"/>
      <c r="H5" s="330"/>
      <c r="I5" s="330"/>
      <c r="J5" s="330"/>
      <c r="K5" s="330"/>
      <c r="L5" s="330"/>
      <c r="M5" s="330"/>
      <c r="N5" s="330"/>
      <c r="O5" s="331"/>
      <c r="P5" s="1040" t="s">
        <v>2</v>
      </c>
      <c r="Q5" s="1041"/>
      <c r="R5" s="1041"/>
      <c r="S5" s="1041"/>
      <c r="T5" s="1042"/>
      <c r="U5" s="1010">
        <f>Client</f>
        <v>0</v>
      </c>
      <c r="V5" s="1010"/>
      <c r="W5" s="1010"/>
      <c r="X5" s="1010"/>
      <c r="Y5" s="1010"/>
      <c r="Z5" s="1010"/>
      <c r="AA5" s="1010"/>
      <c r="AB5" s="1010"/>
      <c r="AC5" s="1010"/>
      <c r="AD5" s="1011"/>
    </row>
    <row r="6" spans="1:35" ht="14.1" customHeight="1" thickBot="1">
      <c r="A6" s="332"/>
      <c r="B6" s="333"/>
      <c r="C6" s="333"/>
      <c r="D6" s="333"/>
      <c r="E6" s="333"/>
      <c r="F6" s="333"/>
      <c r="G6" s="333"/>
      <c r="H6" s="333"/>
      <c r="I6" s="333"/>
      <c r="J6" s="333"/>
      <c r="K6" s="333"/>
      <c r="L6" s="333"/>
      <c r="M6" s="333"/>
      <c r="N6" s="333"/>
      <c r="O6" s="334"/>
      <c r="P6" s="747"/>
      <c r="Q6" s="748"/>
      <c r="R6" s="748"/>
      <c r="S6" s="748"/>
      <c r="T6" s="749"/>
      <c r="U6" s="459"/>
      <c r="V6" s="459"/>
      <c r="W6" s="459"/>
      <c r="X6" s="459"/>
      <c r="Y6" s="459"/>
      <c r="Z6" s="459"/>
      <c r="AA6" s="459"/>
      <c r="AB6" s="459"/>
      <c r="AC6" s="459"/>
      <c r="AD6" s="460"/>
    </row>
    <row r="7" spans="1:35" ht="27.95" customHeight="1">
      <c r="A7" s="350" t="s">
        <v>4</v>
      </c>
      <c r="B7" s="351"/>
      <c r="C7" s="351"/>
      <c r="D7" s="351"/>
      <c r="E7" s="351"/>
      <c r="F7" s="352"/>
      <c r="G7" s="457">
        <f>Commercial</f>
        <v>0</v>
      </c>
      <c r="H7" s="457"/>
      <c r="I7" s="457"/>
      <c r="J7" s="457"/>
      <c r="K7" s="457"/>
      <c r="L7" s="457"/>
      <c r="M7" s="457"/>
      <c r="N7" s="457"/>
      <c r="O7" s="458"/>
      <c r="P7" s="1043" t="s">
        <v>452</v>
      </c>
      <c r="Q7" s="1044"/>
      <c r="R7" s="1044"/>
      <c r="S7" s="1044"/>
      <c r="T7" s="1045"/>
      <c r="U7" s="347">
        <f>Code_Client_Divalto</f>
        <v>0</v>
      </c>
      <c r="V7" s="348"/>
      <c r="W7" s="348"/>
      <c r="X7" s="348"/>
      <c r="Y7" s="348"/>
      <c r="Z7" s="348"/>
      <c r="AA7" s="348"/>
      <c r="AB7" s="348"/>
      <c r="AC7" s="348"/>
      <c r="AD7" s="349"/>
    </row>
    <row r="8" spans="1:35"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5"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5" ht="15" customHeight="1" thickBot="1"/>
    <row r="11" spans="1:35" ht="39.950000000000003" customHeight="1">
      <c r="A11" s="1046" t="s">
        <v>453</v>
      </c>
      <c r="B11" s="1047"/>
      <c r="C11" s="1047"/>
      <c r="D11" s="1047"/>
      <c r="E11" s="1047"/>
      <c r="F11" s="1047"/>
      <c r="G11" s="1047"/>
      <c r="H11" s="1047"/>
      <c r="I11" s="1047"/>
      <c r="J11" s="1047"/>
      <c r="K11" s="1047"/>
      <c r="L11" s="1047"/>
      <c r="M11" s="1047"/>
      <c r="N11" s="1047"/>
      <c r="O11" s="1047"/>
      <c r="P11" s="1047"/>
      <c r="Q11" s="1047"/>
      <c r="R11" s="1047"/>
      <c r="S11" s="1047"/>
      <c r="T11" s="1047"/>
      <c r="U11" s="1047"/>
      <c r="V11" s="1047"/>
      <c r="W11" s="1047"/>
      <c r="X11" s="1047"/>
      <c r="Y11" s="1047"/>
      <c r="Z11" s="1047"/>
      <c r="AA11" s="1047"/>
      <c r="AB11" s="1047"/>
      <c r="AC11" s="1047"/>
      <c r="AD11" s="1048"/>
    </row>
    <row r="12" spans="1:35" ht="35.1" customHeight="1" thickBot="1">
      <c r="A12" s="1027" t="s">
        <v>454</v>
      </c>
      <c r="B12" s="1028"/>
      <c r="C12" s="1028"/>
      <c r="D12" s="1028"/>
      <c r="E12" s="1028"/>
      <c r="F12" s="1028"/>
      <c r="G12" s="1028"/>
      <c r="H12" s="1028"/>
      <c r="I12" s="1028"/>
      <c r="J12" s="1028"/>
      <c r="K12" s="1028"/>
      <c r="L12" s="1028"/>
      <c r="M12" s="1028"/>
      <c r="N12" s="1028"/>
      <c r="O12" s="1028"/>
      <c r="P12" s="1028"/>
      <c r="Q12" s="1028"/>
      <c r="R12" s="1028"/>
      <c r="S12" s="1028"/>
      <c r="T12" s="1028"/>
      <c r="U12" s="1028"/>
      <c r="V12" s="1028"/>
      <c r="W12" s="1028"/>
      <c r="X12" s="1028"/>
      <c r="Y12" s="1028"/>
      <c r="Z12" s="1028"/>
      <c r="AA12" s="1028"/>
      <c r="AB12" s="1028"/>
      <c r="AC12" s="1028"/>
      <c r="AD12" s="1029"/>
    </row>
    <row r="13" spans="1:35" ht="20.100000000000001" customHeight="1" thickBot="1">
      <c r="A13" s="1030" t="s">
        <v>372</v>
      </c>
      <c r="B13" s="1031"/>
      <c r="C13" s="1032"/>
      <c r="D13" s="1033"/>
      <c r="E13" s="1034"/>
      <c r="F13" s="1034"/>
      <c r="G13" s="1034"/>
      <c r="H13" s="1035" t="s">
        <v>373</v>
      </c>
      <c r="I13" s="1031"/>
      <c r="J13" s="1031"/>
      <c r="K13" s="1031"/>
      <c r="L13" s="1031"/>
      <c r="M13" s="1032"/>
      <c r="N13" s="1036"/>
      <c r="O13" s="1037"/>
      <c r="P13" s="1037"/>
      <c r="Q13" s="1037"/>
      <c r="R13" s="1037"/>
      <c r="S13" s="1038"/>
      <c r="T13" s="1035" t="s">
        <v>374</v>
      </c>
      <c r="U13" s="1031"/>
      <c r="V13" s="1031"/>
      <c r="W13" s="1031"/>
      <c r="X13" s="1031"/>
      <c r="Y13" s="1031"/>
      <c r="Z13" s="1033">
        <f>'PV de Réception'!Z34</f>
        <v>0</v>
      </c>
      <c r="AA13" s="1034"/>
      <c r="AB13" s="1034"/>
      <c r="AC13" s="1034"/>
      <c r="AD13" s="1039"/>
    </row>
    <row r="14" spans="1:35" ht="21.95" customHeight="1">
      <c r="A14" s="1002" t="s">
        <v>455</v>
      </c>
      <c r="B14" s="1020"/>
      <c r="C14" s="1003"/>
      <c r="D14" s="1023" t="s">
        <v>456</v>
      </c>
      <c r="E14" s="1024"/>
      <c r="F14" s="1024"/>
      <c r="G14" s="1024"/>
      <c r="H14" s="1024"/>
      <c r="I14" s="1024"/>
      <c r="J14" s="1024"/>
      <c r="K14" s="1024"/>
      <c r="L14" s="1024"/>
      <c r="M14" s="1024"/>
      <c r="N14" s="1024"/>
      <c r="O14" s="1025"/>
      <c r="P14" s="336"/>
      <c r="Q14" s="1026"/>
      <c r="R14" s="1023" t="s">
        <v>457</v>
      </c>
      <c r="S14" s="1024"/>
      <c r="T14" s="1024"/>
      <c r="U14" s="1024"/>
      <c r="V14" s="1024"/>
      <c r="W14" s="1024"/>
      <c r="X14" s="1024"/>
      <c r="Y14" s="1024"/>
      <c r="Z14" s="1024"/>
      <c r="AA14" s="1024"/>
      <c r="AB14" s="1025"/>
      <c r="AC14" s="336"/>
      <c r="AD14" s="338"/>
      <c r="AI14" s="31"/>
    </row>
    <row r="15" spans="1:35" ht="21.95" customHeight="1">
      <c r="A15" s="1004"/>
      <c r="B15" s="1021"/>
      <c r="C15" s="1005"/>
      <c r="D15" s="1013" t="s">
        <v>458</v>
      </c>
      <c r="E15" s="1014"/>
      <c r="F15" s="1014"/>
      <c r="G15" s="1014"/>
      <c r="H15" s="1014"/>
      <c r="I15" s="1014"/>
      <c r="J15" s="1014"/>
      <c r="K15" s="1014"/>
      <c r="L15" s="1014"/>
      <c r="M15" s="1014"/>
      <c r="N15" s="1014"/>
      <c r="O15" s="1015"/>
      <c r="P15" s="347"/>
      <c r="Q15" s="1012"/>
      <c r="R15" s="1013" t="s">
        <v>459</v>
      </c>
      <c r="S15" s="1014"/>
      <c r="T15" s="1014"/>
      <c r="U15" s="1014"/>
      <c r="V15" s="1014"/>
      <c r="W15" s="1014"/>
      <c r="X15" s="1014"/>
      <c r="Y15" s="1014"/>
      <c r="Z15" s="1014"/>
      <c r="AA15" s="1014"/>
      <c r="AB15" s="1015"/>
      <c r="AC15" s="347"/>
      <c r="AD15" s="349"/>
      <c r="AI15" s="31"/>
    </row>
    <row r="16" spans="1:35" ht="21.95" customHeight="1">
      <c r="A16" s="1004"/>
      <c r="B16" s="1021"/>
      <c r="C16" s="1005"/>
      <c r="D16" s="1013" t="s">
        <v>460</v>
      </c>
      <c r="E16" s="1014"/>
      <c r="F16" s="1014"/>
      <c r="G16" s="1014"/>
      <c r="H16" s="1014"/>
      <c r="I16" s="1014"/>
      <c r="J16" s="1014"/>
      <c r="K16" s="1014"/>
      <c r="L16" s="1014"/>
      <c r="M16" s="1014"/>
      <c r="N16" s="1014"/>
      <c r="O16" s="1015"/>
      <c r="P16" s="347"/>
      <c r="Q16" s="1012"/>
      <c r="R16" s="1013" t="s">
        <v>461</v>
      </c>
      <c r="S16" s="1014"/>
      <c r="T16" s="1014"/>
      <c r="U16" s="1014"/>
      <c r="V16" s="1014"/>
      <c r="W16" s="1014"/>
      <c r="X16" s="1014"/>
      <c r="Y16" s="1014"/>
      <c r="Z16" s="1014"/>
      <c r="AA16" s="1014"/>
      <c r="AB16" s="1015"/>
      <c r="AC16" s="347"/>
      <c r="AD16" s="349"/>
      <c r="AI16" s="31"/>
    </row>
    <row r="17" spans="1:39" ht="21.95" customHeight="1" thickBot="1">
      <c r="A17" s="1006"/>
      <c r="B17" s="1022"/>
      <c r="C17" s="1007"/>
      <c r="D17" s="1016" t="s">
        <v>462</v>
      </c>
      <c r="E17" s="1017"/>
      <c r="F17" s="1017"/>
      <c r="G17" s="1017"/>
      <c r="H17" s="1017"/>
      <c r="I17" s="1017"/>
      <c r="J17" s="1017"/>
      <c r="K17" s="1017"/>
      <c r="L17" s="1017"/>
      <c r="M17" s="1017"/>
      <c r="N17" s="1017"/>
      <c r="O17" s="1018"/>
      <c r="P17" s="353"/>
      <c r="Q17" s="1019"/>
      <c r="R17" s="1016" t="s">
        <v>463</v>
      </c>
      <c r="S17" s="1017"/>
      <c r="T17" s="1017"/>
      <c r="U17" s="1017"/>
      <c r="V17" s="1017"/>
      <c r="W17" s="1017"/>
      <c r="X17" s="1017"/>
      <c r="Y17" s="1017"/>
      <c r="Z17" s="1017"/>
      <c r="AA17" s="1017"/>
      <c r="AB17" s="1018"/>
      <c r="AC17" s="353"/>
      <c r="AD17" s="355"/>
      <c r="AI17" s="30"/>
      <c r="AJ17" s="30"/>
      <c r="AK17" s="33"/>
      <c r="AL17" s="32"/>
      <c r="AM17" s="32"/>
    </row>
    <row r="18" spans="1:39" ht="20.100000000000001" customHeight="1" thickBot="1">
      <c r="AI18" s="32"/>
      <c r="AJ18" s="32"/>
      <c r="AK18" s="30"/>
      <c r="AL18" s="32"/>
      <c r="AM18" s="29"/>
    </row>
    <row r="19" spans="1:39">
      <c r="A19" s="1002" t="s">
        <v>464</v>
      </c>
      <c r="B19" s="1003"/>
      <c r="C19" s="1008" t="s">
        <v>260</v>
      </c>
      <c r="D19" s="1008"/>
      <c r="E19" s="1008"/>
      <c r="F19" s="1009" t="s">
        <v>299</v>
      </c>
      <c r="G19" s="1009"/>
      <c r="H19" s="1009"/>
      <c r="I19" s="1009"/>
      <c r="J19" s="1009"/>
      <c r="K19" s="1009"/>
      <c r="L19" s="1009"/>
      <c r="M19" s="1008" t="s">
        <v>346</v>
      </c>
      <c r="N19" s="1008"/>
      <c r="O19" s="1010" t="s">
        <v>300</v>
      </c>
      <c r="P19" s="1010"/>
      <c r="Q19" s="1010"/>
      <c r="R19" s="1010"/>
      <c r="S19" s="1010"/>
      <c r="T19" s="1010"/>
      <c r="U19" s="1010"/>
      <c r="V19" s="1010"/>
      <c r="W19" s="1010"/>
      <c r="X19" s="1008" t="s">
        <v>465</v>
      </c>
      <c r="Y19" s="1008"/>
      <c r="Z19" s="1008"/>
      <c r="AA19" s="1010"/>
      <c r="AB19" s="1010"/>
      <c r="AC19" s="1010"/>
      <c r="AD19" s="1011"/>
    </row>
    <row r="20" spans="1:39">
      <c r="A20" s="1004"/>
      <c r="B20" s="1005"/>
      <c r="C20" s="161" t="s">
        <v>303</v>
      </c>
      <c r="D20" s="161"/>
      <c r="E20" s="161"/>
      <c r="F20" s="868"/>
      <c r="G20" s="910"/>
      <c r="H20" s="34" t="s">
        <v>304</v>
      </c>
      <c r="I20" s="1015" t="s">
        <v>466</v>
      </c>
      <c r="J20" s="335"/>
      <c r="K20" s="335"/>
      <c r="L20" s="335"/>
      <c r="M20" s="459"/>
      <c r="N20" s="459"/>
      <c r="O20" s="459"/>
      <c r="P20" s="335" t="s">
        <v>467</v>
      </c>
      <c r="Q20" s="335"/>
      <c r="R20" s="335"/>
      <c r="S20" s="335"/>
      <c r="T20" s="335"/>
      <c r="U20" s="459">
        <v>123</v>
      </c>
      <c r="V20" s="459"/>
      <c r="W20" s="459"/>
      <c r="X20" s="459"/>
      <c r="Y20" s="459"/>
      <c r="Z20" s="459"/>
      <c r="AA20" s="103" t="s">
        <v>264</v>
      </c>
      <c r="AB20" s="459"/>
      <c r="AC20" s="347"/>
      <c r="AD20" s="78" t="s">
        <v>263</v>
      </c>
      <c r="AF20" t="s">
        <v>468</v>
      </c>
    </row>
    <row r="21" spans="1:39">
      <c r="A21" s="1004"/>
      <c r="B21" s="1005"/>
      <c r="C21" s="335" t="s">
        <v>469</v>
      </c>
      <c r="D21" s="335"/>
      <c r="E21" s="335"/>
      <c r="F21" s="335"/>
      <c r="G21" s="335"/>
      <c r="H21" s="335"/>
      <c r="I21" s="335"/>
      <c r="J21" s="335"/>
      <c r="K21" s="335"/>
      <c r="L21" s="335"/>
      <c r="M21" s="335"/>
      <c r="N21" s="335"/>
      <c r="O21" s="459"/>
      <c r="P21" s="459"/>
      <c r="Q21" s="1013" t="s">
        <v>470</v>
      </c>
      <c r="R21" s="1014"/>
      <c r="S21" s="1014"/>
      <c r="T21" s="1014"/>
      <c r="U21" s="1014"/>
      <c r="V21" s="1014"/>
      <c r="W21" s="1015"/>
      <c r="X21" s="347"/>
      <c r="Y21" s="348"/>
      <c r="Z21" s="348"/>
      <c r="AA21" s="348"/>
      <c r="AB21" s="348"/>
      <c r="AC21" s="348"/>
      <c r="AD21" s="1012"/>
      <c r="AF21" t="s">
        <v>471</v>
      </c>
    </row>
    <row r="22" spans="1:39">
      <c r="A22" s="1004"/>
      <c r="B22" s="1005"/>
      <c r="C22" s="1013" t="s">
        <v>472</v>
      </c>
      <c r="D22" s="1014"/>
      <c r="E22" s="1014"/>
      <c r="F22" s="1014"/>
      <c r="G22" s="1014"/>
      <c r="H22" s="1014"/>
      <c r="I22" s="1015"/>
      <c r="J22" s="347"/>
      <c r="K22" s="348"/>
      <c r="L22" s="348"/>
      <c r="M22" s="348"/>
      <c r="N22" s="348"/>
      <c r="O22" s="348"/>
      <c r="P22" s="1012"/>
      <c r="Q22" s="1013" t="s">
        <v>473</v>
      </c>
      <c r="R22" s="1014"/>
      <c r="S22" s="1014"/>
      <c r="T22" s="1014"/>
      <c r="U22" s="1014"/>
      <c r="V22" s="1014"/>
      <c r="W22" s="1015"/>
      <c r="X22" s="347"/>
      <c r="Y22" s="348"/>
      <c r="Z22" s="348"/>
      <c r="AA22" s="348"/>
      <c r="AB22" s="348"/>
      <c r="AC22" s="348"/>
      <c r="AD22" s="1012"/>
      <c r="AF22" t="s">
        <v>474</v>
      </c>
    </row>
    <row r="23" spans="1:39">
      <c r="A23" s="1004"/>
      <c r="B23" s="1005"/>
      <c r="C23" s="335" t="s">
        <v>475</v>
      </c>
      <c r="D23" s="335"/>
      <c r="E23" s="335"/>
      <c r="F23" s="335"/>
      <c r="G23" s="335"/>
      <c r="H23" s="335"/>
      <c r="I23" s="335"/>
      <c r="J23" s="335"/>
      <c r="K23" s="335"/>
      <c r="L23" s="335"/>
      <c r="M23" s="335"/>
      <c r="N23" s="335"/>
      <c r="O23" s="459"/>
      <c r="P23" s="459"/>
      <c r="Q23" s="335" t="s">
        <v>476</v>
      </c>
      <c r="R23" s="335"/>
      <c r="S23" s="335"/>
      <c r="T23" s="335"/>
      <c r="U23" s="335"/>
      <c r="V23" s="335"/>
      <c r="W23" s="335"/>
      <c r="X23" s="335"/>
      <c r="Y23" s="335"/>
      <c r="Z23" s="335"/>
      <c r="AA23" s="335"/>
      <c r="AB23" s="335"/>
      <c r="AC23" s="459"/>
      <c r="AD23" s="460"/>
      <c r="AF23" t="s">
        <v>477</v>
      </c>
    </row>
    <row r="24" spans="1:39">
      <c r="A24" s="1004"/>
      <c r="B24" s="1005"/>
      <c r="C24" s="335" t="s">
        <v>478</v>
      </c>
      <c r="D24" s="335"/>
      <c r="E24" s="335"/>
      <c r="F24" s="335"/>
      <c r="G24" s="335"/>
      <c r="H24" s="335"/>
      <c r="I24" s="335"/>
      <c r="J24" s="335"/>
      <c r="K24" s="335"/>
      <c r="L24" s="335"/>
      <c r="M24" s="335"/>
      <c r="N24" s="335"/>
      <c r="O24" s="459"/>
      <c r="P24" s="459"/>
      <c r="Q24" s="335" t="s">
        <v>479</v>
      </c>
      <c r="R24" s="335"/>
      <c r="S24" s="335"/>
      <c r="T24" s="335"/>
      <c r="U24" s="335"/>
      <c r="V24" s="335"/>
      <c r="W24" s="335"/>
      <c r="X24" s="335"/>
      <c r="Y24" s="335"/>
      <c r="Z24" s="335"/>
      <c r="AA24" s="335"/>
      <c r="AB24" s="335"/>
      <c r="AC24" s="459"/>
      <c r="AD24" s="460"/>
      <c r="AF24" t="s">
        <v>480</v>
      </c>
    </row>
    <row r="25" spans="1:39">
      <c r="A25" s="1004"/>
      <c r="B25" s="1005"/>
      <c r="C25" s="1000"/>
      <c r="D25" s="1000"/>
      <c r="E25" s="1000"/>
      <c r="F25" s="1000"/>
      <c r="G25" s="335" t="s">
        <v>481</v>
      </c>
      <c r="H25" s="335"/>
      <c r="I25" s="335"/>
      <c r="J25" s="335"/>
      <c r="K25" s="335"/>
      <c r="L25" s="335"/>
      <c r="M25" s="335"/>
      <c r="N25" s="335"/>
      <c r="O25" s="335"/>
      <c r="P25" s="335"/>
      <c r="Q25" s="335"/>
      <c r="R25" s="335"/>
      <c r="S25" s="335" t="s">
        <v>482</v>
      </c>
      <c r="T25" s="335"/>
      <c r="U25" s="335"/>
      <c r="V25" s="335"/>
      <c r="W25" s="335"/>
      <c r="X25" s="335"/>
      <c r="Y25" s="335"/>
      <c r="Z25" s="335"/>
      <c r="AA25" s="335"/>
      <c r="AB25" s="335"/>
      <c r="AC25" s="335"/>
      <c r="AD25" s="1001"/>
    </row>
    <row r="26" spans="1:39">
      <c r="A26" s="1004"/>
      <c r="B26" s="1005"/>
      <c r="C26" s="1000"/>
      <c r="D26" s="1000"/>
      <c r="E26" s="1000"/>
      <c r="F26" s="1000"/>
      <c r="G26" s="335" t="s">
        <v>483</v>
      </c>
      <c r="H26" s="335"/>
      <c r="I26" s="335"/>
      <c r="J26" s="335"/>
      <c r="K26" s="335"/>
      <c r="L26" s="335"/>
      <c r="M26" s="335" t="s">
        <v>484</v>
      </c>
      <c r="N26" s="335"/>
      <c r="O26" s="335"/>
      <c r="P26" s="335"/>
      <c r="Q26" s="335"/>
      <c r="R26" s="335"/>
      <c r="S26" s="335" t="s">
        <v>483</v>
      </c>
      <c r="T26" s="335"/>
      <c r="U26" s="335"/>
      <c r="V26" s="335"/>
      <c r="W26" s="335"/>
      <c r="X26" s="335"/>
      <c r="Y26" s="335" t="s">
        <v>484</v>
      </c>
      <c r="Z26" s="335"/>
      <c r="AA26" s="335"/>
      <c r="AB26" s="335"/>
      <c r="AC26" s="335"/>
      <c r="AD26" s="1001"/>
    </row>
    <row r="27" spans="1:39">
      <c r="A27" s="1004"/>
      <c r="B27" s="1005"/>
      <c r="C27" s="161" t="s">
        <v>485</v>
      </c>
      <c r="D27" s="161"/>
      <c r="E27" s="161"/>
      <c r="F27" s="161"/>
      <c r="G27" s="996"/>
      <c r="H27" s="996"/>
      <c r="I27" s="996"/>
      <c r="J27" s="996"/>
      <c r="K27" s="996"/>
      <c r="L27" s="996"/>
      <c r="M27" s="996"/>
      <c r="N27" s="996"/>
      <c r="O27" s="996"/>
      <c r="P27" s="996"/>
      <c r="Q27" s="996"/>
      <c r="R27" s="996"/>
      <c r="S27" s="997"/>
      <c r="T27" s="997"/>
      <c r="U27" s="997"/>
      <c r="V27" s="997"/>
      <c r="W27" s="997"/>
      <c r="X27" s="997"/>
      <c r="Y27" s="997"/>
      <c r="Z27" s="997"/>
      <c r="AA27" s="997"/>
      <c r="AB27" s="997"/>
      <c r="AC27" s="997"/>
      <c r="AD27" s="998"/>
    </row>
    <row r="28" spans="1:39">
      <c r="A28" s="1004"/>
      <c r="B28" s="1005"/>
      <c r="C28" s="161" t="s">
        <v>486</v>
      </c>
      <c r="D28" s="161"/>
      <c r="E28" s="161"/>
      <c r="F28" s="161"/>
      <c r="G28" s="996"/>
      <c r="H28" s="996"/>
      <c r="I28" s="996"/>
      <c r="J28" s="996"/>
      <c r="K28" s="996"/>
      <c r="L28" s="996"/>
      <c r="M28" s="996"/>
      <c r="N28" s="996"/>
      <c r="O28" s="996"/>
      <c r="P28" s="996"/>
      <c r="Q28" s="996"/>
      <c r="R28" s="996"/>
      <c r="S28" s="997"/>
      <c r="T28" s="997"/>
      <c r="U28" s="997"/>
      <c r="V28" s="997"/>
      <c r="W28" s="997"/>
      <c r="X28" s="997"/>
      <c r="Y28" s="997"/>
      <c r="Z28" s="997"/>
      <c r="AA28" s="997"/>
      <c r="AB28" s="997"/>
      <c r="AC28" s="997"/>
      <c r="AD28" s="998"/>
    </row>
    <row r="29" spans="1:39">
      <c r="A29" s="1004"/>
      <c r="B29" s="1005"/>
      <c r="C29" s="161" t="s">
        <v>487</v>
      </c>
      <c r="D29" s="161"/>
      <c r="E29" s="161"/>
      <c r="F29" s="161"/>
      <c r="G29" s="996"/>
      <c r="H29" s="996"/>
      <c r="I29" s="996"/>
      <c r="J29" s="996"/>
      <c r="K29" s="996"/>
      <c r="L29" s="996"/>
      <c r="M29" s="996"/>
      <c r="N29" s="996"/>
      <c r="O29" s="996"/>
      <c r="P29" s="996"/>
      <c r="Q29" s="996"/>
      <c r="R29" s="996"/>
      <c r="S29" s="997"/>
      <c r="T29" s="997"/>
      <c r="U29" s="997"/>
      <c r="V29" s="997"/>
      <c r="W29" s="997"/>
      <c r="X29" s="997"/>
      <c r="Y29" s="997"/>
      <c r="Z29" s="997"/>
      <c r="AA29" s="997"/>
      <c r="AB29" s="997"/>
      <c r="AC29" s="997"/>
      <c r="AD29" s="998"/>
    </row>
    <row r="30" spans="1:39" ht="15.75" thickBot="1">
      <c r="A30" s="1006"/>
      <c r="B30" s="1007"/>
      <c r="C30" s="999" t="s">
        <v>488</v>
      </c>
      <c r="D30" s="999"/>
      <c r="E30" s="999"/>
      <c r="F30" s="999"/>
      <c r="G30" s="999"/>
      <c r="H30" s="999"/>
      <c r="I30" s="999"/>
      <c r="J30" s="870"/>
      <c r="K30" s="870"/>
      <c r="L30" s="870"/>
      <c r="M30" s="870"/>
      <c r="N30" s="870"/>
      <c r="O30" s="870"/>
      <c r="P30" s="870"/>
      <c r="Q30" s="870"/>
      <c r="R30" s="870"/>
      <c r="S30" s="870"/>
      <c r="T30" s="870"/>
      <c r="U30" s="870"/>
      <c r="V30" s="870"/>
      <c r="W30" s="870"/>
      <c r="X30" s="870"/>
      <c r="Y30" s="870"/>
      <c r="Z30" s="870"/>
      <c r="AA30" s="870"/>
      <c r="AB30" s="870"/>
      <c r="AC30" s="870"/>
      <c r="AD30" s="871"/>
    </row>
    <row r="31" spans="1:39" ht="15.75" thickBot="1"/>
    <row r="32" spans="1:39">
      <c r="A32" s="1002" t="s">
        <v>464</v>
      </c>
      <c r="B32" s="1003"/>
      <c r="C32" s="1008" t="s">
        <v>260</v>
      </c>
      <c r="D32" s="1008"/>
      <c r="E32" s="1008"/>
      <c r="F32" s="1009" t="s">
        <v>299</v>
      </c>
      <c r="G32" s="1009"/>
      <c r="H32" s="1009"/>
      <c r="I32" s="1009"/>
      <c r="J32" s="1009"/>
      <c r="K32" s="1009"/>
      <c r="L32" s="1009"/>
      <c r="M32" s="1008" t="s">
        <v>346</v>
      </c>
      <c r="N32" s="1008"/>
      <c r="O32" s="1010" t="s">
        <v>307</v>
      </c>
      <c r="P32" s="1010"/>
      <c r="Q32" s="1010"/>
      <c r="R32" s="1010"/>
      <c r="S32" s="1010"/>
      <c r="T32" s="1010"/>
      <c r="U32" s="1010"/>
      <c r="V32" s="1010"/>
      <c r="W32" s="1010"/>
      <c r="X32" s="1008" t="s">
        <v>465</v>
      </c>
      <c r="Y32" s="1008"/>
      <c r="Z32" s="1008"/>
      <c r="AA32" s="1010"/>
      <c r="AB32" s="1010"/>
      <c r="AC32" s="1010"/>
      <c r="AD32" s="1011"/>
    </row>
    <row r="33" spans="1:32">
      <c r="A33" s="1004"/>
      <c r="B33" s="1005"/>
      <c r="C33" s="161" t="s">
        <v>303</v>
      </c>
      <c r="D33" s="161"/>
      <c r="E33" s="161"/>
      <c r="F33" s="868"/>
      <c r="G33" s="910"/>
      <c r="H33" s="34" t="s">
        <v>304</v>
      </c>
      <c r="I33" s="1015" t="s">
        <v>466</v>
      </c>
      <c r="J33" s="335"/>
      <c r="K33" s="335"/>
      <c r="L33" s="335"/>
      <c r="M33" s="459"/>
      <c r="N33" s="459"/>
      <c r="O33" s="459"/>
      <c r="P33" s="335" t="s">
        <v>467</v>
      </c>
      <c r="Q33" s="335"/>
      <c r="R33" s="335"/>
      <c r="S33" s="335"/>
      <c r="T33" s="335"/>
      <c r="U33" s="459">
        <v>234</v>
      </c>
      <c r="V33" s="459"/>
      <c r="W33" s="459"/>
      <c r="X33" s="459"/>
      <c r="Y33" s="459"/>
      <c r="Z33" s="459"/>
      <c r="AA33" s="103" t="s">
        <v>264</v>
      </c>
      <c r="AB33" s="459"/>
      <c r="AC33" s="347"/>
      <c r="AD33" s="78" t="s">
        <v>263</v>
      </c>
      <c r="AF33" t="s">
        <v>468</v>
      </c>
    </row>
    <row r="34" spans="1:32">
      <c r="A34" s="1004"/>
      <c r="B34" s="1005"/>
      <c r="C34" s="335" t="s">
        <v>469</v>
      </c>
      <c r="D34" s="335"/>
      <c r="E34" s="335"/>
      <c r="F34" s="335"/>
      <c r="G34" s="335"/>
      <c r="H34" s="335"/>
      <c r="I34" s="335"/>
      <c r="J34" s="335"/>
      <c r="K34" s="335"/>
      <c r="L34" s="335"/>
      <c r="M34" s="335"/>
      <c r="N34" s="335"/>
      <c r="O34" s="459"/>
      <c r="P34" s="459"/>
      <c r="Q34" s="1013" t="s">
        <v>470</v>
      </c>
      <c r="R34" s="1014"/>
      <c r="S34" s="1014"/>
      <c r="T34" s="1014"/>
      <c r="U34" s="1014"/>
      <c r="V34" s="1014"/>
      <c r="W34" s="1015"/>
      <c r="X34" s="347"/>
      <c r="Y34" s="348"/>
      <c r="Z34" s="348"/>
      <c r="AA34" s="348"/>
      <c r="AB34" s="348"/>
      <c r="AC34" s="348"/>
      <c r="AD34" s="1012"/>
      <c r="AF34" t="s">
        <v>471</v>
      </c>
    </row>
    <row r="35" spans="1:32">
      <c r="A35" s="1004"/>
      <c r="B35" s="1005"/>
      <c r="C35" s="1013" t="s">
        <v>472</v>
      </c>
      <c r="D35" s="1014"/>
      <c r="E35" s="1014"/>
      <c r="F35" s="1014"/>
      <c r="G35" s="1014"/>
      <c r="H35" s="1014"/>
      <c r="I35" s="1015"/>
      <c r="J35" s="347"/>
      <c r="K35" s="348"/>
      <c r="L35" s="348"/>
      <c r="M35" s="348"/>
      <c r="N35" s="348"/>
      <c r="O35" s="348"/>
      <c r="P35" s="1012"/>
      <c r="Q35" s="1013" t="s">
        <v>473</v>
      </c>
      <c r="R35" s="1014"/>
      <c r="S35" s="1014"/>
      <c r="T35" s="1014"/>
      <c r="U35" s="1014"/>
      <c r="V35" s="1014"/>
      <c r="W35" s="1015"/>
      <c r="X35" s="347"/>
      <c r="Y35" s="348"/>
      <c r="Z35" s="348"/>
      <c r="AA35" s="348"/>
      <c r="AB35" s="348"/>
      <c r="AC35" s="348"/>
      <c r="AD35" s="1012"/>
      <c r="AF35" t="s">
        <v>474</v>
      </c>
    </row>
    <row r="36" spans="1:32">
      <c r="A36" s="1004"/>
      <c r="B36" s="1005"/>
      <c r="C36" s="335" t="s">
        <v>475</v>
      </c>
      <c r="D36" s="335"/>
      <c r="E36" s="335"/>
      <c r="F36" s="335"/>
      <c r="G36" s="335"/>
      <c r="H36" s="335"/>
      <c r="I36" s="335"/>
      <c r="J36" s="335"/>
      <c r="K36" s="335"/>
      <c r="L36" s="335"/>
      <c r="M36" s="335"/>
      <c r="N36" s="335"/>
      <c r="O36" s="459"/>
      <c r="P36" s="459"/>
      <c r="Q36" s="335" t="s">
        <v>476</v>
      </c>
      <c r="R36" s="335"/>
      <c r="S36" s="335"/>
      <c r="T36" s="335"/>
      <c r="U36" s="335"/>
      <c r="V36" s="335"/>
      <c r="W36" s="335"/>
      <c r="X36" s="335"/>
      <c r="Y36" s="335"/>
      <c r="Z36" s="335"/>
      <c r="AA36" s="335"/>
      <c r="AB36" s="335"/>
      <c r="AC36" s="459"/>
      <c r="AD36" s="460"/>
      <c r="AF36" t="s">
        <v>477</v>
      </c>
    </row>
    <row r="37" spans="1:32">
      <c r="A37" s="1004"/>
      <c r="B37" s="1005"/>
      <c r="C37" s="335" t="s">
        <v>478</v>
      </c>
      <c r="D37" s="335"/>
      <c r="E37" s="335"/>
      <c r="F37" s="335"/>
      <c r="G37" s="335"/>
      <c r="H37" s="335"/>
      <c r="I37" s="335"/>
      <c r="J37" s="335"/>
      <c r="K37" s="335"/>
      <c r="L37" s="335"/>
      <c r="M37" s="335"/>
      <c r="N37" s="335"/>
      <c r="O37" s="459"/>
      <c r="P37" s="459"/>
      <c r="Q37" s="335" t="s">
        <v>479</v>
      </c>
      <c r="R37" s="335"/>
      <c r="S37" s="335"/>
      <c r="T37" s="335"/>
      <c r="U37" s="335"/>
      <c r="V37" s="335"/>
      <c r="W37" s="335"/>
      <c r="X37" s="335"/>
      <c r="Y37" s="335"/>
      <c r="Z37" s="335"/>
      <c r="AA37" s="335"/>
      <c r="AB37" s="335"/>
      <c r="AC37" s="459"/>
      <c r="AD37" s="460"/>
      <c r="AF37" t="s">
        <v>480</v>
      </c>
    </row>
    <row r="38" spans="1:32">
      <c r="A38" s="1004"/>
      <c r="B38" s="1005"/>
      <c r="C38" s="1000"/>
      <c r="D38" s="1000"/>
      <c r="E38" s="1000"/>
      <c r="F38" s="1000"/>
      <c r="G38" s="335" t="s">
        <v>481</v>
      </c>
      <c r="H38" s="335"/>
      <c r="I38" s="335"/>
      <c r="J38" s="335"/>
      <c r="K38" s="335"/>
      <c r="L38" s="335"/>
      <c r="M38" s="335"/>
      <c r="N38" s="335"/>
      <c r="O38" s="335"/>
      <c r="P38" s="335"/>
      <c r="Q38" s="335"/>
      <c r="R38" s="335"/>
      <c r="S38" s="335" t="s">
        <v>482</v>
      </c>
      <c r="T38" s="335"/>
      <c r="U38" s="335"/>
      <c r="V38" s="335"/>
      <c r="W38" s="335"/>
      <c r="X38" s="335"/>
      <c r="Y38" s="335"/>
      <c r="Z38" s="335"/>
      <c r="AA38" s="335"/>
      <c r="AB38" s="335"/>
      <c r="AC38" s="335"/>
      <c r="AD38" s="1001"/>
    </row>
    <row r="39" spans="1:32">
      <c r="A39" s="1004"/>
      <c r="B39" s="1005"/>
      <c r="C39" s="1000"/>
      <c r="D39" s="1000"/>
      <c r="E39" s="1000"/>
      <c r="F39" s="1000"/>
      <c r="G39" s="335" t="s">
        <v>483</v>
      </c>
      <c r="H39" s="335"/>
      <c r="I39" s="335"/>
      <c r="J39" s="335"/>
      <c r="K39" s="335"/>
      <c r="L39" s="335"/>
      <c r="M39" s="335" t="s">
        <v>484</v>
      </c>
      <c r="N39" s="335"/>
      <c r="O39" s="335"/>
      <c r="P39" s="335"/>
      <c r="Q39" s="335"/>
      <c r="R39" s="335"/>
      <c r="S39" s="335" t="s">
        <v>483</v>
      </c>
      <c r="T39" s="335"/>
      <c r="U39" s="335"/>
      <c r="V39" s="335"/>
      <c r="W39" s="335"/>
      <c r="X39" s="335"/>
      <c r="Y39" s="335" t="s">
        <v>484</v>
      </c>
      <c r="Z39" s="335"/>
      <c r="AA39" s="335"/>
      <c r="AB39" s="335"/>
      <c r="AC39" s="335"/>
      <c r="AD39" s="1001"/>
    </row>
    <row r="40" spans="1:32">
      <c r="A40" s="1004"/>
      <c r="B40" s="1005"/>
      <c r="C40" s="161" t="s">
        <v>485</v>
      </c>
      <c r="D40" s="161"/>
      <c r="E40" s="161"/>
      <c r="F40" s="161"/>
      <c r="G40" s="996"/>
      <c r="H40" s="996"/>
      <c r="I40" s="996"/>
      <c r="J40" s="996"/>
      <c r="K40" s="996"/>
      <c r="L40" s="996"/>
      <c r="M40" s="996"/>
      <c r="N40" s="996"/>
      <c r="O40" s="996"/>
      <c r="P40" s="996"/>
      <c r="Q40" s="996"/>
      <c r="R40" s="996"/>
      <c r="S40" s="997"/>
      <c r="T40" s="997"/>
      <c r="U40" s="997"/>
      <c r="V40" s="997"/>
      <c r="W40" s="997"/>
      <c r="X40" s="997"/>
      <c r="Y40" s="997"/>
      <c r="Z40" s="997"/>
      <c r="AA40" s="997"/>
      <c r="AB40" s="997"/>
      <c r="AC40" s="997"/>
      <c r="AD40" s="998"/>
    </row>
    <row r="41" spans="1:32">
      <c r="A41" s="1004"/>
      <c r="B41" s="1005"/>
      <c r="C41" s="161" t="s">
        <v>486</v>
      </c>
      <c r="D41" s="161"/>
      <c r="E41" s="161"/>
      <c r="F41" s="161"/>
      <c r="G41" s="996"/>
      <c r="H41" s="996"/>
      <c r="I41" s="996"/>
      <c r="J41" s="996"/>
      <c r="K41" s="996"/>
      <c r="L41" s="996"/>
      <c r="M41" s="996"/>
      <c r="N41" s="996"/>
      <c r="O41" s="996"/>
      <c r="P41" s="996"/>
      <c r="Q41" s="996"/>
      <c r="R41" s="996"/>
      <c r="S41" s="997"/>
      <c r="T41" s="997"/>
      <c r="U41" s="997"/>
      <c r="V41" s="997"/>
      <c r="W41" s="997"/>
      <c r="X41" s="997"/>
      <c r="Y41" s="997"/>
      <c r="Z41" s="997"/>
      <c r="AA41" s="997"/>
      <c r="AB41" s="997"/>
      <c r="AC41" s="997"/>
      <c r="AD41" s="998"/>
    </row>
    <row r="42" spans="1:32">
      <c r="A42" s="1004"/>
      <c r="B42" s="1005"/>
      <c r="C42" s="161" t="s">
        <v>487</v>
      </c>
      <c r="D42" s="161"/>
      <c r="E42" s="161"/>
      <c r="F42" s="161"/>
      <c r="G42" s="996"/>
      <c r="H42" s="996"/>
      <c r="I42" s="996"/>
      <c r="J42" s="996"/>
      <c r="K42" s="996"/>
      <c r="L42" s="996"/>
      <c r="M42" s="996"/>
      <c r="N42" s="996"/>
      <c r="O42" s="996"/>
      <c r="P42" s="996"/>
      <c r="Q42" s="996"/>
      <c r="R42" s="996"/>
      <c r="S42" s="997"/>
      <c r="T42" s="997"/>
      <c r="U42" s="997"/>
      <c r="V42" s="997"/>
      <c r="W42" s="997"/>
      <c r="X42" s="997"/>
      <c r="Y42" s="997"/>
      <c r="Z42" s="997"/>
      <c r="AA42" s="997"/>
      <c r="AB42" s="997"/>
      <c r="AC42" s="997"/>
      <c r="AD42" s="998"/>
    </row>
    <row r="43" spans="1:32" ht="15.75" thickBot="1">
      <c r="A43" s="1006"/>
      <c r="B43" s="1007"/>
      <c r="C43" s="999" t="s">
        <v>488</v>
      </c>
      <c r="D43" s="999"/>
      <c r="E43" s="999"/>
      <c r="F43" s="999"/>
      <c r="G43" s="999"/>
      <c r="H43" s="999"/>
      <c r="I43" s="999"/>
      <c r="J43" s="870"/>
      <c r="K43" s="870"/>
      <c r="L43" s="870"/>
      <c r="M43" s="870"/>
      <c r="N43" s="870"/>
      <c r="O43" s="870"/>
      <c r="P43" s="870"/>
      <c r="Q43" s="870"/>
      <c r="R43" s="870"/>
      <c r="S43" s="870"/>
      <c r="T43" s="870"/>
      <c r="U43" s="870"/>
      <c r="V43" s="870"/>
      <c r="W43" s="870"/>
      <c r="X43" s="870"/>
      <c r="Y43" s="870"/>
      <c r="Z43" s="870"/>
      <c r="AA43" s="870"/>
      <c r="AB43" s="870"/>
      <c r="AC43" s="870"/>
      <c r="AD43" s="871"/>
    </row>
    <row r="44" spans="1:32" ht="15.75" thickBot="1"/>
    <row r="45" spans="1:32">
      <c r="A45" s="1002" t="s">
        <v>464</v>
      </c>
      <c r="B45" s="1003"/>
      <c r="C45" s="1008" t="s">
        <v>260</v>
      </c>
      <c r="D45" s="1008"/>
      <c r="E45" s="1008"/>
      <c r="F45" s="1009"/>
      <c r="G45" s="1009"/>
      <c r="H45" s="1009"/>
      <c r="I45" s="1009"/>
      <c r="J45" s="1009"/>
      <c r="K45" s="1009"/>
      <c r="L45" s="1009"/>
      <c r="M45" s="1008" t="s">
        <v>346</v>
      </c>
      <c r="N45" s="1008"/>
      <c r="O45" s="1010"/>
      <c r="P45" s="1010"/>
      <c r="Q45" s="1010"/>
      <c r="R45" s="1010"/>
      <c r="S45" s="1010"/>
      <c r="T45" s="1010"/>
      <c r="U45" s="1010"/>
      <c r="V45" s="1010"/>
      <c r="W45" s="1010"/>
      <c r="X45" s="1008" t="s">
        <v>465</v>
      </c>
      <c r="Y45" s="1008"/>
      <c r="Z45" s="1008"/>
      <c r="AA45" s="1010"/>
      <c r="AB45" s="1010"/>
      <c r="AC45" s="1010"/>
      <c r="AD45" s="1011"/>
    </row>
    <row r="46" spans="1:32">
      <c r="A46" s="1004"/>
      <c r="B46" s="1005"/>
      <c r="C46" s="161" t="s">
        <v>303</v>
      </c>
      <c r="D46" s="161"/>
      <c r="E46" s="161"/>
      <c r="F46" s="868"/>
      <c r="G46" s="910"/>
      <c r="H46" s="34" t="s">
        <v>304</v>
      </c>
      <c r="I46" s="1015" t="s">
        <v>466</v>
      </c>
      <c r="J46" s="335"/>
      <c r="K46" s="335"/>
      <c r="L46" s="335"/>
      <c r="M46" s="459"/>
      <c r="N46" s="459"/>
      <c r="O46" s="459"/>
      <c r="P46" s="335" t="s">
        <v>467</v>
      </c>
      <c r="Q46" s="335"/>
      <c r="R46" s="335"/>
      <c r="S46" s="335"/>
      <c r="T46" s="335"/>
      <c r="U46" s="459"/>
      <c r="V46" s="459"/>
      <c r="W46" s="459"/>
      <c r="X46" s="459"/>
      <c r="Y46" s="459"/>
      <c r="Z46" s="459"/>
      <c r="AA46" s="103" t="s">
        <v>264</v>
      </c>
      <c r="AB46" s="459"/>
      <c r="AC46" s="347"/>
      <c r="AD46" s="78" t="s">
        <v>263</v>
      </c>
      <c r="AF46" t="s">
        <v>468</v>
      </c>
    </row>
    <row r="47" spans="1:32">
      <c r="A47" s="1004"/>
      <c r="B47" s="1005"/>
      <c r="C47" s="335" t="s">
        <v>469</v>
      </c>
      <c r="D47" s="335"/>
      <c r="E47" s="335"/>
      <c r="F47" s="335"/>
      <c r="G47" s="335"/>
      <c r="H47" s="335"/>
      <c r="I47" s="335"/>
      <c r="J47" s="335"/>
      <c r="K47" s="335"/>
      <c r="L47" s="335"/>
      <c r="M47" s="335"/>
      <c r="N47" s="335"/>
      <c r="O47" s="459"/>
      <c r="P47" s="459"/>
      <c r="Q47" s="1013" t="s">
        <v>470</v>
      </c>
      <c r="R47" s="1014"/>
      <c r="S47" s="1014"/>
      <c r="T47" s="1014"/>
      <c r="U47" s="1014"/>
      <c r="V47" s="1014"/>
      <c r="W47" s="1015"/>
      <c r="X47" s="347"/>
      <c r="Y47" s="348"/>
      <c r="Z47" s="348"/>
      <c r="AA47" s="348"/>
      <c r="AB47" s="348"/>
      <c r="AC47" s="348"/>
      <c r="AD47" s="1012"/>
      <c r="AF47" t="s">
        <v>471</v>
      </c>
    </row>
    <row r="48" spans="1:32">
      <c r="A48" s="1004"/>
      <c r="B48" s="1005"/>
      <c r="C48" s="1013" t="s">
        <v>472</v>
      </c>
      <c r="D48" s="1014"/>
      <c r="E48" s="1014"/>
      <c r="F48" s="1014"/>
      <c r="G48" s="1014"/>
      <c r="H48" s="1014"/>
      <c r="I48" s="1015"/>
      <c r="J48" s="347"/>
      <c r="K48" s="348"/>
      <c r="L48" s="348"/>
      <c r="M48" s="348"/>
      <c r="N48" s="348"/>
      <c r="O48" s="348"/>
      <c r="P48" s="1012"/>
      <c r="Q48" s="1013" t="s">
        <v>473</v>
      </c>
      <c r="R48" s="1014"/>
      <c r="S48" s="1014"/>
      <c r="T48" s="1014"/>
      <c r="U48" s="1014"/>
      <c r="V48" s="1014"/>
      <c r="W48" s="1015"/>
      <c r="X48" s="347"/>
      <c r="Y48" s="348"/>
      <c r="Z48" s="348"/>
      <c r="AA48" s="348"/>
      <c r="AB48" s="348"/>
      <c r="AC48" s="348"/>
      <c r="AD48" s="1012"/>
      <c r="AF48" t="s">
        <v>474</v>
      </c>
    </row>
    <row r="49" spans="1:32">
      <c r="A49" s="1004"/>
      <c r="B49" s="1005"/>
      <c r="C49" s="335" t="s">
        <v>475</v>
      </c>
      <c r="D49" s="335"/>
      <c r="E49" s="335"/>
      <c r="F49" s="335"/>
      <c r="G49" s="335"/>
      <c r="H49" s="335"/>
      <c r="I49" s="335"/>
      <c r="J49" s="335"/>
      <c r="K49" s="335"/>
      <c r="L49" s="335"/>
      <c r="M49" s="335"/>
      <c r="N49" s="335"/>
      <c r="O49" s="459"/>
      <c r="P49" s="459"/>
      <c r="Q49" s="335" t="s">
        <v>476</v>
      </c>
      <c r="R49" s="335"/>
      <c r="S49" s="335"/>
      <c r="T49" s="335"/>
      <c r="U49" s="335"/>
      <c r="V49" s="335"/>
      <c r="W49" s="335"/>
      <c r="X49" s="335"/>
      <c r="Y49" s="335"/>
      <c r="Z49" s="335"/>
      <c r="AA49" s="335"/>
      <c r="AB49" s="335"/>
      <c r="AC49" s="459"/>
      <c r="AD49" s="460"/>
      <c r="AF49" t="s">
        <v>477</v>
      </c>
    </row>
    <row r="50" spans="1:32">
      <c r="A50" s="1004"/>
      <c r="B50" s="1005"/>
      <c r="C50" s="335" t="s">
        <v>478</v>
      </c>
      <c r="D50" s="335"/>
      <c r="E50" s="335"/>
      <c r="F50" s="335"/>
      <c r="G50" s="335"/>
      <c r="H50" s="335"/>
      <c r="I50" s="335"/>
      <c r="J50" s="335"/>
      <c r="K50" s="335"/>
      <c r="L50" s="335"/>
      <c r="M50" s="335"/>
      <c r="N50" s="335"/>
      <c r="O50" s="459"/>
      <c r="P50" s="459"/>
      <c r="Q50" s="335" t="s">
        <v>479</v>
      </c>
      <c r="R50" s="335"/>
      <c r="S50" s="335"/>
      <c r="T50" s="335"/>
      <c r="U50" s="335"/>
      <c r="V50" s="335"/>
      <c r="W50" s="335"/>
      <c r="X50" s="335"/>
      <c r="Y50" s="335"/>
      <c r="Z50" s="335"/>
      <c r="AA50" s="335"/>
      <c r="AB50" s="335"/>
      <c r="AC50" s="459"/>
      <c r="AD50" s="460"/>
      <c r="AF50" t="s">
        <v>480</v>
      </c>
    </row>
    <row r="51" spans="1:32">
      <c r="A51" s="1004"/>
      <c r="B51" s="1005"/>
      <c r="C51" s="1000"/>
      <c r="D51" s="1000"/>
      <c r="E51" s="1000"/>
      <c r="F51" s="1000"/>
      <c r="G51" s="335" t="s">
        <v>481</v>
      </c>
      <c r="H51" s="335"/>
      <c r="I51" s="335"/>
      <c r="J51" s="335"/>
      <c r="K51" s="335"/>
      <c r="L51" s="335"/>
      <c r="M51" s="335"/>
      <c r="N51" s="335"/>
      <c r="O51" s="335"/>
      <c r="P51" s="335"/>
      <c r="Q51" s="335"/>
      <c r="R51" s="335"/>
      <c r="S51" s="335" t="s">
        <v>482</v>
      </c>
      <c r="T51" s="335"/>
      <c r="U51" s="335"/>
      <c r="V51" s="335"/>
      <c r="W51" s="335"/>
      <c r="X51" s="335"/>
      <c r="Y51" s="335"/>
      <c r="Z51" s="335"/>
      <c r="AA51" s="335"/>
      <c r="AB51" s="335"/>
      <c r="AC51" s="335"/>
      <c r="AD51" s="1001"/>
    </row>
    <row r="52" spans="1:32">
      <c r="A52" s="1004"/>
      <c r="B52" s="1005"/>
      <c r="C52" s="1000"/>
      <c r="D52" s="1000"/>
      <c r="E52" s="1000"/>
      <c r="F52" s="1000"/>
      <c r="G52" s="335" t="s">
        <v>483</v>
      </c>
      <c r="H52" s="335"/>
      <c r="I52" s="335"/>
      <c r="J52" s="335"/>
      <c r="K52" s="335"/>
      <c r="L52" s="335"/>
      <c r="M52" s="335" t="s">
        <v>484</v>
      </c>
      <c r="N52" s="335"/>
      <c r="O52" s="335"/>
      <c r="P52" s="335"/>
      <c r="Q52" s="335"/>
      <c r="R52" s="335"/>
      <c r="S52" s="335" t="s">
        <v>483</v>
      </c>
      <c r="T52" s="335"/>
      <c r="U52" s="335"/>
      <c r="V52" s="335"/>
      <c r="W52" s="335"/>
      <c r="X52" s="335"/>
      <c r="Y52" s="335" t="s">
        <v>484</v>
      </c>
      <c r="Z52" s="335"/>
      <c r="AA52" s="335"/>
      <c r="AB52" s="335"/>
      <c r="AC52" s="335"/>
      <c r="AD52" s="1001"/>
    </row>
    <row r="53" spans="1:32">
      <c r="A53" s="1004"/>
      <c r="B53" s="1005"/>
      <c r="C53" s="161" t="s">
        <v>485</v>
      </c>
      <c r="D53" s="161"/>
      <c r="E53" s="161"/>
      <c r="F53" s="161"/>
      <c r="G53" s="996"/>
      <c r="H53" s="996"/>
      <c r="I53" s="996"/>
      <c r="J53" s="996"/>
      <c r="K53" s="996"/>
      <c r="L53" s="996"/>
      <c r="M53" s="996"/>
      <c r="N53" s="996"/>
      <c r="O53" s="996"/>
      <c r="P53" s="996"/>
      <c r="Q53" s="996"/>
      <c r="R53" s="996"/>
      <c r="S53" s="997"/>
      <c r="T53" s="997"/>
      <c r="U53" s="997"/>
      <c r="V53" s="997"/>
      <c r="W53" s="997"/>
      <c r="X53" s="997"/>
      <c r="Y53" s="997"/>
      <c r="Z53" s="997"/>
      <c r="AA53" s="997"/>
      <c r="AB53" s="997"/>
      <c r="AC53" s="997"/>
      <c r="AD53" s="998"/>
    </row>
    <row r="54" spans="1:32">
      <c r="A54" s="1004"/>
      <c r="B54" s="1005"/>
      <c r="C54" s="161" t="s">
        <v>486</v>
      </c>
      <c r="D54" s="161"/>
      <c r="E54" s="161"/>
      <c r="F54" s="161"/>
      <c r="G54" s="996"/>
      <c r="H54" s="996"/>
      <c r="I54" s="996"/>
      <c r="J54" s="996"/>
      <c r="K54" s="996"/>
      <c r="L54" s="996"/>
      <c r="M54" s="996"/>
      <c r="N54" s="996"/>
      <c r="O54" s="996"/>
      <c r="P54" s="996"/>
      <c r="Q54" s="996"/>
      <c r="R54" s="996"/>
      <c r="S54" s="997"/>
      <c r="T54" s="997"/>
      <c r="U54" s="997"/>
      <c r="V54" s="997"/>
      <c r="W54" s="997"/>
      <c r="X54" s="997"/>
      <c r="Y54" s="997"/>
      <c r="Z54" s="997"/>
      <c r="AA54" s="997"/>
      <c r="AB54" s="997"/>
      <c r="AC54" s="997"/>
      <c r="AD54" s="998"/>
    </row>
    <row r="55" spans="1:32">
      <c r="A55" s="1004"/>
      <c r="B55" s="1005"/>
      <c r="C55" s="161" t="s">
        <v>487</v>
      </c>
      <c r="D55" s="161"/>
      <c r="E55" s="161"/>
      <c r="F55" s="161"/>
      <c r="G55" s="996"/>
      <c r="H55" s="996"/>
      <c r="I55" s="996"/>
      <c r="J55" s="996"/>
      <c r="K55" s="996"/>
      <c r="L55" s="996"/>
      <c r="M55" s="996"/>
      <c r="N55" s="996"/>
      <c r="O55" s="996"/>
      <c r="P55" s="996"/>
      <c r="Q55" s="996"/>
      <c r="R55" s="996"/>
      <c r="S55" s="997"/>
      <c r="T55" s="997"/>
      <c r="U55" s="997"/>
      <c r="V55" s="997"/>
      <c r="W55" s="997"/>
      <c r="X55" s="997"/>
      <c r="Y55" s="997"/>
      <c r="Z55" s="997"/>
      <c r="AA55" s="997"/>
      <c r="AB55" s="997"/>
      <c r="AC55" s="997"/>
      <c r="AD55" s="998"/>
    </row>
    <row r="56" spans="1:32" ht="15.75" thickBot="1">
      <c r="A56" s="1006"/>
      <c r="B56" s="1007"/>
      <c r="C56" s="999" t="s">
        <v>488</v>
      </c>
      <c r="D56" s="999"/>
      <c r="E56" s="999"/>
      <c r="F56" s="999"/>
      <c r="G56" s="999"/>
      <c r="H56" s="999"/>
      <c r="I56" s="999"/>
      <c r="J56" s="870"/>
      <c r="K56" s="870"/>
      <c r="L56" s="870"/>
      <c r="M56" s="870"/>
      <c r="N56" s="870"/>
      <c r="O56" s="870"/>
      <c r="P56" s="870"/>
      <c r="Q56" s="870"/>
      <c r="R56" s="870"/>
      <c r="S56" s="870"/>
      <c r="T56" s="870"/>
      <c r="U56" s="870"/>
      <c r="V56" s="870"/>
      <c r="W56" s="870"/>
      <c r="X56" s="870"/>
      <c r="Y56" s="870"/>
      <c r="Z56" s="870"/>
      <c r="AA56" s="870"/>
      <c r="AB56" s="870"/>
      <c r="AC56" s="870"/>
      <c r="AD56" s="871"/>
    </row>
    <row r="57" spans="1:32" ht="15.75" thickBot="1"/>
    <row r="58" spans="1:32">
      <c r="A58" s="1002" t="s">
        <v>464</v>
      </c>
      <c r="B58" s="1003"/>
      <c r="C58" s="1008" t="s">
        <v>260</v>
      </c>
      <c r="D58" s="1008"/>
      <c r="E58" s="1008"/>
      <c r="F58" s="1009"/>
      <c r="G58" s="1009"/>
      <c r="H58" s="1009"/>
      <c r="I58" s="1009"/>
      <c r="J58" s="1009"/>
      <c r="K58" s="1009"/>
      <c r="L58" s="1009"/>
      <c r="M58" s="1008" t="s">
        <v>346</v>
      </c>
      <c r="N58" s="1008"/>
      <c r="O58" s="1010"/>
      <c r="P58" s="1010"/>
      <c r="Q58" s="1010"/>
      <c r="R58" s="1010"/>
      <c r="S58" s="1010"/>
      <c r="T58" s="1010"/>
      <c r="U58" s="1010"/>
      <c r="V58" s="1010"/>
      <c r="W58" s="1010"/>
      <c r="X58" s="1008" t="s">
        <v>465</v>
      </c>
      <c r="Y58" s="1008"/>
      <c r="Z58" s="1008"/>
      <c r="AA58" s="1010"/>
      <c r="AB58" s="1010"/>
      <c r="AC58" s="1010"/>
      <c r="AD58" s="1011"/>
    </row>
    <row r="59" spans="1:32">
      <c r="A59" s="1004"/>
      <c r="B59" s="1005"/>
      <c r="C59" s="161" t="s">
        <v>303</v>
      </c>
      <c r="D59" s="161"/>
      <c r="E59" s="161"/>
      <c r="F59" s="868"/>
      <c r="G59" s="910"/>
      <c r="H59" s="34" t="s">
        <v>304</v>
      </c>
      <c r="I59" s="1015" t="s">
        <v>466</v>
      </c>
      <c r="J59" s="335"/>
      <c r="K59" s="335"/>
      <c r="L59" s="335"/>
      <c r="M59" s="459"/>
      <c r="N59" s="459"/>
      <c r="O59" s="459"/>
      <c r="P59" s="335" t="s">
        <v>467</v>
      </c>
      <c r="Q59" s="335"/>
      <c r="R59" s="335"/>
      <c r="S59" s="335"/>
      <c r="T59" s="335"/>
      <c r="U59" s="459"/>
      <c r="V59" s="459"/>
      <c r="W59" s="459"/>
      <c r="X59" s="459"/>
      <c r="Y59" s="459"/>
      <c r="Z59" s="459"/>
      <c r="AA59" s="103" t="s">
        <v>264</v>
      </c>
      <c r="AB59" s="459"/>
      <c r="AC59" s="347"/>
      <c r="AD59" s="78" t="s">
        <v>263</v>
      </c>
      <c r="AF59" t="s">
        <v>468</v>
      </c>
    </row>
    <row r="60" spans="1:32">
      <c r="A60" s="1004"/>
      <c r="B60" s="1005"/>
      <c r="C60" s="335" t="s">
        <v>469</v>
      </c>
      <c r="D60" s="335"/>
      <c r="E60" s="335"/>
      <c r="F60" s="335"/>
      <c r="G60" s="335"/>
      <c r="H60" s="335"/>
      <c r="I60" s="335"/>
      <c r="J60" s="335"/>
      <c r="K60" s="335"/>
      <c r="L60" s="335"/>
      <c r="M60" s="335"/>
      <c r="N60" s="335"/>
      <c r="O60" s="459"/>
      <c r="P60" s="459"/>
      <c r="Q60" s="1013" t="s">
        <v>470</v>
      </c>
      <c r="R60" s="1014"/>
      <c r="S60" s="1014"/>
      <c r="T60" s="1014"/>
      <c r="U60" s="1014"/>
      <c r="V60" s="1014"/>
      <c r="W60" s="1015"/>
      <c r="X60" s="347"/>
      <c r="Y60" s="348"/>
      <c r="Z60" s="348"/>
      <c r="AA60" s="348"/>
      <c r="AB60" s="348"/>
      <c r="AC60" s="348"/>
      <c r="AD60" s="1012"/>
      <c r="AF60" t="s">
        <v>471</v>
      </c>
    </row>
    <row r="61" spans="1:32">
      <c r="A61" s="1004"/>
      <c r="B61" s="1005"/>
      <c r="C61" s="1013" t="s">
        <v>472</v>
      </c>
      <c r="D61" s="1014"/>
      <c r="E61" s="1014"/>
      <c r="F61" s="1014"/>
      <c r="G61" s="1014"/>
      <c r="H61" s="1014"/>
      <c r="I61" s="1015"/>
      <c r="J61" s="347"/>
      <c r="K61" s="348"/>
      <c r="L61" s="348"/>
      <c r="M61" s="348"/>
      <c r="N61" s="348"/>
      <c r="O61" s="348"/>
      <c r="P61" s="1012"/>
      <c r="Q61" s="1013" t="s">
        <v>473</v>
      </c>
      <c r="R61" s="1014"/>
      <c r="S61" s="1014"/>
      <c r="T61" s="1014"/>
      <c r="U61" s="1014"/>
      <c r="V61" s="1014"/>
      <c r="W61" s="1015"/>
      <c r="X61" s="347"/>
      <c r="Y61" s="348"/>
      <c r="Z61" s="348"/>
      <c r="AA61" s="348"/>
      <c r="AB61" s="348"/>
      <c r="AC61" s="348"/>
      <c r="AD61" s="1012"/>
      <c r="AF61" t="s">
        <v>474</v>
      </c>
    </row>
    <row r="62" spans="1:32">
      <c r="A62" s="1004"/>
      <c r="B62" s="1005"/>
      <c r="C62" s="335" t="s">
        <v>475</v>
      </c>
      <c r="D62" s="335"/>
      <c r="E62" s="335"/>
      <c r="F62" s="335"/>
      <c r="G62" s="335"/>
      <c r="H62" s="335"/>
      <c r="I62" s="335"/>
      <c r="J62" s="335"/>
      <c r="K62" s="335"/>
      <c r="L62" s="335"/>
      <c r="M62" s="335"/>
      <c r="N62" s="335"/>
      <c r="O62" s="459"/>
      <c r="P62" s="459"/>
      <c r="Q62" s="335" t="s">
        <v>476</v>
      </c>
      <c r="R62" s="335"/>
      <c r="S62" s="335"/>
      <c r="T62" s="335"/>
      <c r="U62" s="335"/>
      <c r="V62" s="335"/>
      <c r="W62" s="335"/>
      <c r="X62" s="335"/>
      <c r="Y62" s="335"/>
      <c r="Z62" s="335"/>
      <c r="AA62" s="335"/>
      <c r="AB62" s="335"/>
      <c r="AC62" s="459"/>
      <c r="AD62" s="460"/>
      <c r="AF62" t="s">
        <v>477</v>
      </c>
    </row>
    <row r="63" spans="1:32">
      <c r="A63" s="1004"/>
      <c r="B63" s="1005"/>
      <c r="C63" s="335" t="s">
        <v>478</v>
      </c>
      <c r="D63" s="335"/>
      <c r="E63" s="335"/>
      <c r="F63" s="335"/>
      <c r="G63" s="335"/>
      <c r="H63" s="335"/>
      <c r="I63" s="335"/>
      <c r="J63" s="335"/>
      <c r="K63" s="335"/>
      <c r="L63" s="335"/>
      <c r="M63" s="335"/>
      <c r="N63" s="335"/>
      <c r="O63" s="459"/>
      <c r="P63" s="459"/>
      <c r="Q63" s="335" t="s">
        <v>479</v>
      </c>
      <c r="R63" s="335"/>
      <c r="S63" s="335"/>
      <c r="T63" s="335"/>
      <c r="U63" s="335"/>
      <c r="V63" s="335"/>
      <c r="W63" s="335"/>
      <c r="X63" s="335"/>
      <c r="Y63" s="335"/>
      <c r="Z63" s="335"/>
      <c r="AA63" s="335"/>
      <c r="AB63" s="335"/>
      <c r="AC63" s="459"/>
      <c r="AD63" s="460"/>
      <c r="AF63" t="s">
        <v>480</v>
      </c>
    </row>
    <row r="64" spans="1:32">
      <c r="A64" s="1004"/>
      <c r="B64" s="1005"/>
      <c r="C64" s="1000"/>
      <c r="D64" s="1000"/>
      <c r="E64" s="1000"/>
      <c r="F64" s="1000"/>
      <c r="G64" s="335" t="s">
        <v>481</v>
      </c>
      <c r="H64" s="335"/>
      <c r="I64" s="335"/>
      <c r="J64" s="335"/>
      <c r="K64" s="335"/>
      <c r="L64" s="335"/>
      <c r="M64" s="335"/>
      <c r="N64" s="335"/>
      <c r="O64" s="335"/>
      <c r="P64" s="335"/>
      <c r="Q64" s="335"/>
      <c r="R64" s="335"/>
      <c r="S64" s="335" t="s">
        <v>482</v>
      </c>
      <c r="T64" s="335"/>
      <c r="U64" s="335"/>
      <c r="V64" s="335"/>
      <c r="W64" s="335"/>
      <c r="X64" s="335"/>
      <c r="Y64" s="335"/>
      <c r="Z64" s="335"/>
      <c r="AA64" s="335"/>
      <c r="AB64" s="335"/>
      <c r="AC64" s="335"/>
      <c r="AD64" s="1001"/>
    </row>
    <row r="65" spans="1:32">
      <c r="A65" s="1004"/>
      <c r="B65" s="1005"/>
      <c r="C65" s="1000"/>
      <c r="D65" s="1000"/>
      <c r="E65" s="1000"/>
      <c r="F65" s="1000"/>
      <c r="G65" s="335" t="s">
        <v>483</v>
      </c>
      <c r="H65" s="335"/>
      <c r="I65" s="335"/>
      <c r="J65" s="335"/>
      <c r="K65" s="335"/>
      <c r="L65" s="335"/>
      <c r="M65" s="335" t="s">
        <v>484</v>
      </c>
      <c r="N65" s="335"/>
      <c r="O65" s="335"/>
      <c r="P65" s="335"/>
      <c r="Q65" s="335"/>
      <c r="R65" s="335"/>
      <c r="S65" s="335" t="s">
        <v>483</v>
      </c>
      <c r="T65" s="335"/>
      <c r="U65" s="335"/>
      <c r="V65" s="335"/>
      <c r="W65" s="335"/>
      <c r="X65" s="335"/>
      <c r="Y65" s="335" t="s">
        <v>484</v>
      </c>
      <c r="Z65" s="335"/>
      <c r="AA65" s="335"/>
      <c r="AB65" s="335"/>
      <c r="AC65" s="335"/>
      <c r="AD65" s="1001"/>
    </row>
    <row r="66" spans="1:32">
      <c r="A66" s="1004"/>
      <c r="B66" s="1005"/>
      <c r="C66" s="161" t="s">
        <v>485</v>
      </c>
      <c r="D66" s="161"/>
      <c r="E66" s="161"/>
      <c r="F66" s="161"/>
      <c r="G66" s="996"/>
      <c r="H66" s="996"/>
      <c r="I66" s="996"/>
      <c r="J66" s="996"/>
      <c r="K66" s="996"/>
      <c r="L66" s="996"/>
      <c r="M66" s="996"/>
      <c r="N66" s="996"/>
      <c r="O66" s="996"/>
      <c r="P66" s="996"/>
      <c r="Q66" s="996"/>
      <c r="R66" s="996"/>
      <c r="S66" s="997"/>
      <c r="T66" s="997"/>
      <c r="U66" s="997"/>
      <c r="V66" s="997"/>
      <c r="W66" s="997"/>
      <c r="X66" s="997"/>
      <c r="Y66" s="997"/>
      <c r="Z66" s="997"/>
      <c r="AA66" s="997"/>
      <c r="AB66" s="997"/>
      <c r="AC66" s="997"/>
      <c r="AD66" s="998"/>
    </row>
    <row r="67" spans="1:32">
      <c r="A67" s="1004"/>
      <c r="B67" s="1005"/>
      <c r="C67" s="161" t="s">
        <v>486</v>
      </c>
      <c r="D67" s="161"/>
      <c r="E67" s="161"/>
      <c r="F67" s="161"/>
      <c r="G67" s="996"/>
      <c r="H67" s="996"/>
      <c r="I67" s="996"/>
      <c r="J67" s="996"/>
      <c r="K67" s="996"/>
      <c r="L67" s="996"/>
      <c r="M67" s="996"/>
      <c r="N67" s="996"/>
      <c r="O67" s="996"/>
      <c r="P67" s="996"/>
      <c r="Q67" s="996"/>
      <c r="R67" s="996"/>
      <c r="S67" s="997"/>
      <c r="T67" s="997"/>
      <c r="U67" s="997"/>
      <c r="V67" s="997"/>
      <c r="W67" s="997"/>
      <c r="X67" s="997"/>
      <c r="Y67" s="997"/>
      <c r="Z67" s="997"/>
      <c r="AA67" s="997"/>
      <c r="AB67" s="997"/>
      <c r="AC67" s="997"/>
      <c r="AD67" s="998"/>
    </row>
    <row r="68" spans="1:32">
      <c r="A68" s="1004"/>
      <c r="B68" s="1005"/>
      <c r="C68" s="161" t="s">
        <v>487</v>
      </c>
      <c r="D68" s="161"/>
      <c r="E68" s="161"/>
      <c r="F68" s="161"/>
      <c r="G68" s="996"/>
      <c r="H68" s="996"/>
      <c r="I68" s="996"/>
      <c r="J68" s="996"/>
      <c r="K68" s="996"/>
      <c r="L68" s="996"/>
      <c r="M68" s="996"/>
      <c r="N68" s="996"/>
      <c r="O68" s="996"/>
      <c r="P68" s="996"/>
      <c r="Q68" s="996"/>
      <c r="R68" s="996"/>
      <c r="S68" s="997"/>
      <c r="T68" s="997"/>
      <c r="U68" s="997"/>
      <c r="V68" s="997"/>
      <c r="W68" s="997"/>
      <c r="X68" s="997"/>
      <c r="Y68" s="997"/>
      <c r="Z68" s="997"/>
      <c r="AA68" s="997"/>
      <c r="AB68" s="997"/>
      <c r="AC68" s="997"/>
      <c r="AD68" s="998"/>
    </row>
    <row r="69" spans="1:32" ht="15.75" thickBot="1">
      <c r="A69" s="1006"/>
      <c r="B69" s="1007"/>
      <c r="C69" s="999" t="s">
        <v>488</v>
      </c>
      <c r="D69" s="999"/>
      <c r="E69" s="999"/>
      <c r="F69" s="999"/>
      <c r="G69" s="999"/>
      <c r="H69" s="999"/>
      <c r="I69" s="999"/>
      <c r="J69" s="870"/>
      <c r="K69" s="870"/>
      <c r="L69" s="870"/>
      <c r="M69" s="870"/>
      <c r="N69" s="870"/>
      <c r="O69" s="870"/>
      <c r="P69" s="870"/>
      <c r="Q69" s="870"/>
      <c r="R69" s="870"/>
      <c r="S69" s="870"/>
      <c r="T69" s="870"/>
      <c r="U69" s="870"/>
      <c r="V69" s="870"/>
      <c r="W69" s="870"/>
      <c r="X69" s="870"/>
      <c r="Y69" s="870"/>
      <c r="Z69" s="870"/>
      <c r="AA69" s="870"/>
      <c r="AB69" s="870"/>
      <c r="AC69" s="870"/>
      <c r="AD69" s="871"/>
    </row>
    <row r="70" spans="1:32" ht="15.75" thickBot="1"/>
    <row r="71" spans="1:32" ht="21">
      <c r="A71" s="993" t="s">
        <v>489</v>
      </c>
      <c r="B71" s="994"/>
      <c r="C71" s="994"/>
      <c r="D71" s="994"/>
      <c r="E71" s="994"/>
      <c r="F71" s="994"/>
      <c r="G71" s="994"/>
      <c r="H71" s="994"/>
      <c r="I71" s="994"/>
      <c r="J71" s="994"/>
      <c r="K71" s="994"/>
      <c r="L71" s="994"/>
      <c r="M71" s="994"/>
      <c r="N71" s="994"/>
      <c r="O71" s="994"/>
      <c r="P71" s="994"/>
      <c r="Q71" s="994"/>
      <c r="R71" s="994"/>
      <c r="S71" s="994"/>
      <c r="T71" s="994"/>
      <c r="U71" s="994"/>
      <c r="V71" s="994"/>
      <c r="W71" s="994"/>
      <c r="X71" s="994"/>
      <c r="Y71" s="994"/>
      <c r="Z71" s="994"/>
      <c r="AA71" s="994"/>
      <c r="AB71" s="994"/>
      <c r="AC71" s="994"/>
      <c r="AD71" s="995"/>
      <c r="AF71" t="s">
        <v>490</v>
      </c>
    </row>
    <row r="72" spans="1:32">
      <c r="A72" s="991" t="s">
        <v>491</v>
      </c>
      <c r="B72" s="991"/>
      <c r="C72" s="991"/>
      <c r="D72" s="991"/>
      <c r="E72" s="161" t="s">
        <v>261</v>
      </c>
      <c r="F72" s="161"/>
      <c r="G72" s="161"/>
      <c r="H72" s="910"/>
      <c r="I72" s="911"/>
      <c r="J72" s="911"/>
      <c r="K72" s="911"/>
      <c r="L72" s="911"/>
      <c r="M72" s="911"/>
      <c r="N72" s="912"/>
      <c r="O72" s="992" t="s">
        <v>270</v>
      </c>
      <c r="P72" s="179"/>
      <c r="Q72" s="180"/>
      <c r="R72" s="910"/>
      <c r="S72" s="911"/>
      <c r="T72" s="911"/>
      <c r="U72" s="912"/>
      <c r="V72" s="161" t="s">
        <v>305</v>
      </c>
      <c r="W72" s="161"/>
      <c r="X72" s="161"/>
      <c r="Y72" s="868"/>
      <c r="Z72" s="868"/>
      <c r="AA72" s="868"/>
      <c r="AB72" s="868"/>
      <c r="AC72" s="868"/>
      <c r="AD72" s="868"/>
    </row>
    <row r="73" spans="1:32">
      <c r="A73" s="991" t="s">
        <v>491</v>
      </c>
      <c r="B73" s="991"/>
      <c r="C73" s="991"/>
      <c r="D73" s="991"/>
      <c r="E73" s="161" t="s">
        <v>261</v>
      </c>
      <c r="F73" s="161"/>
      <c r="G73" s="161"/>
      <c r="H73" s="910"/>
      <c r="I73" s="911"/>
      <c r="J73" s="911"/>
      <c r="K73" s="911"/>
      <c r="L73" s="911"/>
      <c r="M73" s="911"/>
      <c r="N73" s="912"/>
      <c r="O73" s="992" t="s">
        <v>270</v>
      </c>
      <c r="P73" s="179"/>
      <c r="Q73" s="180"/>
      <c r="R73" s="910"/>
      <c r="S73" s="911"/>
      <c r="T73" s="911"/>
      <c r="U73" s="912"/>
      <c r="V73" s="161" t="s">
        <v>305</v>
      </c>
      <c r="W73" s="161"/>
      <c r="X73" s="161"/>
      <c r="Y73" s="868"/>
      <c r="Z73" s="868"/>
      <c r="AA73" s="868"/>
      <c r="AB73" s="868"/>
      <c r="AC73" s="868"/>
      <c r="AD73" s="868"/>
    </row>
    <row r="74" spans="1:32">
      <c r="A74" s="991" t="s">
        <v>320</v>
      </c>
      <c r="B74" s="991"/>
      <c r="C74" s="991"/>
      <c r="D74" s="991"/>
      <c r="E74" s="161" t="s">
        <v>260</v>
      </c>
      <c r="F74" s="161"/>
      <c r="G74" s="161"/>
      <c r="H74" s="868"/>
      <c r="I74" s="868"/>
      <c r="J74" s="868"/>
      <c r="K74" s="868"/>
      <c r="L74" s="161" t="s">
        <v>492</v>
      </c>
      <c r="M74" s="161"/>
      <c r="N74" s="161"/>
      <c r="O74" s="161"/>
      <c r="P74" s="868"/>
      <c r="Q74" s="868"/>
      <c r="R74" s="868"/>
      <c r="S74" s="868"/>
      <c r="T74" s="868"/>
      <c r="U74" s="868"/>
      <c r="V74" s="161" t="s">
        <v>311</v>
      </c>
      <c r="W74" s="161"/>
      <c r="X74" s="161"/>
      <c r="Y74" s="868"/>
      <c r="Z74" s="868"/>
      <c r="AA74" s="868"/>
      <c r="AB74" s="868"/>
      <c r="AC74" s="868"/>
      <c r="AD74" s="868"/>
    </row>
    <row r="75" spans="1:32" ht="15.75" thickBot="1">
      <c r="A75" s="986" t="s">
        <v>493</v>
      </c>
      <c r="B75" s="986"/>
      <c r="C75" s="986"/>
      <c r="D75" s="986"/>
      <c r="E75" s="146" t="s">
        <v>261</v>
      </c>
      <c r="F75" s="146"/>
      <c r="G75" s="146"/>
      <c r="H75" s="987"/>
      <c r="I75" s="988"/>
      <c r="J75" s="988"/>
      <c r="K75" s="988"/>
      <c r="L75" s="988"/>
      <c r="M75" s="988"/>
      <c r="N75" s="988"/>
      <c r="O75" s="988"/>
      <c r="P75" s="988"/>
      <c r="Q75" s="989"/>
      <c r="R75" s="990" t="s">
        <v>492</v>
      </c>
      <c r="S75" s="464"/>
      <c r="T75" s="464"/>
      <c r="U75" s="465"/>
      <c r="V75" s="987"/>
      <c r="W75" s="988"/>
      <c r="X75" s="988"/>
      <c r="Y75" s="988"/>
      <c r="Z75" s="988"/>
      <c r="AA75" s="988"/>
      <c r="AB75" s="988"/>
      <c r="AC75" s="988"/>
      <c r="AD75" s="988"/>
      <c r="AF75" t="s">
        <v>494</v>
      </c>
    </row>
  </sheetData>
  <mergeCells count="284">
    <mergeCell ref="P1:AD4"/>
    <mergeCell ref="A5:O6"/>
    <mergeCell ref="P5:T6"/>
    <mergeCell ref="U5:AD6"/>
    <mergeCell ref="A7:F7"/>
    <mergeCell ref="G7:O7"/>
    <mergeCell ref="P7:T7"/>
    <mergeCell ref="U7:AD7"/>
    <mergeCell ref="A11:AD11"/>
    <mergeCell ref="A12:AD12"/>
    <mergeCell ref="A13:C13"/>
    <mergeCell ref="D13:G13"/>
    <mergeCell ref="H13:M13"/>
    <mergeCell ref="N13:S13"/>
    <mergeCell ref="T13:Y13"/>
    <mergeCell ref="Z13:AD13"/>
    <mergeCell ref="A8:F8"/>
    <mergeCell ref="G8:O8"/>
    <mergeCell ref="P8:T8"/>
    <mergeCell ref="U8:AD8"/>
    <mergeCell ref="A9:F9"/>
    <mergeCell ref="G9:O9"/>
    <mergeCell ref="P9:T9"/>
    <mergeCell ref="U9:AD9"/>
    <mergeCell ref="P16:Q16"/>
    <mergeCell ref="R16:AB16"/>
    <mergeCell ref="AC16:AD16"/>
    <mergeCell ref="D17:O17"/>
    <mergeCell ref="P17:Q17"/>
    <mergeCell ref="R17:AB17"/>
    <mergeCell ref="AC17:AD17"/>
    <mergeCell ref="A14:C17"/>
    <mergeCell ref="D14:O14"/>
    <mergeCell ref="P14:Q14"/>
    <mergeCell ref="R14:AB14"/>
    <mergeCell ref="AC14:AD14"/>
    <mergeCell ref="D15:O15"/>
    <mergeCell ref="P15:Q15"/>
    <mergeCell ref="R15:AB15"/>
    <mergeCell ref="AC15:AD15"/>
    <mergeCell ref="D16:O16"/>
    <mergeCell ref="C22:I22"/>
    <mergeCell ref="J22:P22"/>
    <mergeCell ref="Q22:W22"/>
    <mergeCell ref="X22:AD22"/>
    <mergeCell ref="C23:N23"/>
    <mergeCell ref="O23:P23"/>
    <mergeCell ref="Q23:AB23"/>
    <mergeCell ref="AC23:AD23"/>
    <mergeCell ref="AA19:AD19"/>
    <mergeCell ref="C20:E20"/>
    <mergeCell ref="F20:G20"/>
    <mergeCell ref="I20:L20"/>
    <mergeCell ref="M20:O20"/>
    <mergeCell ref="P20:T20"/>
    <mergeCell ref="U20:Z20"/>
    <mergeCell ref="AB20:AC20"/>
    <mergeCell ref="C19:E19"/>
    <mergeCell ref="F19:L19"/>
    <mergeCell ref="M19:N19"/>
    <mergeCell ref="O19:W19"/>
    <mergeCell ref="X19:Z19"/>
    <mergeCell ref="C21:N21"/>
    <mergeCell ref="O21:P21"/>
    <mergeCell ref="Q21:W21"/>
    <mergeCell ref="Y26:AD26"/>
    <mergeCell ref="C27:F27"/>
    <mergeCell ref="G27:L27"/>
    <mergeCell ref="M27:R27"/>
    <mergeCell ref="S27:X27"/>
    <mergeCell ref="Y27:AD27"/>
    <mergeCell ref="C24:N24"/>
    <mergeCell ref="O24:P24"/>
    <mergeCell ref="Q24:AB24"/>
    <mergeCell ref="AC24:AD24"/>
    <mergeCell ref="C25:F26"/>
    <mergeCell ref="G25:R25"/>
    <mergeCell ref="S25:AD25"/>
    <mergeCell ref="G26:L26"/>
    <mergeCell ref="M26:R26"/>
    <mergeCell ref="S26:X26"/>
    <mergeCell ref="C28:F28"/>
    <mergeCell ref="G28:L28"/>
    <mergeCell ref="M28:R28"/>
    <mergeCell ref="S28:X28"/>
    <mergeCell ref="Y28:AD28"/>
    <mergeCell ref="C29:F29"/>
    <mergeCell ref="G29:L29"/>
    <mergeCell ref="M29:R29"/>
    <mergeCell ref="S29:X29"/>
    <mergeCell ref="Y29:AD29"/>
    <mergeCell ref="C30:I30"/>
    <mergeCell ref="J30:AD30"/>
    <mergeCell ref="A32:B43"/>
    <mergeCell ref="C32:E32"/>
    <mergeCell ref="F32:L32"/>
    <mergeCell ref="M32:N32"/>
    <mergeCell ref="O32:W32"/>
    <mergeCell ref="X32:Z32"/>
    <mergeCell ref="AA32:AD32"/>
    <mergeCell ref="C33:E33"/>
    <mergeCell ref="A19:B30"/>
    <mergeCell ref="X21:AD21"/>
    <mergeCell ref="C34:N34"/>
    <mergeCell ref="O34:P34"/>
    <mergeCell ref="Q34:W34"/>
    <mergeCell ref="X34:AD34"/>
    <mergeCell ref="C35:I35"/>
    <mergeCell ref="J35:P35"/>
    <mergeCell ref="Q35:W35"/>
    <mergeCell ref="X35:AD35"/>
    <mergeCell ref="F33:G33"/>
    <mergeCell ref="I33:L33"/>
    <mergeCell ref="M33:O33"/>
    <mergeCell ref="P33:T33"/>
    <mergeCell ref="U33:Z33"/>
    <mergeCell ref="AB33:AC33"/>
    <mergeCell ref="C38:F39"/>
    <mergeCell ref="G38:R38"/>
    <mergeCell ref="S38:AD38"/>
    <mergeCell ref="G39:L39"/>
    <mergeCell ref="M39:R39"/>
    <mergeCell ref="S39:X39"/>
    <mergeCell ref="Y39:AD39"/>
    <mergeCell ref="C36:N36"/>
    <mergeCell ref="O36:P36"/>
    <mergeCell ref="Q36:AB36"/>
    <mergeCell ref="AC36:AD36"/>
    <mergeCell ref="C37:N37"/>
    <mergeCell ref="O37:P37"/>
    <mergeCell ref="Q37:AB37"/>
    <mergeCell ref="AC37:AD37"/>
    <mergeCell ref="C42:F42"/>
    <mergeCell ref="G42:L42"/>
    <mergeCell ref="M42:R42"/>
    <mergeCell ref="S42:X42"/>
    <mergeCell ref="Y42:AD42"/>
    <mergeCell ref="C43:I43"/>
    <mergeCell ref="J43:AD43"/>
    <mergeCell ref="C40:F40"/>
    <mergeCell ref="G40:L40"/>
    <mergeCell ref="M40:R40"/>
    <mergeCell ref="S40:X40"/>
    <mergeCell ref="Y40:AD40"/>
    <mergeCell ref="C41:F41"/>
    <mergeCell ref="G41:L41"/>
    <mergeCell ref="M41:R41"/>
    <mergeCell ref="S41:X41"/>
    <mergeCell ref="Y41:AD41"/>
    <mergeCell ref="C48:I48"/>
    <mergeCell ref="J48:P48"/>
    <mergeCell ref="Q48:W48"/>
    <mergeCell ref="X48:AD48"/>
    <mergeCell ref="C49:N49"/>
    <mergeCell ref="O49:P49"/>
    <mergeCell ref="Q49:AB49"/>
    <mergeCell ref="AC49:AD49"/>
    <mergeCell ref="AA45:AD45"/>
    <mergeCell ref="C46:E46"/>
    <mergeCell ref="F46:G46"/>
    <mergeCell ref="I46:L46"/>
    <mergeCell ref="M46:O46"/>
    <mergeCell ref="P46:T46"/>
    <mergeCell ref="U46:Z46"/>
    <mergeCell ref="AB46:AC46"/>
    <mergeCell ref="C45:E45"/>
    <mergeCell ref="F45:L45"/>
    <mergeCell ref="M45:N45"/>
    <mergeCell ref="O45:W45"/>
    <mergeCell ref="X45:Z45"/>
    <mergeCell ref="C47:N47"/>
    <mergeCell ref="O47:P47"/>
    <mergeCell ref="Q47:W47"/>
    <mergeCell ref="Y52:AD52"/>
    <mergeCell ref="C53:F53"/>
    <mergeCell ref="G53:L53"/>
    <mergeCell ref="M53:R53"/>
    <mergeCell ref="S53:X53"/>
    <mergeCell ref="Y53:AD53"/>
    <mergeCell ref="C50:N50"/>
    <mergeCell ref="O50:P50"/>
    <mergeCell ref="Q50:AB50"/>
    <mergeCell ref="AC50:AD50"/>
    <mergeCell ref="C51:F52"/>
    <mergeCell ref="G51:R51"/>
    <mergeCell ref="S51:AD51"/>
    <mergeCell ref="G52:L52"/>
    <mergeCell ref="M52:R52"/>
    <mergeCell ref="S52:X52"/>
    <mergeCell ref="C54:F54"/>
    <mergeCell ref="G54:L54"/>
    <mergeCell ref="M54:R54"/>
    <mergeCell ref="S54:X54"/>
    <mergeCell ref="Y54:AD54"/>
    <mergeCell ref="C55:F55"/>
    <mergeCell ref="G55:L55"/>
    <mergeCell ref="M55:R55"/>
    <mergeCell ref="S55:X55"/>
    <mergeCell ref="Y55:AD55"/>
    <mergeCell ref="C56:I56"/>
    <mergeCell ref="J56:AD56"/>
    <mergeCell ref="A58:B69"/>
    <mergeCell ref="C58:E58"/>
    <mergeCell ref="F58:L58"/>
    <mergeCell ref="M58:N58"/>
    <mergeCell ref="O58:W58"/>
    <mergeCell ref="X58:Z58"/>
    <mergeCell ref="AA58:AD58"/>
    <mergeCell ref="C59:E59"/>
    <mergeCell ref="A45:B56"/>
    <mergeCell ref="X47:AD47"/>
    <mergeCell ref="C60:N60"/>
    <mergeCell ref="O60:P60"/>
    <mergeCell ref="Q60:W60"/>
    <mergeCell ref="X60:AD60"/>
    <mergeCell ref="C61:I61"/>
    <mergeCell ref="J61:P61"/>
    <mergeCell ref="Q61:W61"/>
    <mergeCell ref="X61:AD61"/>
    <mergeCell ref="F59:G59"/>
    <mergeCell ref="I59:L59"/>
    <mergeCell ref="M59:O59"/>
    <mergeCell ref="P59:T59"/>
    <mergeCell ref="U59:Z59"/>
    <mergeCell ref="AB59:AC59"/>
    <mergeCell ref="C64:F65"/>
    <mergeCell ref="G64:R64"/>
    <mergeCell ref="S64:AD64"/>
    <mergeCell ref="G65:L65"/>
    <mergeCell ref="M65:R65"/>
    <mergeCell ref="S65:X65"/>
    <mergeCell ref="Y65:AD65"/>
    <mergeCell ref="C62:N62"/>
    <mergeCell ref="O62:P62"/>
    <mergeCell ref="Q62:AB62"/>
    <mergeCell ref="AC62:AD62"/>
    <mergeCell ref="C63:N63"/>
    <mergeCell ref="O63:P63"/>
    <mergeCell ref="Q63:AB63"/>
    <mergeCell ref="AC63:AD63"/>
    <mergeCell ref="C66:F66"/>
    <mergeCell ref="G66:L66"/>
    <mergeCell ref="M66:R66"/>
    <mergeCell ref="S66:X66"/>
    <mergeCell ref="Y66:AD66"/>
    <mergeCell ref="C67:F67"/>
    <mergeCell ref="G67:L67"/>
    <mergeCell ref="M67:R67"/>
    <mergeCell ref="S67:X67"/>
    <mergeCell ref="Y67:AD67"/>
    <mergeCell ref="A71:AD71"/>
    <mergeCell ref="A72:D72"/>
    <mergeCell ref="E72:G72"/>
    <mergeCell ref="H72:N72"/>
    <mergeCell ref="O72:Q72"/>
    <mergeCell ref="R72:U72"/>
    <mergeCell ref="V72:X72"/>
    <mergeCell ref="Y72:AD72"/>
    <mergeCell ref="C68:F68"/>
    <mergeCell ref="G68:L68"/>
    <mergeCell ref="M68:R68"/>
    <mergeCell ref="S68:X68"/>
    <mergeCell ref="Y68:AD68"/>
    <mergeCell ref="C69:I69"/>
    <mergeCell ref="J69:AD69"/>
    <mergeCell ref="A75:D75"/>
    <mergeCell ref="E75:G75"/>
    <mergeCell ref="H75:Q75"/>
    <mergeCell ref="R75:U75"/>
    <mergeCell ref="V75:AD75"/>
    <mergeCell ref="Y73:AD73"/>
    <mergeCell ref="A74:D74"/>
    <mergeCell ref="E74:G74"/>
    <mergeCell ref="H74:K74"/>
    <mergeCell ref="L74:O74"/>
    <mergeCell ref="P74:U74"/>
    <mergeCell ref="V74:X74"/>
    <mergeCell ref="Y74:AD74"/>
    <mergeCell ref="A73:D73"/>
    <mergeCell ref="E73:G73"/>
    <mergeCell ref="H73:N73"/>
    <mergeCell ref="O73:Q73"/>
    <mergeCell ref="R73:U73"/>
    <mergeCell ref="V73:X73"/>
  </mergeCells>
  <dataValidations count="3">
    <dataValidation type="list" sqref="Z13:AD13" xr:uid="{DE710C52-1709-4A92-AC8B-1C717D0A50AA}">
      <formula1>L_Type_Installation</formula1>
    </dataValidation>
    <dataValidation type="list" allowBlank="1" sqref="P14:Q17 AC14:AD17 AC23:AD24 O21 O23:O24 AC36:AD37 O34 O36:O37 AC49:AD50 O47 O49:O50 AC62:AD63 O60 O62:O63" xr:uid="{04D5F60D-B639-4025-A96B-72A8EE8D7A51}">
      <formula1>L_Oui_Non</formula1>
    </dataValidation>
    <dataValidation type="list" allowBlank="1" sqref="M20 M33 M46 M59" xr:uid="{917F1C88-6837-44A7-8399-A97F0C564CBD}">
      <formula1>L_Techno_Comp</formula1>
    </dataValidation>
  </dataValidations>
  <printOptions horizontalCentered="1" verticalCentered="1"/>
  <pageMargins left="0.23622047244094491" right="0.23622047244094491" top="0.23622047244094491" bottom="0.23622047244094491" header="0.31496062992125984" footer="0.31496062992125984"/>
  <pageSetup paperSize="9" scale="57" orientation="portrait" r:id="rId1"/>
  <headerFooter>
    <oddHeader>&amp;R&amp;D</oddHeader>
    <oddFooter>&amp;L&amp;Z&amp;F&amp;RPage &amp;P/&amp;N</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AF9E1-AF8D-441F-8F65-04B120BDBD6E}">
  <sheetPr codeName="Feuil14">
    <tabColor rgb="FF00B050"/>
  </sheetPr>
  <dimension ref="A1:V24"/>
  <sheetViews>
    <sheetView tabSelected="1" workbookViewId="0">
      <selection activeCell="B24" sqref="B24"/>
    </sheetView>
  </sheetViews>
  <sheetFormatPr baseColWidth="10" defaultColWidth="11.42578125" defaultRowHeight="15"/>
  <cols>
    <col min="2" max="2" width="118" customWidth="1"/>
  </cols>
  <sheetData>
    <row r="1" spans="1:22">
      <c r="A1" t="s">
        <v>424</v>
      </c>
      <c r="B1" t="s">
        <v>495</v>
      </c>
    </row>
    <row r="2" spans="1:22">
      <c r="A2" s="91">
        <v>44498</v>
      </c>
      <c r="B2" t="s">
        <v>496</v>
      </c>
    </row>
    <row r="3" spans="1:22">
      <c r="A3" s="91">
        <v>44498</v>
      </c>
      <c r="B3" t="s">
        <v>497</v>
      </c>
    </row>
    <row r="4" spans="1:22">
      <c r="A4" s="91">
        <v>44498</v>
      </c>
      <c r="B4" t="s">
        <v>498</v>
      </c>
    </row>
    <row r="5" spans="1:22">
      <c r="A5" s="91">
        <v>44498</v>
      </c>
      <c r="B5" t="s">
        <v>499</v>
      </c>
    </row>
    <row r="6" spans="1:22">
      <c r="A6" s="91">
        <v>44503</v>
      </c>
      <c r="B6" t="s">
        <v>500</v>
      </c>
    </row>
    <row r="7" spans="1:22" ht="45">
      <c r="A7" s="91">
        <v>44503</v>
      </c>
      <c r="B7" t="s">
        <v>501</v>
      </c>
      <c r="V7" s="120" t="s">
        <v>502</v>
      </c>
    </row>
    <row r="8" spans="1:22">
      <c r="A8" s="91">
        <v>44503</v>
      </c>
      <c r="B8" t="s">
        <v>503</v>
      </c>
    </row>
    <row r="9" spans="1:22">
      <c r="A9" s="91">
        <v>44503</v>
      </c>
      <c r="B9" t="s">
        <v>504</v>
      </c>
    </row>
    <row r="10" spans="1:22">
      <c r="A10" s="91">
        <v>44503</v>
      </c>
      <c r="B10" t="s">
        <v>505</v>
      </c>
    </row>
    <row r="11" spans="1:22">
      <c r="A11" s="91">
        <v>44503</v>
      </c>
      <c r="B11" t="s">
        <v>506</v>
      </c>
    </row>
    <row r="12" spans="1:22">
      <c r="A12" s="91">
        <v>44503</v>
      </c>
      <c r="B12" t="s">
        <v>507</v>
      </c>
    </row>
    <row r="13" spans="1:22">
      <c r="A13" s="91">
        <v>44508</v>
      </c>
      <c r="B13" t="s">
        <v>508</v>
      </c>
    </row>
    <row r="14" spans="1:22">
      <c r="A14" s="91">
        <v>44515</v>
      </c>
      <c r="B14" t="s">
        <v>509</v>
      </c>
    </row>
    <row r="15" spans="1:22">
      <c r="A15" s="91">
        <v>44545</v>
      </c>
      <c r="B15" t="s">
        <v>510</v>
      </c>
    </row>
    <row r="16" spans="1:22">
      <c r="A16" s="91">
        <v>44564</v>
      </c>
      <c r="B16" t="s">
        <v>511</v>
      </c>
    </row>
    <row r="17" spans="1:2">
      <c r="A17" s="91">
        <v>44573</v>
      </c>
      <c r="B17" t="s">
        <v>512</v>
      </c>
    </row>
    <row r="18" spans="1:2">
      <c r="A18" s="91">
        <v>44573</v>
      </c>
      <c r="B18" t="s">
        <v>513</v>
      </c>
    </row>
    <row r="19" spans="1:2">
      <c r="A19" s="91">
        <v>44573</v>
      </c>
      <c r="B19" t="s">
        <v>514</v>
      </c>
    </row>
    <row r="20" spans="1:2">
      <c r="A20" s="91">
        <v>44573</v>
      </c>
      <c r="B20" t="s">
        <v>515</v>
      </c>
    </row>
    <row r="21" spans="1:2">
      <c r="A21" s="91">
        <v>44573</v>
      </c>
      <c r="B21" t="s">
        <v>516</v>
      </c>
    </row>
    <row r="22" spans="1:2">
      <c r="B22" t="s">
        <v>517</v>
      </c>
    </row>
    <row r="23" spans="1:2">
      <c r="A23" s="91">
        <v>44578</v>
      </c>
      <c r="B23" t="s">
        <v>518</v>
      </c>
    </row>
    <row r="24" spans="1:2">
      <c r="A24" s="91">
        <v>44623</v>
      </c>
      <c r="B24" t="s">
        <v>519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21B71-CCF3-440B-BAD8-7EFEBBE3A3DE}">
  <sheetPr codeName="Feuil9">
    <tabColor rgb="FF00B050"/>
  </sheetPr>
  <dimension ref="A1:V7"/>
  <sheetViews>
    <sheetView workbookViewId="0">
      <selection activeCell="P2" sqref="P2:P6"/>
    </sheetView>
  </sheetViews>
  <sheetFormatPr baseColWidth="10" defaultColWidth="11.42578125" defaultRowHeight="15"/>
  <cols>
    <col min="1" max="1" width="14.42578125" bestFit="1" customWidth="1"/>
  </cols>
  <sheetData>
    <row r="1" spans="1:22">
      <c r="B1" t="s">
        <v>520</v>
      </c>
      <c r="C1" t="s">
        <v>521</v>
      </c>
    </row>
    <row r="2" spans="1:22">
      <c r="A2" t="s">
        <v>522</v>
      </c>
      <c r="B2" t="b">
        <f>IF(C2="",FALSE,TRUE)</f>
        <v>0</v>
      </c>
      <c r="C2" t="str">
        <f>_xlfn.CONCAT('Eau Glacée'!M13:Q13,'Eau Glacée'!M15:Q15,'Eau Glacée'!F25:AI25,'Eau Glacée'!M16:Q16,'Eau Glacée'!M17:Q17)</f>
        <v/>
      </c>
      <c r="G2" s="1049" t="s">
        <v>523</v>
      </c>
      <c r="H2" s="1049"/>
      <c r="I2">
        <f>7-(COUNTBLANK('Air Comprimé'!K23:M29)-14)</f>
        <v>4</v>
      </c>
    </row>
    <row r="3" spans="1:22">
      <c r="A3" t="s">
        <v>524</v>
      </c>
      <c r="B3" t="b">
        <f>IF(C3="",FALSE,TRUE)</f>
        <v>1</v>
      </c>
      <c r="C3" t="str">
        <f>_xlfn.CONCAT('Air Comprimé'!M13:Q13,'Air Comprimé'!K23:M23,'Air Comprimé'!K24:M24,'Air Comprimé'!K25:M25,'Air Comprimé'!K26:M26,'Air Comprimé'!AB13:AF13,'Air Comprimé'!K30:N30,'Air Comprimé'!K34:Q34,'Air Comprimé'!K38:Q38)</f>
        <v>KaeserKaeserCompairKaeser</v>
      </c>
      <c r="G3" s="1049" t="s">
        <v>525</v>
      </c>
      <c r="H3" s="1049"/>
      <c r="I3">
        <f>4-(COUNTBLANK('Air Comprimé'!K34:Q37)-24)</f>
        <v>0</v>
      </c>
    </row>
    <row r="4" spans="1:22">
      <c r="G4" s="1049" t="s">
        <v>526</v>
      </c>
      <c r="H4" s="1049"/>
      <c r="I4">
        <f>4-(COUNTBLANK('Air Comprimé'!K30:N33)-12)</f>
        <v>0</v>
      </c>
    </row>
    <row r="5" spans="1:22">
      <c r="G5" s="1049" t="s">
        <v>527</v>
      </c>
      <c r="H5" s="1049"/>
      <c r="I5" t="b" cm="1">
        <f t="array" ref="I5:O5">ISBLANK('Air Comprimé'!K38:Q38)</f>
        <v>1</v>
      </c>
      <c r="J5" t="b">
        <v>1</v>
      </c>
      <c r="K5" t="b">
        <v>1</v>
      </c>
      <c r="L5" t="b">
        <v>1</v>
      </c>
      <c r="M5" t="b">
        <v>1</v>
      </c>
      <c r="N5" t="b">
        <v>1</v>
      </c>
      <c r="O5" t="b">
        <v>1</v>
      </c>
    </row>
    <row r="6" spans="1:22">
      <c r="H6" s="90" t="s">
        <v>528</v>
      </c>
      <c r="I6">
        <f>SUM('Air Comprimé'!AI38:AJ43)</f>
        <v>0</v>
      </c>
    </row>
    <row r="7" spans="1:22">
      <c r="H7" s="90" t="s">
        <v>529</v>
      </c>
      <c r="I7">
        <f>SUM('Air Comprimé'!AI45:AJ48)</f>
        <v>0</v>
      </c>
      <c r="V7" s="120"/>
    </row>
  </sheetData>
  <mergeCells count="4">
    <mergeCell ref="G2:H2"/>
    <mergeCell ref="G3:H3"/>
    <mergeCell ref="G4:H4"/>
    <mergeCell ref="G5:H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2078-B0E1-4C9E-82D9-6D962558EFCF}">
  <sheetPr codeName="Feuil8">
    <tabColor rgb="FF00B050"/>
  </sheetPr>
  <dimension ref="A2:X7"/>
  <sheetViews>
    <sheetView topLeftCell="E1" workbookViewId="0">
      <selection activeCell="X2" sqref="X2:X5"/>
    </sheetView>
  </sheetViews>
  <sheetFormatPr baseColWidth="10" defaultColWidth="11.42578125" defaultRowHeight="15"/>
  <cols>
    <col min="7" max="7" width="12.85546875" bestFit="1" customWidth="1"/>
    <col min="8" max="8" width="13.140625" bestFit="1" customWidth="1"/>
    <col min="11" max="11" width="14.42578125" bestFit="1" customWidth="1"/>
    <col min="22" max="22" width="34.7109375" customWidth="1"/>
  </cols>
  <sheetData>
    <row r="2" spans="1:24">
      <c r="A2" t="s">
        <v>530</v>
      </c>
      <c r="B2" t="s">
        <v>531</v>
      </c>
      <c r="C2" t="s">
        <v>532</v>
      </c>
      <c r="D2" t="s">
        <v>533</v>
      </c>
      <c r="E2" t="s">
        <v>123</v>
      </c>
      <c r="F2" t="s">
        <v>534</v>
      </c>
      <c r="G2" t="s">
        <v>535</v>
      </c>
      <c r="H2" t="s">
        <v>536</v>
      </c>
      <c r="I2" t="s">
        <v>537</v>
      </c>
      <c r="J2" t="s">
        <v>538</v>
      </c>
      <c r="K2" t="s">
        <v>539</v>
      </c>
      <c r="L2" t="s">
        <v>540</v>
      </c>
      <c r="M2" t="s">
        <v>541</v>
      </c>
      <c r="N2" t="s">
        <v>542</v>
      </c>
      <c r="O2" t="s">
        <v>543</v>
      </c>
      <c r="P2" t="s">
        <v>544</v>
      </c>
      <c r="Q2" t="s">
        <v>545</v>
      </c>
      <c r="R2" t="s">
        <v>546</v>
      </c>
      <c r="S2" t="s">
        <v>547</v>
      </c>
      <c r="T2" t="s">
        <v>548</v>
      </c>
      <c r="U2" t="s">
        <v>549</v>
      </c>
      <c r="V2" t="s">
        <v>550</v>
      </c>
      <c r="W2" t="s">
        <v>551</v>
      </c>
      <c r="X2" t="s">
        <v>552</v>
      </c>
    </row>
    <row r="3" spans="1:24" ht="30">
      <c r="A3" t="s">
        <v>298</v>
      </c>
      <c r="B3" t="s">
        <v>51</v>
      </c>
      <c r="C3" t="s">
        <v>553</v>
      </c>
      <c r="D3" t="s">
        <v>554</v>
      </c>
      <c r="E3" t="s">
        <v>555</v>
      </c>
      <c r="F3" t="s">
        <v>52</v>
      </c>
      <c r="G3" t="s">
        <v>556</v>
      </c>
      <c r="H3" t="s">
        <v>557</v>
      </c>
      <c r="I3" t="s">
        <v>558</v>
      </c>
      <c r="J3" t="s">
        <v>559</v>
      </c>
      <c r="K3" t="s">
        <v>560</v>
      </c>
      <c r="L3" t="s">
        <v>561</v>
      </c>
      <c r="M3" t="s">
        <v>562</v>
      </c>
      <c r="N3" t="s">
        <v>563</v>
      </c>
      <c r="O3" t="s">
        <v>564</v>
      </c>
      <c r="P3" t="s">
        <v>565</v>
      </c>
      <c r="Q3" t="s">
        <v>566</v>
      </c>
      <c r="R3" t="s">
        <v>567</v>
      </c>
      <c r="S3" t="s">
        <v>568</v>
      </c>
      <c r="T3" t="s">
        <v>569</v>
      </c>
      <c r="U3" t="s">
        <v>570</v>
      </c>
      <c r="V3" s="120" t="s">
        <v>571</v>
      </c>
      <c r="W3" s="122" t="s">
        <v>572</v>
      </c>
      <c r="X3" t="s">
        <v>46</v>
      </c>
    </row>
    <row r="4" spans="1:24" ht="45">
      <c r="A4" t="s">
        <v>306</v>
      </c>
      <c r="B4" t="s">
        <v>52</v>
      </c>
      <c r="C4" t="s">
        <v>306</v>
      </c>
      <c r="D4" t="s">
        <v>67</v>
      </c>
      <c r="E4" t="s">
        <v>67</v>
      </c>
      <c r="F4" t="s">
        <v>335</v>
      </c>
      <c r="G4" t="s">
        <v>573</v>
      </c>
      <c r="H4" t="s">
        <v>114</v>
      </c>
      <c r="I4" t="s">
        <v>574</v>
      </c>
      <c r="J4" t="s">
        <v>575</v>
      </c>
      <c r="K4" t="s">
        <v>576</v>
      </c>
      <c r="L4" t="s">
        <v>577</v>
      </c>
      <c r="M4" t="s">
        <v>578</v>
      </c>
      <c r="N4" t="s">
        <v>579</v>
      </c>
      <c r="O4" t="s">
        <v>580</v>
      </c>
      <c r="P4" t="s">
        <v>581</v>
      </c>
      <c r="Q4" t="s">
        <v>582</v>
      </c>
      <c r="R4" t="s">
        <v>583</v>
      </c>
      <c r="S4" t="s">
        <v>132</v>
      </c>
      <c r="T4" t="s">
        <v>584</v>
      </c>
      <c r="U4" t="s">
        <v>407</v>
      </c>
      <c r="V4" s="120" t="s">
        <v>585</v>
      </c>
      <c r="W4" s="122" t="s">
        <v>586</v>
      </c>
      <c r="X4" t="s">
        <v>587</v>
      </c>
    </row>
    <row r="5" spans="1:24" ht="30">
      <c r="A5" t="s">
        <v>309</v>
      </c>
      <c r="B5" t="s">
        <v>588</v>
      </c>
      <c r="C5" t="s">
        <v>589</v>
      </c>
      <c r="E5" t="s">
        <v>554</v>
      </c>
      <c r="F5" t="s">
        <v>590</v>
      </c>
      <c r="G5" t="s">
        <v>591</v>
      </c>
      <c r="I5" t="s">
        <v>592</v>
      </c>
      <c r="J5" t="s">
        <v>593</v>
      </c>
      <c r="K5" t="s">
        <v>594</v>
      </c>
      <c r="L5" t="s">
        <v>595</v>
      </c>
      <c r="M5" t="s">
        <v>596</v>
      </c>
      <c r="N5" t="s">
        <v>597</v>
      </c>
      <c r="O5" t="s">
        <v>598</v>
      </c>
      <c r="P5" t="s">
        <v>599</v>
      </c>
      <c r="Q5" t="s">
        <v>600</v>
      </c>
      <c r="R5" t="s">
        <v>601</v>
      </c>
      <c r="S5" t="s">
        <v>602</v>
      </c>
      <c r="T5" t="s">
        <v>603</v>
      </c>
      <c r="U5" t="s">
        <v>604</v>
      </c>
      <c r="V5" s="120" t="s">
        <v>605</v>
      </c>
      <c r="X5" t="s">
        <v>606</v>
      </c>
    </row>
    <row r="6" spans="1:24" ht="30">
      <c r="A6" t="s">
        <v>607</v>
      </c>
      <c r="C6" t="s">
        <v>608</v>
      </c>
      <c r="J6" t="s">
        <v>609</v>
      </c>
      <c r="K6" t="s">
        <v>610</v>
      </c>
      <c r="L6" t="s">
        <v>611</v>
      </c>
      <c r="N6" t="s">
        <v>612</v>
      </c>
      <c r="P6" t="s">
        <v>613</v>
      </c>
      <c r="R6" t="s">
        <v>614</v>
      </c>
      <c r="U6" t="s">
        <v>615</v>
      </c>
      <c r="V6" s="120" t="s">
        <v>616</v>
      </c>
    </row>
    <row r="7" spans="1:24" ht="45">
      <c r="J7" t="s">
        <v>617</v>
      </c>
      <c r="K7" t="s">
        <v>618</v>
      </c>
      <c r="L7" t="s">
        <v>619</v>
      </c>
      <c r="N7" t="s">
        <v>620</v>
      </c>
      <c r="R7" t="s">
        <v>621</v>
      </c>
      <c r="U7" t="s">
        <v>622</v>
      </c>
      <c r="V7" s="120" t="s">
        <v>623</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8ECD9-21E6-4EF9-B865-CF74AAE02449}">
  <sheetPr codeName="Feuil10">
    <tabColor rgb="FFFFC000"/>
    <pageSetUpPr fitToPage="1"/>
  </sheetPr>
  <dimension ref="A1:AM18"/>
  <sheetViews>
    <sheetView view="pageBreakPreview" zoomScaleNormal="100" zoomScaleSheetLayoutView="100" workbookViewId="0">
      <selection activeCell="AL24" sqref="AL24"/>
    </sheetView>
  </sheetViews>
  <sheetFormatPr baseColWidth="10" defaultColWidth="11.42578125" defaultRowHeight="15"/>
  <cols>
    <col min="1" max="34" width="3.28515625" customWidth="1"/>
  </cols>
  <sheetData>
    <row r="1" spans="1:35" ht="14.1" customHeight="1">
      <c r="P1" s="326" t="s">
        <v>451</v>
      </c>
      <c r="Q1" s="326"/>
      <c r="R1" s="326"/>
      <c r="S1" s="326"/>
      <c r="T1" s="326"/>
      <c r="U1" s="326"/>
      <c r="V1" s="326"/>
      <c r="W1" s="326"/>
      <c r="X1" s="326"/>
      <c r="Y1" s="326"/>
      <c r="Z1" s="326"/>
      <c r="AA1" s="326"/>
      <c r="AB1" s="326"/>
      <c r="AC1" s="326"/>
      <c r="AD1" s="326"/>
    </row>
    <row r="2" spans="1:35" ht="14.1" customHeight="1">
      <c r="P2" s="327"/>
      <c r="Q2" s="327"/>
      <c r="R2" s="327"/>
      <c r="S2" s="327"/>
      <c r="T2" s="327"/>
      <c r="U2" s="327"/>
      <c r="V2" s="327"/>
      <c r="W2" s="327"/>
      <c r="X2" s="327"/>
      <c r="Y2" s="327"/>
      <c r="Z2" s="327"/>
      <c r="AA2" s="327"/>
      <c r="AB2" s="327"/>
      <c r="AC2" s="327"/>
      <c r="AD2" s="327"/>
    </row>
    <row r="3" spans="1:35" ht="14.1" customHeight="1">
      <c r="P3" s="327"/>
      <c r="Q3" s="327"/>
      <c r="R3" s="327"/>
      <c r="S3" s="327"/>
      <c r="T3" s="327"/>
      <c r="U3" s="327"/>
      <c r="V3" s="327"/>
      <c r="W3" s="327"/>
      <c r="X3" s="327"/>
      <c r="Y3" s="327"/>
      <c r="Z3" s="327"/>
      <c r="AA3" s="327"/>
      <c r="AB3" s="327"/>
      <c r="AC3" s="327"/>
      <c r="AD3" s="327"/>
    </row>
    <row r="4" spans="1:35" ht="14.1" customHeight="1" thickBot="1">
      <c r="P4" s="328"/>
      <c r="Q4" s="328"/>
      <c r="R4" s="328"/>
      <c r="S4" s="328"/>
      <c r="T4" s="328"/>
      <c r="U4" s="328"/>
      <c r="V4" s="328"/>
      <c r="W4" s="328"/>
      <c r="X4" s="328"/>
      <c r="Y4" s="328"/>
      <c r="Z4" s="328"/>
      <c r="AA4" s="328"/>
      <c r="AB4" s="328"/>
      <c r="AC4" s="328"/>
      <c r="AD4" s="328"/>
    </row>
    <row r="5" spans="1:35" ht="14.1" customHeight="1">
      <c r="A5" s="329" t="s">
        <v>1</v>
      </c>
      <c r="B5" s="330"/>
      <c r="C5" s="330"/>
      <c r="D5" s="330"/>
      <c r="E5" s="330"/>
      <c r="F5" s="330"/>
      <c r="G5" s="330"/>
      <c r="H5" s="330"/>
      <c r="I5" s="330"/>
      <c r="J5" s="330"/>
      <c r="K5" s="330"/>
      <c r="L5" s="330"/>
      <c r="M5" s="330"/>
      <c r="N5" s="330"/>
      <c r="O5" s="331"/>
      <c r="P5" s="1040" t="s">
        <v>2</v>
      </c>
      <c r="Q5" s="1041"/>
      <c r="R5" s="1041"/>
      <c r="S5" s="1041"/>
      <c r="T5" s="1042"/>
      <c r="U5" s="1010">
        <f>Client</f>
        <v>0</v>
      </c>
      <c r="V5" s="1010"/>
      <c r="W5" s="1010"/>
      <c r="X5" s="1010"/>
      <c r="Y5" s="1010"/>
      <c r="Z5" s="1010"/>
      <c r="AA5" s="1010"/>
      <c r="AB5" s="1010"/>
      <c r="AC5" s="1010"/>
      <c r="AD5" s="1011"/>
    </row>
    <row r="6" spans="1:35" ht="14.1" customHeight="1" thickBot="1">
      <c r="A6" s="332"/>
      <c r="B6" s="333"/>
      <c r="C6" s="333"/>
      <c r="D6" s="333"/>
      <c r="E6" s="333"/>
      <c r="F6" s="333"/>
      <c r="G6" s="333"/>
      <c r="H6" s="333"/>
      <c r="I6" s="333"/>
      <c r="J6" s="333"/>
      <c r="K6" s="333"/>
      <c r="L6" s="333"/>
      <c r="M6" s="333"/>
      <c r="N6" s="333"/>
      <c r="O6" s="334"/>
      <c r="P6" s="747"/>
      <c r="Q6" s="748"/>
      <c r="R6" s="748"/>
      <c r="S6" s="748"/>
      <c r="T6" s="749"/>
      <c r="U6" s="459"/>
      <c r="V6" s="459"/>
      <c r="W6" s="459"/>
      <c r="X6" s="459"/>
      <c r="Y6" s="459"/>
      <c r="Z6" s="459"/>
      <c r="AA6" s="459"/>
      <c r="AB6" s="459"/>
      <c r="AC6" s="459"/>
      <c r="AD6" s="460"/>
    </row>
    <row r="7" spans="1:35" ht="27.95" customHeight="1">
      <c r="A7" s="350" t="s">
        <v>4</v>
      </c>
      <c r="B7" s="351"/>
      <c r="C7" s="351"/>
      <c r="D7" s="351"/>
      <c r="E7" s="351"/>
      <c r="F7" s="352"/>
      <c r="G7" s="457">
        <f>Commercial</f>
        <v>0</v>
      </c>
      <c r="H7" s="457"/>
      <c r="I7" s="457"/>
      <c r="J7" s="457"/>
      <c r="K7" s="457"/>
      <c r="L7" s="457"/>
      <c r="M7" s="457"/>
      <c r="N7" s="457"/>
      <c r="O7" s="458"/>
      <c r="P7" s="1043" t="s">
        <v>452</v>
      </c>
      <c r="Q7" s="1044"/>
      <c r="R7" s="1044"/>
      <c r="S7" s="1044"/>
      <c r="T7" s="1045"/>
      <c r="U7" s="347">
        <f>Code_Client_Divalto</f>
        <v>0</v>
      </c>
      <c r="V7" s="348"/>
      <c r="W7" s="348"/>
      <c r="X7" s="348"/>
      <c r="Y7" s="348"/>
      <c r="Z7" s="348"/>
      <c r="AA7" s="348"/>
      <c r="AB7" s="348"/>
      <c r="AC7" s="348"/>
      <c r="AD7" s="349"/>
    </row>
    <row r="8" spans="1:35" ht="27.95" customHeight="1">
      <c r="A8" s="747" t="s">
        <v>6</v>
      </c>
      <c r="B8" s="748"/>
      <c r="C8" s="748"/>
      <c r="D8" s="748"/>
      <c r="E8" s="748"/>
      <c r="F8" s="749"/>
      <c r="G8" s="347">
        <f>ICA</f>
        <v>0</v>
      </c>
      <c r="H8" s="348"/>
      <c r="I8" s="348"/>
      <c r="J8" s="348"/>
      <c r="K8" s="348"/>
      <c r="L8" s="348"/>
      <c r="M8" s="348"/>
      <c r="N8" s="348"/>
      <c r="O8" s="349"/>
      <c r="P8" s="339" t="s">
        <v>7</v>
      </c>
      <c r="Q8" s="340"/>
      <c r="R8" s="340"/>
      <c r="S8" s="340"/>
      <c r="T8" s="341"/>
      <c r="U8" s="459">
        <f>Affaire_Div</f>
        <v>0</v>
      </c>
      <c r="V8" s="459"/>
      <c r="W8" s="459"/>
      <c r="X8" s="459"/>
      <c r="Y8" s="459"/>
      <c r="Z8" s="459"/>
      <c r="AA8" s="459"/>
      <c r="AB8" s="459"/>
      <c r="AC8" s="459"/>
      <c r="AD8" s="460"/>
    </row>
    <row r="9" spans="1:35" ht="27.95" customHeight="1" thickBot="1">
      <c r="A9" s="342" t="s">
        <v>107</v>
      </c>
      <c r="B9" s="343"/>
      <c r="C9" s="343"/>
      <c r="D9" s="343"/>
      <c r="E9" s="343"/>
      <c r="F9" s="344"/>
      <c r="G9" s="461">
        <f>ChargéAF</f>
        <v>0</v>
      </c>
      <c r="H9" s="461"/>
      <c r="I9" s="461"/>
      <c r="J9" s="461"/>
      <c r="K9" s="461"/>
      <c r="L9" s="461"/>
      <c r="M9" s="461"/>
      <c r="N9" s="461"/>
      <c r="O9" s="462"/>
      <c r="P9" s="342" t="s">
        <v>9</v>
      </c>
      <c r="Q9" s="343"/>
      <c r="R9" s="343"/>
      <c r="S9" s="343"/>
      <c r="T9" s="344"/>
      <c r="U9" s="461">
        <f>Projet_SF</f>
        <v>0</v>
      </c>
      <c r="V9" s="461"/>
      <c r="W9" s="461"/>
      <c r="X9" s="461"/>
      <c r="Y9" s="461"/>
      <c r="Z9" s="461"/>
      <c r="AA9" s="461"/>
      <c r="AB9" s="461"/>
      <c r="AC9" s="461"/>
      <c r="AD9" s="462"/>
    </row>
    <row r="10" spans="1:35" ht="15" customHeight="1" thickBot="1"/>
    <row r="11" spans="1:35" ht="39.950000000000003" customHeight="1">
      <c r="A11" s="1046" t="s">
        <v>453</v>
      </c>
      <c r="B11" s="1047"/>
      <c r="C11" s="1047"/>
      <c r="D11" s="1047"/>
      <c r="E11" s="1047"/>
      <c r="F11" s="1047"/>
      <c r="G11" s="1047"/>
      <c r="H11" s="1047"/>
      <c r="I11" s="1047"/>
      <c r="J11" s="1047"/>
      <c r="K11" s="1047"/>
      <c r="L11" s="1047"/>
      <c r="M11" s="1047"/>
      <c r="N11" s="1047"/>
      <c r="O11" s="1047"/>
      <c r="P11" s="1047"/>
      <c r="Q11" s="1047"/>
      <c r="R11" s="1047"/>
      <c r="S11" s="1047"/>
      <c r="T11" s="1047"/>
      <c r="U11" s="1047"/>
      <c r="V11" s="1047"/>
      <c r="W11" s="1047"/>
      <c r="X11" s="1047"/>
      <c r="Y11" s="1047"/>
      <c r="Z11" s="1047"/>
      <c r="AA11" s="1047"/>
      <c r="AB11" s="1047"/>
      <c r="AC11" s="1047"/>
      <c r="AD11" s="1048"/>
    </row>
    <row r="12" spans="1:35" ht="35.1" customHeight="1" thickBot="1">
      <c r="A12" s="1027" t="s">
        <v>454</v>
      </c>
      <c r="B12" s="1028"/>
      <c r="C12" s="1028"/>
      <c r="D12" s="1028"/>
      <c r="E12" s="1028"/>
      <c r="F12" s="1028"/>
      <c r="G12" s="1028"/>
      <c r="H12" s="1028"/>
      <c r="I12" s="1028"/>
      <c r="J12" s="1028"/>
      <c r="K12" s="1028"/>
      <c r="L12" s="1028"/>
      <c r="M12" s="1028"/>
      <c r="N12" s="1028"/>
      <c r="O12" s="1028"/>
      <c r="P12" s="1028"/>
      <c r="Q12" s="1028"/>
      <c r="R12" s="1028"/>
      <c r="S12" s="1028"/>
      <c r="T12" s="1028"/>
      <c r="U12" s="1028"/>
      <c r="V12" s="1028"/>
      <c r="W12" s="1028"/>
      <c r="X12" s="1028"/>
      <c r="Y12" s="1028"/>
      <c r="Z12" s="1028"/>
      <c r="AA12" s="1028"/>
      <c r="AB12" s="1028"/>
      <c r="AC12" s="1028"/>
      <c r="AD12" s="1029"/>
    </row>
    <row r="13" spans="1:35" ht="20.100000000000001" customHeight="1" thickBot="1">
      <c r="A13" s="1030" t="s">
        <v>372</v>
      </c>
      <c r="B13" s="1031"/>
      <c r="C13" s="1032"/>
      <c r="D13" s="1033"/>
      <c r="E13" s="1034"/>
      <c r="F13" s="1034"/>
      <c r="G13" s="1034"/>
      <c r="H13" s="1035" t="s">
        <v>373</v>
      </c>
      <c r="I13" s="1031"/>
      <c r="J13" s="1031"/>
      <c r="K13" s="1031"/>
      <c r="L13" s="1031"/>
      <c r="M13" s="1032"/>
      <c r="N13" s="1036"/>
      <c r="O13" s="1037"/>
      <c r="P13" s="1037"/>
      <c r="Q13" s="1037"/>
      <c r="R13" s="1037"/>
      <c r="S13" s="1038"/>
      <c r="T13" s="1035" t="s">
        <v>374</v>
      </c>
      <c r="U13" s="1031"/>
      <c r="V13" s="1031"/>
      <c r="W13" s="1031"/>
      <c r="X13" s="1031"/>
      <c r="Y13" s="1031"/>
      <c r="Z13" s="1033">
        <f>'PV de Réception'!Z34</f>
        <v>0</v>
      </c>
      <c r="AA13" s="1034"/>
      <c r="AB13" s="1034"/>
      <c r="AC13" s="1034"/>
      <c r="AD13" s="1039"/>
    </row>
    <row r="14" spans="1:35" ht="21.95" customHeight="1">
      <c r="A14" s="1002" t="s">
        <v>455</v>
      </c>
      <c r="B14" s="1020"/>
      <c r="C14" s="1003"/>
      <c r="D14" s="1023" t="s">
        <v>456</v>
      </c>
      <c r="E14" s="1024"/>
      <c r="F14" s="1024"/>
      <c r="G14" s="1024"/>
      <c r="H14" s="1024"/>
      <c r="I14" s="1024"/>
      <c r="J14" s="1024"/>
      <c r="K14" s="1024"/>
      <c r="L14" s="1024"/>
      <c r="M14" s="1024"/>
      <c r="N14" s="1024"/>
      <c r="O14" s="1025"/>
      <c r="P14" s="336"/>
      <c r="Q14" s="1026"/>
      <c r="R14" s="1023" t="s">
        <v>457</v>
      </c>
      <c r="S14" s="1024"/>
      <c r="T14" s="1024"/>
      <c r="U14" s="1024"/>
      <c r="V14" s="1024"/>
      <c r="W14" s="1024"/>
      <c r="X14" s="1024"/>
      <c r="Y14" s="1024"/>
      <c r="Z14" s="1024"/>
      <c r="AA14" s="1024"/>
      <c r="AB14" s="1025"/>
      <c r="AC14" s="336"/>
      <c r="AD14" s="338"/>
      <c r="AI14" s="31"/>
    </row>
    <row r="15" spans="1:35" ht="21.95" customHeight="1">
      <c r="A15" s="1004"/>
      <c r="B15" s="1021"/>
      <c r="C15" s="1005"/>
      <c r="D15" s="1013" t="s">
        <v>458</v>
      </c>
      <c r="E15" s="1014"/>
      <c r="F15" s="1014"/>
      <c r="G15" s="1014"/>
      <c r="H15" s="1014"/>
      <c r="I15" s="1014"/>
      <c r="J15" s="1014"/>
      <c r="K15" s="1014"/>
      <c r="L15" s="1014"/>
      <c r="M15" s="1014"/>
      <c r="N15" s="1014"/>
      <c r="O15" s="1015"/>
      <c r="P15" s="347"/>
      <c r="Q15" s="1012"/>
      <c r="R15" s="1013" t="s">
        <v>459</v>
      </c>
      <c r="S15" s="1014"/>
      <c r="T15" s="1014"/>
      <c r="U15" s="1014"/>
      <c r="V15" s="1014"/>
      <c r="W15" s="1014"/>
      <c r="X15" s="1014"/>
      <c r="Y15" s="1014"/>
      <c r="Z15" s="1014"/>
      <c r="AA15" s="1014"/>
      <c r="AB15" s="1015"/>
      <c r="AC15" s="347"/>
      <c r="AD15" s="349"/>
      <c r="AI15" s="31"/>
    </row>
    <row r="16" spans="1:35" ht="21.95" customHeight="1">
      <c r="A16" s="1004"/>
      <c r="B16" s="1021"/>
      <c r="C16" s="1005"/>
      <c r="D16" s="1013" t="s">
        <v>460</v>
      </c>
      <c r="E16" s="1014"/>
      <c r="F16" s="1014"/>
      <c r="G16" s="1014"/>
      <c r="H16" s="1014"/>
      <c r="I16" s="1014"/>
      <c r="J16" s="1014"/>
      <c r="K16" s="1014"/>
      <c r="L16" s="1014"/>
      <c r="M16" s="1014"/>
      <c r="N16" s="1014"/>
      <c r="O16" s="1015"/>
      <c r="P16" s="347"/>
      <c r="Q16" s="1012"/>
      <c r="R16" s="1013" t="s">
        <v>461</v>
      </c>
      <c r="S16" s="1014"/>
      <c r="T16" s="1014"/>
      <c r="U16" s="1014"/>
      <c r="V16" s="1014"/>
      <c r="W16" s="1014"/>
      <c r="X16" s="1014"/>
      <c r="Y16" s="1014"/>
      <c r="Z16" s="1014"/>
      <c r="AA16" s="1014"/>
      <c r="AB16" s="1015"/>
      <c r="AC16" s="347"/>
      <c r="AD16" s="349"/>
      <c r="AI16" s="31"/>
    </row>
    <row r="17" spans="1:39" ht="21.95" customHeight="1" thickBot="1">
      <c r="A17" s="1006"/>
      <c r="B17" s="1022"/>
      <c r="C17" s="1007"/>
      <c r="D17" s="1016" t="s">
        <v>462</v>
      </c>
      <c r="E17" s="1017"/>
      <c r="F17" s="1017"/>
      <c r="G17" s="1017"/>
      <c r="H17" s="1017"/>
      <c r="I17" s="1017"/>
      <c r="J17" s="1017"/>
      <c r="K17" s="1017"/>
      <c r="L17" s="1017"/>
      <c r="M17" s="1017"/>
      <c r="N17" s="1017"/>
      <c r="O17" s="1018"/>
      <c r="P17" s="353"/>
      <c r="Q17" s="1019"/>
      <c r="R17" s="1016" t="s">
        <v>463</v>
      </c>
      <c r="S17" s="1017"/>
      <c r="T17" s="1017"/>
      <c r="U17" s="1017"/>
      <c r="V17" s="1017"/>
      <c r="W17" s="1017"/>
      <c r="X17" s="1017"/>
      <c r="Y17" s="1017"/>
      <c r="Z17" s="1017"/>
      <c r="AA17" s="1017"/>
      <c r="AB17" s="1018"/>
      <c r="AC17" s="353"/>
      <c r="AD17" s="355"/>
      <c r="AI17" s="30"/>
      <c r="AJ17" s="30"/>
      <c r="AK17" s="33"/>
      <c r="AL17" s="32"/>
      <c r="AM17" s="32"/>
    </row>
    <row r="18" spans="1:39" ht="20.100000000000001" customHeight="1">
      <c r="AI18" s="32"/>
      <c r="AJ18" s="32"/>
      <c r="AK18" s="30"/>
      <c r="AL18" s="32"/>
      <c r="AM18" s="29"/>
    </row>
  </sheetData>
  <mergeCells count="41">
    <mergeCell ref="R17:AB17"/>
    <mergeCell ref="Z13:AD13"/>
    <mergeCell ref="A14:C17"/>
    <mergeCell ref="D14:O14"/>
    <mergeCell ref="P14:Q14"/>
    <mergeCell ref="R14:AB14"/>
    <mergeCell ref="AC14:AD14"/>
    <mergeCell ref="D15:O15"/>
    <mergeCell ref="D17:O17"/>
    <mergeCell ref="P17:Q17"/>
    <mergeCell ref="P15:Q15"/>
    <mergeCell ref="R15:AB15"/>
    <mergeCell ref="AC15:AD15"/>
    <mergeCell ref="D16:O16"/>
    <mergeCell ref="P16:Q16"/>
    <mergeCell ref="R16:AB16"/>
    <mergeCell ref="AC16:AD16"/>
    <mergeCell ref="AC17:AD17"/>
    <mergeCell ref="A7:F7"/>
    <mergeCell ref="G7:O7"/>
    <mergeCell ref="P7:T7"/>
    <mergeCell ref="U7:AD7"/>
    <mergeCell ref="A9:F9"/>
    <mergeCell ref="G9:O9"/>
    <mergeCell ref="P9:T9"/>
    <mergeCell ref="U9:AD9"/>
    <mergeCell ref="A11:AD11"/>
    <mergeCell ref="A12:AD12"/>
    <mergeCell ref="A13:C13"/>
    <mergeCell ref="D13:G13"/>
    <mergeCell ref="H13:M13"/>
    <mergeCell ref="N13:S13"/>
    <mergeCell ref="T13:Y13"/>
    <mergeCell ref="A5:O6"/>
    <mergeCell ref="P5:T6"/>
    <mergeCell ref="U5:AD6"/>
    <mergeCell ref="P1:AD4"/>
    <mergeCell ref="A8:F8"/>
    <mergeCell ref="G8:O8"/>
    <mergeCell ref="P8:T8"/>
    <mergeCell ref="U8:AD8"/>
  </mergeCells>
  <dataValidations count="2">
    <dataValidation type="list" allowBlank="1" sqref="P14:Q17 AC14:AD17" xr:uid="{CAE83ED6-49AB-468D-8AF1-1066E483B948}">
      <formula1>L_Oui_Non</formula1>
    </dataValidation>
    <dataValidation type="list" sqref="Z13:AD13" xr:uid="{B71E2DD9-8AAE-4695-B31A-DB82A8CD85AA}">
      <formula1>L_Type_Installation</formula1>
    </dataValidation>
  </dataValidations>
  <printOptions horizontalCentered="1" vertic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57065-732D-4B30-A82F-15AC9C930A1A}">
  <sheetPr codeName="Feuil7">
    <tabColor rgb="FFFFC000"/>
    <pageSetUpPr fitToPage="1"/>
  </sheetPr>
  <dimension ref="A1:AM30"/>
  <sheetViews>
    <sheetView view="pageBreakPreview" zoomScale="85" zoomScaleNormal="100" zoomScaleSheetLayoutView="85" workbookViewId="0">
      <selection activeCell="A27" sqref="A27:AD30"/>
    </sheetView>
  </sheetViews>
  <sheetFormatPr baseColWidth="10" defaultColWidth="11.42578125" defaultRowHeight="15"/>
  <cols>
    <col min="1" max="34" width="3.28515625" customWidth="1"/>
  </cols>
  <sheetData>
    <row r="1" spans="1:39" ht="20.100000000000001" customHeight="1">
      <c r="A1" s="1002" t="s">
        <v>464</v>
      </c>
      <c r="B1" s="1003"/>
      <c r="C1" s="1008" t="s">
        <v>260</v>
      </c>
      <c r="D1" s="1008"/>
      <c r="E1" s="1008"/>
      <c r="F1" s="1009"/>
      <c r="G1" s="1009"/>
      <c r="H1" s="1009"/>
      <c r="I1" s="1009"/>
      <c r="J1" s="1009"/>
      <c r="K1" s="1009"/>
      <c r="L1" s="1009"/>
      <c r="M1" s="1008" t="s">
        <v>346</v>
      </c>
      <c r="N1" s="1008"/>
      <c r="O1" s="1010"/>
      <c r="P1" s="1010"/>
      <c r="Q1" s="1010"/>
      <c r="R1" s="1010"/>
      <c r="S1" s="1010"/>
      <c r="T1" s="1010"/>
      <c r="U1" s="1010"/>
      <c r="V1" s="1010"/>
      <c r="W1" s="1010"/>
      <c r="X1" s="1008" t="s">
        <v>465</v>
      </c>
      <c r="Y1" s="1008"/>
      <c r="Z1" s="1008"/>
      <c r="AA1" s="1010" t="s">
        <v>613</v>
      </c>
      <c r="AB1" s="1010"/>
      <c r="AC1" s="1010"/>
      <c r="AD1" s="1011"/>
      <c r="AI1" s="30"/>
      <c r="AJ1" s="30"/>
      <c r="AK1" s="107"/>
      <c r="AL1" s="31"/>
      <c r="AM1" s="31"/>
    </row>
    <row r="2" spans="1:39" ht="20.100000000000001" customHeight="1">
      <c r="A2" s="1004"/>
      <c r="B2" s="1005"/>
      <c r="C2" s="161" t="s">
        <v>303</v>
      </c>
      <c r="D2" s="161"/>
      <c r="E2" s="161"/>
      <c r="F2" s="868"/>
      <c r="G2" s="910"/>
      <c r="H2" s="34" t="s">
        <v>304</v>
      </c>
      <c r="I2" s="1015" t="s">
        <v>466</v>
      </c>
      <c r="J2" s="335"/>
      <c r="K2" s="335"/>
      <c r="L2" s="335"/>
      <c r="M2" s="459" t="s">
        <v>564</v>
      </c>
      <c r="N2" s="459"/>
      <c r="O2" s="459"/>
      <c r="P2" s="335" t="s">
        <v>467</v>
      </c>
      <c r="Q2" s="335"/>
      <c r="R2" s="335"/>
      <c r="S2" s="335"/>
      <c r="T2" s="335"/>
      <c r="U2" s="459"/>
      <c r="V2" s="459"/>
      <c r="W2" s="459"/>
      <c r="X2" s="459"/>
      <c r="Y2" s="459"/>
      <c r="Z2" s="459"/>
      <c r="AA2" s="103" t="s">
        <v>264</v>
      </c>
      <c r="AB2" s="459"/>
      <c r="AC2" s="347"/>
      <c r="AD2" s="78" t="s">
        <v>263</v>
      </c>
      <c r="AF2" t="s">
        <v>468</v>
      </c>
      <c r="AI2" s="30"/>
      <c r="AJ2" s="30"/>
      <c r="AK2" s="30"/>
      <c r="AL2" s="30"/>
      <c r="AM2" s="29"/>
    </row>
    <row r="3" spans="1:39" ht="20.100000000000001" customHeight="1">
      <c r="A3" s="1004"/>
      <c r="B3" s="1005"/>
      <c r="C3" s="161" t="s">
        <v>624</v>
      </c>
      <c r="D3" s="161"/>
      <c r="E3" s="161"/>
      <c r="F3" s="161"/>
      <c r="G3" s="161"/>
      <c r="H3" s="161"/>
      <c r="I3" s="161"/>
      <c r="J3" s="161"/>
      <c r="K3" s="161"/>
      <c r="L3" s="161"/>
      <c r="M3" s="161"/>
      <c r="N3" s="161"/>
      <c r="O3" s="459"/>
      <c r="P3" s="459"/>
      <c r="Q3" s="992" t="s">
        <v>625</v>
      </c>
      <c r="R3" s="179"/>
      <c r="S3" s="179"/>
      <c r="T3" s="179"/>
      <c r="U3" s="179"/>
      <c r="V3" s="179"/>
      <c r="W3" s="180"/>
      <c r="X3" s="347"/>
      <c r="Y3" s="348"/>
      <c r="Z3" s="348"/>
      <c r="AA3" s="348"/>
      <c r="AB3" s="348"/>
      <c r="AC3" s="348"/>
      <c r="AD3" s="1012"/>
      <c r="AF3" t="s">
        <v>471</v>
      </c>
      <c r="AI3" s="30"/>
      <c r="AJ3" s="30"/>
      <c r="AK3" s="30"/>
      <c r="AL3" s="30"/>
      <c r="AM3" s="29"/>
    </row>
    <row r="4" spans="1:39" ht="20.100000000000001" customHeight="1">
      <c r="A4" s="1004"/>
      <c r="B4" s="1005"/>
      <c r="C4" s="992" t="s">
        <v>626</v>
      </c>
      <c r="D4" s="179"/>
      <c r="E4" s="179"/>
      <c r="F4" s="179"/>
      <c r="G4" s="179"/>
      <c r="H4" s="179"/>
      <c r="I4" s="180"/>
      <c r="J4" s="347"/>
      <c r="K4" s="348"/>
      <c r="L4" s="348"/>
      <c r="M4" s="348"/>
      <c r="N4" s="348"/>
      <c r="O4" s="348"/>
      <c r="P4" s="1012"/>
      <c r="Q4" s="992" t="s">
        <v>627</v>
      </c>
      <c r="R4" s="179"/>
      <c r="S4" s="179"/>
      <c r="T4" s="179"/>
      <c r="U4" s="179"/>
      <c r="V4" s="179"/>
      <c r="W4" s="180"/>
      <c r="X4" s="347"/>
      <c r="Y4" s="348"/>
      <c r="Z4" s="348"/>
      <c r="AA4" s="348"/>
      <c r="AB4" s="348"/>
      <c r="AC4" s="348"/>
      <c r="AD4" s="1012"/>
      <c r="AI4" s="30"/>
      <c r="AJ4" s="30"/>
      <c r="AK4" s="30"/>
      <c r="AL4" s="30"/>
      <c r="AM4" s="29"/>
    </row>
    <row r="5" spans="1:39" ht="20.100000000000001" customHeight="1">
      <c r="A5" s="1004"/>
      <c r="B5" s="1005"/>
      <c r="C5" s="992" t="s">
        <v>628</v>
      </c>
      <c r="D5" s="179"/>
      <c r="E5" s="179"/>
      <c r="F5" s="179"/>
      <c r="G5" s="179"/>
      <c r="H5" s="179"/>
      <c r="I5" s="180"/>
      <c r="J5" s="347"/>
      <c r="K5" s="348"/>
      <c r="L5" s="348"/>
      <c r="M5" s="348"/>
      <c r="N5" s="348"/>
      <c r="O5" s="348"/>
      <c r="P5" s="1012"/>
      <c r="Q5" s="992" t="s">
        <v>629</v>
      </c>
      <c r="R5" s="179"/>
      <c r="S5" s="179"/>
      <c r="T5" s="179"/>
      <c r="U5" s="179"/>
      <c r="V5" s="179"/>
      <c r="W5" s="180"/>
      <c r="X5" s="347"/>
      <c r="Y5" s="348"/>
      <c r="Z5" s="348"/>
      <c r="AA5" s="348"/>
      <c r="AB5" s="348"/>
      <c r="AC5" s="348"/>
      <c r="AD5" s="1012"/>
      <c r="AF5" t="s">
        <v>474</v>
      </c>
      <c r="AI5" s="30"/>
      <c r="AJ5" s="30"/>
      <c r="AK5" s="30"/>
      <c r="AL5" s="30"/>
      <c r="AM5" s="29"/>
    </row>
    <row r="6" spans="1:39" ht="20.100000000000001" customHeight="1">
      <c r="A6" s="1004"/>
      <c r="B6" s="1005"/>
      <c r="C6" s="992" t="s">
        <v>630</v>
      </c>
      <c r="D6" s="179"/>
      <c r="E6" s="179"/>
      <c r="F6" s="179"/>
      <c r="G6" s="179"/>
      <c r="H6" s="179"/>
      <c r="I6" s="180"/>
      <c r="J6" s="347"/>
      <c r="K6" s="348"/>
      <c r="L6" s="348"/>
      <c r="M6" s="348"/>
      <c r="N6" s="348"/>
      <c r="O6" s="348"/>
      <c r="P6" s="1012"/>
      <c r="Q6" s="992" t="s">
        <v>631</v>
      </c>
      <c r="R6" s="179"/>
      <c r="S6" s="179"/>
      <c r="T6" s="179"/>
      <c r="U6" s="179"/>
      <c r="V6" s="179"/>
      <c r="W6" s="180"/>
      <c r="X6" s="347"/>
      <c r="Y6" s="348"/>
      <c r="Z6" s="348"/>
      <c r="AA6" s="348"/>
      <c r="AB6" s="348"/>
      <c r="AC6" s="348"/>
      <c r="AD6" s="1012"/>
      <c r="AI6" s="30"/>
      <c r="AJ6" s="30"/>
      <c r="AK6" s="30"/>
      <c r="AL6" s="30"/>
      <c r="AM6" s="29"/>
    </row>
    <row r="7" spans="1:39" ht="20.100000000000001" customHeight="1">
      <c r="A7" s="1004"/>
      <c r="B7" s="1005"/>
      <c r="C7" s="992" t="s">
        <v>632</v>
      </c>
      <c r="D7" s="179"/>
      <c r="E7" s="179"/>
      <c r="F7" s="179"/>
      <c r="G7" s="179"/>
      <c r="H7" s="179"/>
      <c r="I7" s="180"/>
      <c r="J7" s="347"/>
      <c r="K7" s="348"/>
      <c r="L7" s="348"/>
      <c r="M7" s="348"/>
      <c r="N7" s="348"/>
      <c r="O7" s="348"/>
      <c r="P7" s="1012"/>
      <c r="Q7" s="992" t="s">
        <v>633</v>
      </c>
      <c r="R7" s="179"/>
      <c r="S7" s="179"/>
      <c r="T7" s="179"/>
      <c r="U7" s="179"/>
      <c r="V7" s="179"/>
      <c r="W7" s="180"/>
      <c r="X7" s="347"/>
      <c r="Y7" s="348"/>
      <c r="Z7" s="348"/>
      <c r="AA7" s="348"/>
      <c r="AB7" s="348"/>
      <c r="AC7" s="348"/>
      <c r="AD7" s="1012"/>
      <c r="AI7" s="30"/>
      <c r="AJ7" s="30"/>
      <c r="AK7" s="30"/>
      <c r="AL7" s="30"/>
      <c r="AM7" s="29"/>
    </row>
    <row r="8" spans="1:39" ht="20.100000000000001" customHeight="1">
      <c r="A8" s="1004"/>
      <c r="B8" s="1005"/>
      <c r="C8" s="335" t="s">
        <v>475</v>
      </c>
      <c r="D8" s="335"/>
      <c r="E8" s="335"/>
      <c r="F8" s="335"/>
      <c r="G8" s="335"/>
      <c r="H8" s="335"/>
      <c r="I8" s="335"/>
      <c r="J8" s="335"/>
      <c r="K8" s="335"/>
      <c r="L8" s="335"/>
      <c r="M8" s="335"/>
      <c r="N8" s="335"/>
      <c r="O8" s="459"/>
      <c r="P8" s="459"/>
      <c r="Q8" s="335" t="s">
        <v>476</v>
      </c>
      <c r="R8" s="335"/>
      <c r="S8" s="335"/>
      <c r="T8" s="335"/>
      <c r="U8" s="335"/>
      <c r="V8" s="335"/>
      <c r="W8" s="335"/>
      <c r="X8" s="335"/>
      <c r="Y8" s="335"/>
      <c r="Z8" s="335"/>
      <c r="AA8" s="335"/>
      <c r="AB8" s="335"/>
      <c r="AC8" s="459"/>
      <c r="AD8" s="460"/>
      <c r="AF8" t="s">
        <v>477</v>
      </c>
      <c r="AI8" s="30"/>
      <c r="AJ8" s="30"/>
      <c r="AK8" s="30"/>
      <c r="AL8" s="30"/>
      <c r="AM8" s="29"/>
    </row>
    <row r="9" spans="1:39" ht="20.100000000000001" customHeight="1">
      <c r="A9" s="1004"/>
      <c r="B9" s="1005"/>
      <c r="C9" s="335" t="s">
        <v>478</v>
      </c>
      <c r="D9" s="335"/>
      <c r="E9" s="335"/>
      <c r="F9" s="335"/>
      <c r="G9" s="335"/>
      <c r="H9" s="335"/>
      <c r="I9" s="335"/>
      <c r="J9" s="335"/>
      <c r="K9" s="335"/>
      <c r="L9" s="335"/>
      <c r="M9" s="335"/>
      <c r="N9" s="335"/>
      <c r="O9" s="459"/>
      <c r="P9" s="459"/>
      <c r="Q9" s="335" t="s">
        <v>479</v>
      </c>
      <c r="R9" s="335"/>
      <c r="S9" s="335"/>
      <c r="T9" s="335"/>
      <c r="U9" s="335"/>
      <c r="V9" s="335"/>
      <c r="W9" s="335"/>
      <c r="X9" s="335"/>
      <c r="Y9" s="335"/>
      <c r="Z9" s="335"/>
      <c r="AA9" s="335"/>
      <c r="AB9" s="335"/>
      <c r="AC9" s="459"/>
      <c r="AD9" s="460"/>
      <c r="AF9" t="s">
        <v>480</v>
      </c>
      <c r="AI9" s="30"/>
      <c r="AJ9" s="30"/>
      <c r="AK9" s="30"/>
      <c r="AL9" s="30"/>
      <c r="AM9" s="29"/>
    </row>
    <row r="10" spans="1:39" ht="20.100000000000001" customHeight="1">
      <c r="A10" s="1004"/>
      <c r="B10" s="1005"/>
      <c r="C10" s="1000"/>
      <c r="D10" s="1000"/>
      <c r="E10" s="1000"/>
      <c r="F10" s="1000"/>
      <c r="G10" s="335" t="s">
        <v>634</v>
      </c>
      <c r="H10" s="335"/>
      <c r="I10" s="335"/>
      <c r="J10" s="335"/>
      <c r="K10" s="335"/>
      <c r="L10" s="335"/>
      <c r="M10" s="335"/>
      <c r="N10" s="335"/>
      <c r="O10" s="335"/>
      <c r="P10" s="335"/>
      <c r="Q10" s="335"/>
      <c r="R10" s="335"/>
      <c r="S10" s="335" t="s">
        <v>482</v>
      </c>
      <c r="T10" s="335"/>
      <c r="U10" s="335"/>
      <c r="V10" s="335"/>
      <c r="W10" s="335"/>
      <c r="X10" s="335"/>
      <c r="Y10" s="335"/>
      <c r="Z10" s="335"/>
      <c r="AA10" s="335"/>
      <c r="AB10" s="335"/>
      <c r="AC10" s="335"/>
      <c r="AD10" s="1001"/>
      <c r="AI10" s="108"/>
      <c r="AJ10" s="108"/>
      <c r="AK10" s="30"/>
      <c r="AL10" s="108"/>
      <c r="AM10" s="29"/>
    </row>
    <row r="11" spans="1:39" ht="20.100000000000001" customHeight="1">
      <c r="A11" s="1004"/>
      <c r="B11" s="1005"/>
      <c r="C11" s="1000"/>
      <c r="D11" s="1000"/>
      <c r="E11" s="1000"/>
      <c r="F11" s="1000"/>
      <c r="G11" s="335" t="s">
        <v>483</v>
      </c>
      <c r="H11" s="335"/>
      <c r="I11" s="335"/>
      <c r="J11" s="335"/>
      <c r="K11" s="335"/>
      <c r="L11" s="335"/>
      <c r="M11" s="335" t="s">
        <v>484</v>
      </c>
      <c r="N11" s="335"/>
      <c r="O11" s="335"/>
      <c r="P11" s="335"/>
      <c r="Q11" s="335"/>
      <c r="R11" s="335"/>
      <c r="S11" s="335" t="s">
        <v>483</v>
      </c>
      <c r="T11" s="335"/>
      <c r="U11" s="335"/>
      <c r="V11" s="335"/>
      <c r="W11" s="335"/>
      <c r="X11" s="335"/>
      <c r="Y11" s="335" t="s">
        <v>484</v>
      </c>
      <c r="Z11" s="335"/>
      <c r="AA11" s="335"/>
      <c r="AB11" s="335"/>
      <c r="AC11" s="335"/>
      <c r="AD11" s="1001"/>
      <c r="AI11" s="108"/>
      <c r="AJ11" s="108"/>
      <c r="AK11" s="30"/>
      <c r="AL11" s="108"/>
      <c r="AM11" s="29"/>
    </row>
    <row r="12" spans="1:39" ht="24.95" customHeight="1">
      <c r="A12" s="1004"/>
      <c r="B12" s="1005"/>
      <c r="C12" s="161" t="s">
        <v>485</v>
      </c>
      <c r="D12" s="161"/>
      <c r="E12" s="161"/>
      <c r="F12" s="161"/>
      <c r="G12" s="996"/>
      <c r="H12" s="996"/>
      <c r="I12" s="996"/>
      <c r="J12" s="996"/>
      <c r="K12" s="996"/>
      <c r="L12" s="996"/>
      <c r="M12" s="996"/>
      <c r="N12" s="996"/>
      <c r="O12" s="996"/>
      <c r="P12" s="996"/>
      <c r="Q12" s="996"/>
      <c r="R12" s="996"/>
      <c r="S12" s="997"/>
      <c r="T12" s="997"/>
      <c r="U12" s="997"/>
      <c r="V12" s="997"/>
      <c r="W12" s="997"/>
      <c r="X12" s="997"/>
      <c r="Y12" s="997"/>
      <c r="Z12" s="997"/>
      <c r="AA12" s="997"/>
      <c r="AB12" s="997"/>
      <c r="AC12" s="997"/>
      <c r="AD12" s="998"/>
      <c r="AI12" s="108"/>
      <c r="AJ12" s="108"/>
      <c r="AK12" s="30"/>
      <c r="AL12" s="108"/>
      <c r="AM12" s="29"/>
    </row>
    <row r="13" spans="1:39" ht="24.95" customHeight="1">
      <c r="A13" s="1004"/>
      <c r="B13" s="1005"/>
      <c r="C13" s="161" t="s">
        <v>486</v>
      </c>
      <c r="D13" s="161"/>
      <c r="E13" s="161"/>
      <c r="F13" s="161"/>
      <c r="G13" s="996"/>
      <c r="H13" s="996"/>
      <c r="I13" s="996"/>
      <c r="J13" s="996"/>
      <c r="K13" s="996"/>
      <c r="L13" s="996"/>
      <c r="M13" s="996"/>
      <c r="N13" s="996"/>
      <c r="O13" s="996"/>
      <c r="P13" s="996"/>
      <c r="Q13" s="996"/>
      <c r="R13" s="996"/>
      <c r="S13" s="997"/>
      <c r="T13" s="997"/>
      <c r="U13" s="997"/>
      <c r="V13" s="997"/>
      <c r="W13" s="997"/>
      <c r="X13" s="997"/>
      <c r="Y13" s="997"/>
      <c r="Z13" s="997"/>
      <c r="AA13" s="997"/>
      <c r="AB13" s="997"/>
      <c r="AC13" s="997"/>
      <c r="AD13" s="998"/>
      <c r="AI13" s="30"/>
      <c r="AJ13" s="30"/>
      <c r="AK13" s="30"/>
      <c r="AL13" s="30"/>
      <c r="AM13" s="29"/>
    </row>
    <row r="14" spans="1:39" ht="24.95" customHeight="1">
      <c r="A14" s="1004"/>
      <c r="B14" s="1005"/>
      <c r="C14" s="161" t="s">
        <v>487</v>
      </c>
      <c r="D14" s="161"/>
      <c r="E14" s="161"/>
      <c r="F14" s="161"/>
      <c r="G14" s="996"/>
      <c r="H14" s="996"/>
      <c r="I14" s="996"/>
      <c r="J14" s="996"/>
      <c r="K14" s="996"/>
      <c r="L14" s="996"/>
      <c r="M14" s="996"/>
      <c r="N14" s="996"/>
      <c r="O14" s="996"/>
      <c r="P14" s="996"/>
      <c r="Q14" s="996"/>
      <c r="R14" s="996"/>
      <c r="S14" s="997"/>
      <c r="T14" s="997"/>
      <c r="U14" s="997"/>
      <c r="V14" s="997"/>
      <c r="W14" s="997"/>
      <c r="X14" s="997"/>
      <c r="Y14" s="997"/>
      <c r="Z14" s="997"/>
      <c r="AA14" s="997"/>
      <c r="AB14" s="997"/>
      <c r="AC14" s="997"/>
      <c r="AD14" s="998"/>
      <c r="AI14" s="32"/>
      <c r="AJ14" s="32"/>
      <c r="AK14" s="30"/>
      <c r="AL14" s="32"/>
      <c r="AM14" s="29"/>
    </row>
    <row r="15" spans="1:39" ht="20.100000000000001" customHeight="1" thickBot="1">
      <c r="A15" s="1006"/>
      <c r="B15" s="1007"/>
      <c r="C15" s="999" t="s">
        <v>488</v>
      </c>
      <c r="D15" s="999"/>
      <c r="E15" s="999"/>
      <c r="F15" s="999"/>
      <c r="G15" s="999"/>
      <c r="H15" s="999"/>
      <c r="I15" s="999"/>
      <c r="J15" s="870"/>
      <c r="K15" s="870"/>
      <c r="L15" s="870"/>
      <c r="M15" s="870"/>
      <c r="N15" s="870"/>
      <c r="O15" s="870"/>
      <c r="P15" s="870"/>
      <c r="Q15" s="870"/>
      <c r="R15" s="870"/>
      <c r="S15" s="870"/>
      <c r="T15" s="870"/>
      <c r="U15" s="870"/>
      <c r="V15" s="870"/>
      <c r="W15" s="870"/>
      <c r="X15" s="870"/>
      <c r="Y15" s="870"/>
      <c r="Z15" s="870"/>
      <c r="AA15" s="870"/>
      <c r="AB15" s="870"/>
      <c r="AC15" s="870"/>
      <c r="AD15" s="871"/>
      <c r="AI15" s="30"/>
      <c r="AJ15" s="30"/>
      <c r="AK15" s="30"/>
      <c r="AL15" s="30"/>
      <c r="AM15" s="29"/>
    </row>
    <row r="16" spans="1:39" ht="20.100000000000001" customHeight="1" thickBot="1">
      <c r="AI16" s="30"/>
      <c r="AJ16" s="30"/>
      <c r="AK16" s="30"/>
      <c r="AL16" s="30"/>
      <c r="AM16" s="29"/>
    </row>
    <row r="17" spans="1:39" ht="20.100000000000001" customHeight="1">
      <c r="A17" s="1002" t="s">
        <v>314</v>
      </c>
      <c r="B17" s="1020"/>
      <c r="C17" s="1008" t="s">
        <v>260</v>
      </c>
      <c r="D17" s="1008"/>
      <c r="E17" s="1008"/>
      <c r="F17" s="1009"/>
      <c r="G17" s="1009"/>
      <c r="H17" s="1009"/>
      <c r="I17" s="1009"/>
      <c r="J17" s="1009"/>
      <c r="K17" s="1009"/>
      <c r="L17" s="1008" t="s">
        <v>346</v>
      </c>
      <c r="M17" s="1008"/>
      <c r="N17" s="1010"/>
      <c r="O17" s="1010"/>
      <c r="P17" s="1010"/>
      <c r="Q17" s="1010"/>
      <c r="R17" s="1010"/>
      <c r="S17" s="1010"/>
      <c r="T17" s="1010"/>
      <c r="U17" s="1010"/>
      <c r="V17" s="1010"/>
      <c r="W17" s="1050" t="s">
        <v>466</v>
      </c>
      <c r="X17" s="1050"/>
      <c r="Y17" s="1050"/>
      <c r="Z17" s="1050"/>
      <c r="AA17" s="1010"/>
      <c r="AB17" s="1010"/>
      <c r="AC17" s="1010"/>
      <c r="AD17" s="1011"/>
      <c r="AF17" t="s">
        <v>468</v>
      </c>
      <c r="AI17" s="30"/>
      <c r="AJ17" s="30"/>
      <c r="AK17" s="32"/>
      <c r="AL17" s="32"/>
      <c r="AM17" s="32"/>
    </row>
    <row r="18" spans="1:39" ht="20.100000000000001" customHeight="1">
      <c r="A18" s="1004"/>
      <c r="B18" s="1021"/>
      <c r="C18" s="335" t="s">
        <v>467</v>
      </c>
      <c r="D18" s="335"/>
      <c r="E18" s="335"/>
      <c r="F18" s="1051"/>
      <c r="G18" s="1051"/>
      <c r="H18" s="1053"/>
      <c r="I18" s="1054"/>
      <c r="J18" s="1054"/>
      <c r="K18" s="1054"/>
      <c r="L18" s="1055"/>
      <c r="M18" s="148" t="s">
        <v>266</v>
      </c>
      <c r="N18" s="148"/>
      <c r="O18" s="1056"/>
      <c r="P18" s="1057"/>
      <c r="Q18" s="148" t="s">
        <v>635</v>
      </c>
      <c r="R18" s="148"/>
      <c r="S18" s="148"/>
      <c r="T18" s="347"/>
      <c r="U18" s="348"/>
      <c r="V18" s="1012"/>
      <c r="W18" s="992" t="s">
        <v>636</v>
      </c>
      <c r="X18" s="179"/>
      <c r="Y18" s="179"/>
      <c r="Z18" s="179"/>
      <c r="AA18" s="180"/>
      <c r="AB18" s="415"/>
      <c r="AC18" s="416"/>
      <c r="AD18" s="1059"/>
      <c r="AF18" t="s">
        <v>637</v>
      </c>
      <c r="AI18" s="30"/>
      <c r="AJ18" s="30"/>
      <c r="AK18" s="32"/>
      <c r="AL18" s="32"/>
      <c r="AM18" s="32"/>
    </row>
    <row r="19" spans="1:39" ht="20.100000000000001" customHeight="1">
      <c r="A19" s="1004"/>
      <c r="B19" s="1021"/>
      <c r="C19" s="335" t="s">
        <v>638</v>
      </c>
      <c r="D19" s="335"/>
      <c r="E19" s="335"/>
      <c r="F19" s="335"/>
      <c r="G19" s="335"/>
      <c r="H19" s="335"/>
      <c r="I19" s="335"/>
      <c r="J19" s="335"/>
      <c r="K19" s="335"/>
      <c r="L19" s="335"/>
      <c r="M19" s="335"/>
      <c r="N19" s="335"/>
      <c r="O19" s="459"/>
      <c r="P19" s="459"/>
      <c r="Q19" s="335" t="s">
        <v>639</v>
      </c>
      <c r="R19" s="335"/>
      <c r="S19" s="335"/>
      <c r="T19" s="335"/>
      <c r="U19" s="335"/>
      <c r="V19" s="335"/>
      <c r="W19" s="335"/>
      <c r="X19" s="335"/>
      <c r="Y19" s="335"/>
      <c r="Z19" s="335"/>
      <c r="AA19" s="335"/>
      <c r="AB19" s="335"/>
      <c r="AC19" s="459"/>
      <c r="AD19" s="460"/>
      <c r="AI19" s="108"/>
      <c r="AJ19" s="108"/>
      <c r="AK19" s="109"/>
      <c r="AL19" s="108"/>
      <c r="AM19" s="29"/>
    </row>
    <row r="20" spans="1:39" ht="20.100000000000001" customHeight="1">
      <c r="A20" s="1004"/>
      <c r="B20" s="1021"/>
      <c r="C20" s="335" t="s">
        <v>640</v>
      </c>
      <c r="D20" s="335"/>
      <c r="E20" s="335"/>
      <c r="F20" s="335"/>
      <c r="G20" s="335"/>
      <c r="H20" s="335"/>
      <c r="I20" s="335"/>
      <c r="J20" s="335"/>
      <c r="K20" s="335"/>
      <c r="L20" s="335"/>
      <c r="M20" s="335"/>
      <c r="N20" s="335"/>
      <c r="O20" s="459"/>
      <c r="P20" s="459"/>
      <c r="Q20" s="335" t="s">
        <v>641</v>
      </c>
      <c r="R20" s="335"/>
      <c r="S20" s="335"/>
      <c r="T20" s="335"/>
      <c r="U20" s="335"/>
      <c r="V20" s="335"/>
      <c r="W20" s="335"/>
      <c r="X20" s="335"/>
      <c r="Y20" s="335"/>
      <c r="Z20" s="335"/>
      <c r="AA20" s="335"/>
      <c r="AB20" s="335"/>
      <c r="AC20" s="459"/>
      <c r="AD20" s="460"/>
      <c r="AI20" s="108"/>
      <c r="AJ20" s="108"/>
      <c r="AK20" s="30"/>
      <c r="AL20" s="108"/>
      <c r="AM20" s="29"/>
    </row>
    <row r="21" spans="1:39" ht="20.100000000000001" customHeight="1" thickBot="1">
      <c r="A21" s="1006"/>
      <c r="B21" s="1022"/>
      <c r="C21" s="146" t="s">
        <v>113</v>
      </c>
      <c r="D21" s="146"/>
      <c r="E21" s="146"/>
      <c r="F21" s="146"/>
      <c r="G21" s="146"/>
      <c r="H21" s="146"/>
      <c r="I21" s="146"/>
      <c r="J21" s="461"/>
      <c r="K21" s="461"/>
      <c r="L21" s="461"/>
      <c r="M21" s="461"/>
      <c r="N21" s="461"/>
      <c r="O21" s="461"/>
      <c r="P21" s="461"/>
      <c r="Q21" s="146" t="s">
        <v>642</v>
      </c>
      <c r="R21" s="146"/>
      <c r="S21" s="146"/>
      <c r="T21" s="146"/>
      <c r="U21" s="146"/>
      <c r="V21" s="146"/>
      <c r="W21" s="146"/>
      <c r="X21" s="461"/>
      <c r="Y21" s="461"/>
      <c r="Z21" s="461"/>
      <c r="AA21" s="461"/>
      <c r="AB21" s="461"/>
      <c r="AC21" s="461"/>
      <c r="AD21" s="462"/>
      <c r="AI21" s="108"/>
      <c r="AJ21" s="108"/>
      <c r="AK21" s="30"/>
      <c r="AL21" s="108"/>
      <c r="AM21" s="29"/>
    </row>
    <row r="22" spans="1:39" ht="20.100000000000001" customHeight="1" thickBot="1">
      <c r="AI22" s="32"/>
      <c r="AJ22" s="32"/>
      <c r="AK22" s="107"/>
      <c r="AL22" s="31"/>
      <c r="AM22" s="31"/>
    </row>
    <row r="23" spans="1:39" ht="20.100000000000001" customHeight="1">
      <c r="A23" s="1002" t="s">
        <v>275</v>
      </c>
      <c r="B23" s="1003"/>
      <c r="C23" s="1008" t="s">
        <v>260</v>
      </c>
      <c r="D23" s="1008"/>
      <c r="E23" s="1008"/>
      <c r="F23" s="1009"/>
      <c r="G23" s="1009"/>
      <c r="H23" s="1009"/>
      <c r="I23" s="1009"/>
      <c r="J23" s="1009"/>
      <c r="K23" s="1009"/>
      <c r="L23" s="1008" t="s">
        <v>346</v>
      </c>
      <c r="M23" s="1008"/>
      <c r="N23" s="1010"/>
      <c r="O23" s="1010"/>
      <c r="P23" s="1010"/>
      <c r="Q23" s="1010"/>
      <c r="R23" s="1010"/>
      <c r="S23" s="1010"/>
      <c r="T23" s="1010"/>
      <c r="U23" s="1010"/>
      <c r="V23" s="1010"/>
      <c r="W23" s="1058" t="s">
        <v>278</v>
      </c>
      <c r="X23" s="183"/>
      <c r="Y23" s="184"/>
      <c r="Z23" s="1060"/>
      <c r="AA23" s="973"/>
      <c r="AB23" s="973"/>
      <c r="AC23" s="973"/>
      <c r="AD23" s="79" t="s">
        <v>279</v>
      </c>
      <c r="AF23" t="s">
        <v>468</v>
      </c>
      <c r="AI23" s="30"/>
      <c r="AJ23" s="30"/>
      <c r="AK23" s="30"/>
      <c r="AL23" s="30"/>
      <c r="AM23" s="29"/>
    </row>
    <row r="24" spans="1:39" ht="20.100000000000001" customHeight="1">
      <c r="A24" s="1004"/>
      <c r="B24" s="1005"/>
      <c r="C24" s="335" t="s">
        <v>467</v>
      </c>
      <c r="D24" s="335"/>
      <c r="E24" s="335"/>
      <c r="F24" s="335"/>
      <c r="G24" s="335"/>
      <c r="H24" s="459"/>
      <c r="I24" s="459"/>
      <c r="J24" s="459"/>
      <c r="K24" s="459"/>
      <c r="L24" s="459"/>
      <c r="M24" s="459"/>
      <c r="N24" s="459"/>
      <c r="O24" s="459"/>
      <c r="P24" s="459"/>
      <c r="Q24" s="992" t="s">
        <v>643</v>
      </c>
      <c r="R24" s="179"/>
      <c r="S24" s="179"/>
      <c r="T24" s="179"/>
      <c r="U24" s="179"/>
      <c r="V24" s="179"/>
      <c r="W24" s="179"/>
      <c r="X24" s="179"/>
      <c r="Y24" s="179"/>
      <c r="Z24" s="179"/>
      <c r="AA24" s="180"/>
      <c r="AB24" s="910"/>
      <c r="AC24" s="911"/>
      <c r="AD24" s="1052"/>
      <c r="AF24" t="s">
        <v>644</v>
      </c>
    </row>
    <row r="25" spans="1:39" ht="20.100000000000001" customHeight="1" thickBot="1">
      <c r="A25" s="1006"/>
      <c r="B25" s="1007"/>
      <c r="C25" s="990" t="s">
        <v>111</v>
      </c>
      <c r="D25" s="464"/>
      <c r="E25" s="464"/>
      <c r="F25" s="464"/>
      <c r="G25" s="464"/>
      <c r="H25" s="464"/>
      <c r="I25" s="464"/>
      <c r="J25" s="464"/>
      <c r="K25" s="464"/>
      <c r="L25" s="464"/>
      <c r="M25" s="465"/>
      <c r="N25" s="870"/>
      <c r="O25" s="987"/>
      <c r="P25" s="80" t="s">
        <v>304</v>
      </c>
      <c r="Q25" s="990" t="s">
        <v>645</v>
      </c>
      <c r="R25" s="464"/>
      <c r="S25" s="464"/>
      <c r="T25" s="464"/>
      <c r="U25" s="464"/>
      <c r="V25" s="464"/>
      <c r="W25" s="464"/>
      <c r="X25" s="464"/>
      <c r="Y25" s="464"/>
      <c r="Z25" s="464"/>
      <c r="AA25" s="465"/>
      <c r="AB25" s="870"/>
      <c r="AC25" s="987"/>
      <c r="AD25" s="81" t="s">
        <v>304</v>
      </c>
    </row>
    <row r="26" spans="1:39" ht="15.75" thickBot="1"/>
    <row r="27" spans="1:39" ht="21">
      <c r="A27" s="993" t="s">
        <v>489</v>
      </c>
      <c r="B27" s="994"/>
      <c r="C27" s="994"/>
      <c r="D27" s="994"/>
      <c r="E27" s="994"/>
      <c r="F27" s="994"/>
      <c r="G27" s="994"/>
      <c r="H27" s="994"/>
      <c r="I27" s="994"/>
      <c r="J27" s="994"/>
      <c r="K27" s="994"/>
      <c r="L27" s="994"/>
      <c r="M27" s="994"/>
      <c r="N27" s="994"/>
      <c r="O27" s="994"/>
      <c r="P27" s="994"/>
      <c r="Q27" s="994"/>
      <c r="R27" s="994"/>
      <c r="S27" s="994"/>
      <c r="T27" s="994"/>
      <c r="U27" s="994"/>
      <c r="V27" s="994"/>
      <c r="W27" s="994"/>
      <c r="X27" s="994"/>
      <c r="Y27" s="994"/>
      <c r="Z27" s="994"/>
      <c r="AA27" s="994"/>
      <c r="AB27" s="994"/>
      <c r="AC27" s="994"/>
      <c r="AD27" s="995"/>
      <c r="AF27" t="s">
        <v>490</v>
      </c>
    </row>
    <row r="28" spans="1:39">
      <c r="A28" s="991" t="s">
        <v>491</v>
      </c>
      <c r="B28" s="991"/>
      <c r="C28" s="991"/>
      <c r="D28" s="991"/>
      <c r="E28" s="161" t="s">
        <v>261</v>
      </c>
      <c r="F28" s="161"/>
      <c r="G28" s="161"/>
      <c r="H28" s="910"/>
      <c r="I28" s="911"/>
      <c r="J28" s="911"/>
      <c r="K28" s="911"/>
      <c r="L28" s="911"/>
      <c r="M28" s="911"/>
      <c r="N28" s="912"/>
      <c r="O28" s="992" t="s">
        <v>270</v>
      </c>
      <c r="P28" s="179"/>
      <c r="Q28" s="180"/>
      <c r="R28" s="910"/>
      <c r="S28" s="911"/>
      <c r="T28" s="911"/>
      <c r="U28" s="912"/>
      <c r="V28" s="161" t="s">
        <v>305</v>
      </c>
      <c r="W28" s="161"/>
      <c r="X28" s="161"/>
      <c r="Y28" s="868"/>
      <c r="Z28" s="868"/>
      <c r="AA28" s="868"/>
      <c r="AB28" s="868"/>
      <c r="AC28" s="868"/>
      <c r="AD28" s="868"/>
    </row>
    <row r="29" spans="1:39">
      <c r="A29" s="991" t="s">
        <v>320</v>
      </c>
      <c r="B29" s="991"/>
      <c r="C29" s="991"/>
      <c r="D29" s="991"/>
      <c r="E29" s="161" t="s">
        <v>260</v>
      </c>
      <c r="F29" s="161"/>
      <c r="G29" s="161"/>
      <c r="H29" s="868"/>
      <c r="I29" s="868"/>
      <c r="J29" s="868"/>
      <c r="K29" s="868"/>
      <c r="L29" s="161" t="s">
        <v>492</v>
      </c>
      <c r="M29" s="161"/>
      <c r="N29" s="161"/>
      <c r="O29" s="161"/>
      <c r="P29" s="868"/>
      <c r="Q29" s="868"/>
      <c r="R29" s="868"/>
      <c r="S29" s="868"/>
      <c r="T29" s="868"/>
      <c r="U29" s="868"/>
      <c r="V29" s="161" t="s">
        <v>311</v>
      </c>
      <c r="W29" s="161"/>
      <c r="X29" s="161"/>
      <c r="Y29" s="868"/>
      <c r="Z29" s="868"/>
      <c r="AA29" s="868"/>
      <c r="AB29" s="868"/>
      <c r="AC29" s="868"/>
      <c r="AD29" s="868"/>
    </row>
    <row r="30" spans="1:39" ht="15.75" thickBot="1">
      <c r="A30" s="986" t="s">
        <v>493</v>
      </c>
      <c r="B30" s="986"/>
      <c r="C30" s="986"/>
      <c r="D30" s="986"/>
      <c r="E30" s="146" t="s">
        <v>261</v>
      </c>
      <c r="F30" s="146"/>
      <c r="G30" s="146"/>
      <c r="H30" s="987"/>
      <c r="I30" s="988"/>
      <c r="J30" s="988"/>
      <c r="K30" s="988"/>
      <c r="L30" s="988"/>
      <c r="M30" s="988"/>
      <c r="N30" s="988"/>
      <c r="O30" s="988"/>
      <c r="P30" s="988"/>
      <c r="Q30" s="989"/>
      <c r="R30" s="990" t="s">
        <v>492</v>
      </c>
      <c r="S30" s="464"/>
      <c r="T30" s="464"/>
      <c r="U30" s="465"/>
      <c r="V30" s="987"/>
      <c r="W30" s="988"/>
      <c r="X30" s="988"/>
      <c r="Y30" s="988"/>
      <c r="Z30" s="988"/>
      <c r="AA30" s="988"/>
      <c r="AB30" s="988"/>
      <c r="AC30" s="988"/>
      <c r="AD30" s="988"/>
      <c r="AF30" t="s">
        <v>494</v>
      </c>
    </row>
  </sheetData>
  <mergeCells count="128">
    <mergeCell ref="V30:AD30"/>
    <mergeCell ref="H30:Q30"/>
    <mergeCell ref="W18:AA18"/>
    <mergeCell ref="T18:V18"/>
    <mergeCell ref="AB18:AD18"/>
    <mergeCell ref="A29:D29"/>
    <mergeCell ref="H29:K29"/>
    <mergeCell ref="L29:O29"/>
    <mergeCell ref="P29:U29"/>
    <mergeCell ref="V29:X29"/>
    <mergeCell ref="Y29:AD29"/>
    <mergeCell ref="A30:D30"/>
    <mergeCell ref="R30:U30"/>
    <mergeCell ref="H28:N28"/>
    <mergeCell ref="O28:Q28"/>
    <mergeCell ref="R28:U28"/>
    <mergeCell ref="V28:X28"/>
    <mergeCell ref="Y28:AD28"/>
    <mergeCell ref="E30:G30"/>
    <mergeCell ref="E29:G29"/>
    <mergeCell ref="E28:G28"/>
    <mergeCell ref="A27:AD27"/>
    <mergeCell ref="A28:D28"/>
    <mergeCell ref="Z23:AC23"/>
    <mergeCell ref="C25:M25"/>
    <mergeCell ref="N25:O25"/>
    <mergeCell ref="Q25:AA25"/>
    <mergeCell ref="AB25:AC25"/>
    <mergeCell ref="A23:B25"/>
    <mergeCell ref="C23:E23"/>
    <mergeCell ref="F23:K23"/>
    <mergeCell ref="L23:M23"/>
    <mergeCell ref="N23:V23"/>
    <mergeCell ref="W23:Y23"/>
    <mergeCell ref="C17:E17"/>
    <mergeCell ref="F17:K17"/>
    <mergeCell ref="L17:M17"/>
    <mergeCell ref="N17:V17"/>
    <mergeCell ref="W17:Z17"/>
    <mergeCell ref="AA17:AD17"/>
    <mergeCell ref="C18:G18"/>
    <mergeCell ref="C13:F13"/>
    <mergeCell ref="C24:G24"/>
    <mergeCell ref="H24:P24"/>
    <mergeCell ref="Q24:AA24"/>
    <mergeCell ref="AB24:AD24"/>
    <mergeCell ref="C19:N19"/>
    <mergeCell ref="O19:P19"/>
    <mergeCell ref="Q19:AB19"/>
    <mergeCell ref="AC19:AD19"/>
    <mergeCell ref="C20:N20"/>
    <mergeCell ref="O20:P20"/>
    <mergeCell ref="Q20:AB20"/>
    <mergeCell ref="AC20:AD20"/>
    <mergeCell ref="H18:L18"/>
    <mergeCell ref="M18:N18"/>
    <mergeCell ref="O18:P18"/>
    <mergeCell ref="Q18:S18"/>
    <mergeCell ref="M13:R13"/>
    <mergeCell ref="S13:X13"/>
    <mergeCell ref="Y13:AD13"/>
    <mergeCell ref="C14:F14"/>
    <mergeCell ref="G14:L14"/>
    <mergeCell ref="M14:R14"/>
    <mergeCell ref="S14:X14"/>
    <mergeCell ref="Y14:AD14"/>
    <mergeCell ref="A1:B15"/>
    <mergeCell ref="X3:AD3"/>
    <mergeCell ref="C15:I15"/>
    <mergeCell ref="J15:AD15"/>
    <mergeCell ref="C3:N3"/>
    <mergeCell ref="O3:P3"/>
    <mergeCell ref="Q3:W3"/>
    <mergeCell ref="X6:AD6"/>
    <mergeCell ref="J6:P6"/>
    <mergeCell ref="Y11:AD11"/>
    <mergeCell ref="C12:F12"/>
    <mergeCell ref="G12:L12"/>
    <mergeCell ref="M12:R12"/>
    <mergeCell ref="S12:X12"/>
    <mergeCell ref="Y12:AD12"/>
    <mergeCell ref="C9:N9"/>
    <mergeCell ref="O9:P9"/>
    <mergeCell ref="Q9:AB9"/>
    <mergeCell ref="AC9:AD9"/>
    <mergeCell ref="C10:F11"/>
    <mergeCell ref="G10:R10"/>
    <mergeCell ref="S10:AD10"/>
    <mergeCell ref="G11:L11"/>
    <mergeCell ref="M11:R11"/>
    <mergeCell ref="S11:X11"/>
    <mergeCell ref="AA1:AD1"/>
    <mergeCell ref="C2:E2"/>
    <mergeCell ref="F2:G2"/>
    <mergeCell ref="I2:L2"/>
    <mergeCell ref="M2:O2"/>
    <mergeCell ref="P2:T2"/>
    <mergeCell ref="U2:Z2"/>
    <mergeCell ref="AB2:AC2"/>
    <mergeCell ref="C1:E1"/>
    <mergeCell ref="F1:L1"/>
    <mergeCell ref="M1:N1"/>
    <mergeCell ref="O1:W1"/>
    <mergeCell ref="X1:Z1"/>
    <mergeCell ref="C21:I21"/>
    <mergeCell ref="J21:P21"/>
    <mergeCell ref="Q21:W21"/>
    <mergeCell ref="A17:B21"/>
    <mergeCell ref="X21:AD21"/>
    <mergeCell ref="C4:I4"/>
    <mergeCell ref="J4:P4"/>
    <mergeCell ref="Q4:W4"/>
    <mergeCell ref="X4:AD4"/>
    <mergeCell ref="Q6:W6"/>
    <mergeCell ref="C7:I7"/>
    <mergeCell ref="J7:P7"/>
    <mergeCell ref="Q7:W7"/>
    <mergeCell ref="X7:AD7"/>
    <mergeCell ref="C6:I6"/>
    <mergeCell ref="C5:I5"/>
    <mergeCell ref="J5:P5"/>
    <mergeCell ref="Q5:W5"/>
    <mergeCell ref="X5:AD5"/>
    <mergeCell ref="C8:N8"/>
    <mergeCell ref="O8:P8"/>
    <mergeCell ref="Q8:AB8"/>
    <mergeCell ref="AC8:AD8"/>
    <mergeCell ref="G13:L13"/>
  </mergeCells>
  <dataValidations count="5">
    <dataValidation type="list" allowBlank="1" sqref="O19:O20 AC8:AD9 O3 O8:O9 AC19:AD20" xr:uid="{C5BC1536-F530-4BA0-AF0E-5E805CC0ED30}">
      <formula1>L_Oui_Non</formula1>
    </dataValidation>
    <dataValidation type="list" allowBlank="1" sqref="M2" xr:uid="{0931AB73-1542-47D2-B508-81487A0148CE}">
      <formula1>L_Techno_Comp</formula1>
    </dataValidation>
    <dataValidation type="list" allowBlank="1" sqref="AA17:AD17" xr:uid="{29CC8BD2-E6CE-404B-92E4-6856DC81CC86}">
      <formula1>L_Techno_Sécheur</formula1>
    </dataValidation>
    <dataValidation type="list" allowBlank="1" sqref="J7:P7" xr:uid="{CF9D28C3-9E10-4AED-B04C-DAF9C3B4C270}">
      <formula1>Type_PTG</formula1>
    </dataValidation>
    <dataValidation type="list" allowBlank="1" sqref="AA1:AD1" xr:uid="{2B257829-2BBC-4BD2-BD57-D7DB5DF8956B}">
      <formula1>L_Huile</formula1>
    </dataValidation>
  </dataValidations>
  <printOptions horizontalCentered="1" verticalCentered="1"/>
  <pageMargins left="0.23622047244094488" right="0.23622047244094488" top="0.23622047244094488" bottom="0.23622047244094488" header="0.31496062992125984" footer="0.31496062992125984"/>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4" ma:contentTypeDescription="Crée un document." ma:contentTypeScope="" ma:versionID="3f8ae03ebaba0c543239e34da042dbb7">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558c293b4ae448f68ce7c397ba8b1298"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Location" ma:index="14" nillable="true" ma:displayName="Location" ma:internalName="MediaServiceLocatio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6169f471-b7c4-4b79-a95a-d7d4dd15d25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20" nillable="true" ma:displayName="Taxonomy Catch All Column" ma:hidden="true" ma:list="{61e82546-a800-49c3-839c-83c4a33296af}" ma:internalName="TaxCatchAll" ma:showField="CatchAllData" ma:web="3a24876f-a420-45f1-91de-5c1f22ef7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d60af7c-577b-4a2a-ba02-231db67517bd">
      <Terms xmlns="http://schemas.microsoft.com/office/infopath/2007/PartnerControls"/>
    </lcf76f155ced4ddcb4097134ff3c332f>
    <TaxCatchAll xmlns="3a24876f-a420-45f1-91de-5c1f22ef7d75" xsi:nil="true"/>
  </documentManagement>
</p:properties>
</file>

<file path=customXml/itemProps1.xml><?xml version="1.0" encoding="utf-8"?>
<ds:datastoreItem xmlns:ds="http://schemas.openxmlformats.org/officeDocument/2006/customXml" ds:itemID="{68AC2258-F6BF-40CF-A234-4641D51E94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40C7FE1-30F5-4DD1-A0A8-0C470CE763E2}">
  <ds:schemaRefs>
    <ds:schemaRef ds:uri="http://schemas.microsoft.com/sharepoint/v3/contenttype/forms"/>
  </ds:schemaRefs>
</ds:datastoreItem>
</file>

<file path=customXml/itemProps3.xml><?xml version="1.0" encoding="utf-8"?>
<ds:datastoreItem xmlns:ds="http://schemas.openxmlformats.org/officeDocument/2006/customXml" ds:itemID="{185A0746-AC7B-4FAC-9098-810B3B403FC0}">
  <ds:schemaRefs>
    <ds:schemaRef ds:uri="http://schemas.microsoft.com/office/2006/metadata/properties"/>
    <ds:schemaRef ds:uri="http://schemas.microsoft.com/office/infopath/2007/PartnerControls"/>
    <ds:schemaRef ds:uri="ed60af7c-577b-4a2a-ba02-231db67517bd"/>
    <ds:schemaRef ds:uri="3a24876f-a420-45f1-91de-5c1f22ef7d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52</vt:i4>
      </vt:variant>
    </vt:vector>
  </HeadingPairs>
  <TitlesOfParts>
    <vt:vector size="68" baseType="lpstr">
      <vt:lpstr>Projet</vt:lpstr>
      <vt:lpstr>Offre commerciale</vt:lpstr>
      <vt:lpstr>Eau Glacée</vt:lpstr>
      <vt:lpstr>Air Comprimé</vt:lpstr>
      <vt:lpstr>SSE</vt:lpstr>
      <vt:lpstr>PV de Réception</vt:lpstr>
      <vt:lpstr>Retour d'expérience</vt:lpstr>
      <vt:lpstr>Dde Transport</vt:lpstr>
      <vt:lpstr>Liv Direct</vt:lpstr>
      <vt:lpstr>Garantie Kaeser - Modèle</vt:lpstr>
      <vt:lpstr>Mise en Service</vt:lpstr>
      <vt:lpstr>Modif</vt:lpstr>
      <vt:lpstr>Test</vt:lpstr>
      <vt:lpstr>Information</vt:lpstr>
      <vt:lpstr>MeS - Page</vt:lpstr>
      <vt:lpstr>MeS - Détail</vt:lpstr>
      <vt:lpstr>Affaire_Div</vt:lpstr>
      <vt:lpstr>ChargéAF</vt:lpstr>
      <vt:lpstr>Client</vt:lpstr>
      <vt:lpstr>Code_Client_Divalto</vt:lpstr>
      <vt:lpstr>Commercial</vt:lpstr>
      <vt:lpstr>Condition_de_paiement</vt:lpstr>
      <vt:lpstr>Fonc_Interloc</vt:lpstr>
      <vt:lpstr>ICA</vt:lpstr>
      <vt:lpstr>'MeS - Page'!Impression_des_titres</vt:lpstr>
      <vt:lpstr>'Mise en Service'!Impression_des_titres</vt:lpstr>
      <vt:lpstr>Projet!Impression_des_titres</vt:lpstr>
      <vt:lpstr>'PV de Réception'!Impression_des_titres</vt:lpstr>
      <vt:lpstr>SSE!Impression_des_titres</vt:lpstr>
      <vt:lpstr>Interlocuteur</vt:lpstr>
      <vt:lpstr>L_Adresses</vt:lpstr>
      <vt:lpstr>L_Agence</vt:lpstr>
      <vt:lpstr>L_Charge</vt:lpstr>
      <vt:lpstr>L_Huile</vt:lpstr>
      <vt:lpstr>L_Matière_Cuve</vt:lpstr>
      <vt:lpstr>L_Matière_Réseau</vt:lpstr>
      <vt:lpstr>L_Métrologie</vt:lpstr>
      <vt:lpstr>L_Niveau_filtration</vt:lpstr>
      <vt:lpstr>L_OffreàEnvoyer</vt:lpstr>
      <vt:lpstr>L_Oui_Non</vt:lpstr>
      <vt:lpstr>L_Position_Cuve</vt:lpstr>
      <vt:lpstr>L_RécupCalo</vt:lpstr>
      <vt:lpstr>L_Régulation</vt:lpstr>
      <vt:lpstr>L_Repris</vt:lpstr>
      <vt:lpstr>L_Responsabilité</vt:lpstr>
      <vt:lpstr>L_Status</vt:lpstr>
      <vt:lpstr>L_Suiteà</vt:lpstr>
      <vt:lpstr>L_Techno_Comp</vt:lpstr>
      <vt:lpstr>L_Techno_Sécheur</vt:lpstr>
      <vt:lpstr>L_Travaux</vt:lpstr>
      <vt:lpstr>L_Type_Installation</vt:lpstr>
      <vt:lpstr>L_TypedeMurs</vt:lpstr>
      <vt:lpstr>Num_Devis</vt:lpstr>
      <vt:lpstr>Projet_SF</vt:lpstr>
      <vt:lpstr>Type_PTG</vt:lpstr>
      <vt:lpstr>'Air Comprimé'!Zone_d_impression</vt:lpstr>
      <vt:lpstr>'Dde Transport'!Zone_d_impression</vt:lpstr>
      <vt:lpstr>'Eau Glacée'!Zone_d_impression</vt:lpstr>
      <vt:lpstr>'Garantie Kaeser - Modèle'!Zone_d_impression</vt:lpstr>
      <vt:lpstr>'Liv Direct'!Zone_d_impression</vt:lpstr>
      <vt:lpstr>'MeS - Détail'!Zone_d_impression</vt:lpstr>
      <vt:lpstr>'MeS - Page'!Zone_d_impression</vt:lpstr>
      <vt:lpstr>'Mise en Service'!Zone_d_impression</vt:lpstr>
      <vt:lpstr>'Offre commerciale'!Zone_d_impression</vt:lpstr>
      <vt:lpstr>Projet!Zone_d_impression</vt:lpstr>
      <vt:lpstr>'PV de Réception'!Zone_d_impression</vt:lpstr>
      <vt:lpstr>'Retour d''expérience'!Zone_d_impression</vt:lpstr>
      <vt:lpstr>SSE!Zone_d_impression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dcterms:created xsi:type="dcterms:W3CDTF">2021-06-03T10:53:56Z</dcterms:created>
  <dcterms:modified xsi:type="dcterms:W3CDTF">2022-05-04T06:45:19Z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y fmtid="{D5CDD505-2E9C-101B-9397-08002B2CF9AE}" pid="3" name="MediaServiceImageTags">
    <vt:lpwstr/>
  </property>
</Properties>
</file>